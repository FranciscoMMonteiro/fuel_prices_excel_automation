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tzcapital.sharepoint.com/sites/AtmosphereCapital/Documentos Compartilhados/Atmosphere Capital/Capital - Market Inteligence/Deliverables/"/>
    </mc:Choice>
  </mc:AlternateContent>
  <xr:revisionPtr revIDLastSave="11881" documentId="8_{360C0C5E-4AEE-4540-9CFB-89E12E56B64F}" xr6:coauthVersionLast="47" xr6:coauthVersionMax="47" xr10:uidLastSave="{A3673379-6A8F-4FA7-9EA7-BCA7A436CCFA}"/>
  <bookViews>
    <workbookView xWindow="-120" yWindow="-120" windowWidth="21240" windowHeight="15390" xr2:uid="{A3A0A388-A402-4108-9D70-BD69D019BA37}"/>
  </bookViews>
  <sheets>
    <sheet name="MarketPrices" sheetId="1" r:id="rId1"/>
    <sheet name="MarketPrices2024.08.23" sheetId="8" r:id="rId2"/>
    <sheet name="MarketPrices2024.08.14" sheetId="6" r:id="rId3"/>
    <sheet name="Sheet1" sheetId="5" state="hidden" r:id="rId4"/>
  </sheets>
  <definedNames>
    <definedName name="bbgticker">MarketPrices!$F$7</definedName>
    <definedName name="bbgtickerfoward">MarketPrices!$G$7</definedName>
    <definedName name="begining">MarketPrices!$H$4</definedName>
    <definedName name="begining_table">MarketPrices!$H$4</definedName>
    <definedName name="beginning">MarketPrices!$H$4</definedName>
    <definedName name="coal_deliv">MarketPrices!$C$76</definedName>
    <definedName name="data">MarketPrices!$D$3</definedName>
    <definedName name="date">MarketPrices!$D$3</definedName>
    <definedName name="natual_gas_basis_coal_deliv">MarketPrices!$C$56</definedName>
    <definedName name="price_data">MarketPrices!$E$3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8" i="1" l="1"/>
  <c r="H64" i="1"/>
  <c r="N59" i="1" l="1"/>
  <c r="E98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AE98" i="5"/>
  <c r="AF98" i="5"/>
  <c r="AG98" i="5"/>
  <c r="AH98" i="5"/>
  <c r="AI98" i="5"/>
  <c r="AJ98" i="5"/>
  <c r="AK98" i="5"/>
  <c r="AL98" i="5"/>
  <c r="AM98" i="5"/>
  <c r="AN98" i="5"/>
  <c r="AO98" i="5"/>
  <c r="AP98" i="5"/>
  <c r="AQ98" i="5"/>
  <c r="AR98" i="5"/>
  <c r="AS98" i="5"/>
  <c r="AT98" i="5"/>
  <c r="AU98" i="5"/>
  <c r="AV98" i="5"/>
  <c r="AW98" i="5"/>
  <c r="AX98" i="5"/>
  <c r="AY98" i="5"/>
  <c r="AZ98" i="5"/>
  <c r="BA98" i="5"/>
  <c r="BB98" i="5"/>
  <c r="BC98" i="5"/>
  <c r="BD98" i="5"/>
  <c r="BE98" i="5"/>
  <c r="BF98" i="5"/>
  <c r="BG98" i="5"/>
  <c r="BH98" i="5"/>
  <c r="BI98" i="5"/>
  <c r="BJ98" i="5"/>
  <c r="BK98" i="5"/>
  <c r="BL98" i="5"/>
  <c r="BM98" i="5"/>
  <c r="BN98" i="5"/>
  <c r="BO98" i="5"/>
  <c r="E99" i="5"/>
  <c r="F99" i="5"/>
  <c r="G99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AL99" i="5"/>
  <c r="AM99" i="5"/>
  <c r="AN99" i="5"/>
  <c r="AO99" i="5"/>
  <c r="AP99" i="5"/>
  <c r="AQ99" i="5"/>
  <c r="AR99" i="5"/>
  <c r="AS99" i="5"/>
  <c r="AT99" i="5"/>
  <c r="AU99" i="5"/>
  <c r="AV99" i="5"/>
  <c r="AW99" i="5"/>
  <c r="AX99" i="5"/>
  <c r="AY99" i="5"/>
  <c r="AZ99" i="5"/>
  <c r="BA99" i="5"/>
  <c r="BB99" i="5"/>
  <c r="BC99" i="5"/>
  <c r="BD99" i="5"/>
  <c r="BE99" i="5"/>
  <c r="BF99" i="5"/>
  <c r="BG99" i="5"/>
  <c r="BH99" i="5"/>
  <c r="BI99" i="5"/>
  <c r="BJ99" i="5"/>
  <c r="BK99" i="5"/>
  <c r="BL99" i="5"/>
  <c r="BM99" i="5"/>
  <c r="BN99" i="5"/>
  <c r="BO99" i="5"/>
  <c r="E100" i="5"/>
  <c r="F100" i="5"/>
  <c r="G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AO100" i="5"/>
  <c r="AP100" i="5"/>
  <c r="AQ100" i="5"/>
  <c r="AR100" i="5"/>
  <c r="AS100" i="5"/>
  <c r="AT100" i="5"/>
  <c r="AU100" i="5"/>
  <c r="AV100" i="5"/>
  <c r="AW100" i="5"/>
  <c r="AX100" i="5"/>
  <c r="AY100" i="5"/>
  <c r="AZ100" i="5"/>
  <c r="BA100" i="5"/>
  <c r="BB100" i="5"/>
  <c r="BC100" i="5"/>
  <c r="BD100" i="5"/>
  <c r="BE100" i="5"/>
  <c r="BF100" i="5"/>
  <c r="BG100" i="5"/>
  <c r="BH100" i="5"/>
  <c r="BI100" i="5"/>
  <c r="BJ100" i="5"/>
  <c r="BK100" i="5"/>
  <c r="BL100" i="5"/>
  <c r="BM100" i="5"/>
  <c r="BN100" i="5"/>
  <c r="BO100" i="5"/>
  <c r="E101" i="5"/>
  <c r="F101" i="5"/>
  <c r="G101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W101" i="5"/>
  <c r="X101" i="5"/>
  <c r="Y101" i="5"/>
  <c r="Z101" i="5"/>
  <c r="AA101" i="5"/>
  <c r="AB101" i="5"/>
  <c r="AC101" i="5"/>
  <c r="AD101" i="5"/>
  <c r="AE101" i="5"/>
  <c r="AF101" i="5"/>
  <c r="AG101" i="5"/>
  <c r="AH101" i="5"/>
  <c r="AI101" i="5"/>
  <c r="AJ101" i="5"/>
  <c r="AK101" i="5"/>
  <c r="AL101" i="5"/>
  <c r="AM101" i="5"/>
  <c r="AN101" i="5"/>
  <c r="AO101" i="5"/>
  <c r="AP101" i="5"/>
  <c r="AQ101" i="5"/>
  <c r="AR101" i="5"/>
  <c r="AS101" i="5"/>
  <c r="AT101" i="5"/>
  <c r="AU101" i="5"/>
  <c r="AV101" i="5"/>
  <c r="AW101" i="5"/>
  <c r="AX101" i="5"/>
  <c r="AY101" i="5"/>
  <c r="AZ101" i="5"/>
  <c r="BA101" i="5"/>
  <c r="BB101" i="5"/>
  <c r="BC101" i="5"/>
  <c r="BD101" i="5"/>
  <c r="BE101" i="5"/>
  <c r="BF101" i="5"/>
  <c r="BG101" i="5"/>
  <c r="BH101" i="5"/>
  <c r="BI101" i="5"/>
  <c r="BJ101" i="5"/>
  <c r="BK101" i="5"/>
  <c r="BL101" i="5"/>
  <c r="BM101" i="5"/>
  <c r="BN101" i="5"/>
  <c r="BO101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AZ102" i="5"/>
  <c r="BA102" i="5"/>
  <c r="BB102" i="5"/>
  <c r="BC102" i="5"/>
  <c r="BD102" i="5"/>
  <c r="BE102" i="5"/>
  <c r="BF102" i="5"/>
  <c r="BG102" i="5"/>
  <c r="BH102" i="5"/>
  <c r="BI102" i="5"/>
  <c r="BJ102" i="5"/>
  <c r="BK102" i="5"/>
  <c r="BL102" i="5"/>
  <c r="BM102" i="5"/>
  <c r="BN102" i="5"/>
  <c r="BO102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AZ103" i="5"/>
  <c r="BA103" i="5"/>
  <c r="BB103" i="5"/>
  <c r="BC103" i="5"/>
  <c r="BD103" i="5"/>
  <c r="BE103" i="5"/>
  <c r="BF103" i="5"/>
  <c r="BG103" i="5"/>
  <c r="BH103" i="5"/>
  <c r="BI103" i="5"/>
  <c r="BJ103" i="5"/>
  <c r="BK103" i="5"/>
  <c r="BL103" i="5"/>
  <c r="BM103" i="5"/>
  <c r="BN103" i="5"/>
  <c r="BO103" i="5"/>
  <c r="E104" i="5"/>
  <c r="F104" i="5"/>
  <c r="G104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AZ104" i="5"/>
  <c r="BA104" i="5"/>
  <c r="BB104" i="5"/>
  <c r="BC104" i="5"/>
  <c r="BD104" i="5"/>
  <c r="BE104" i="5"/>
  <c r="BF104" i="5"/>
  <c r="BG104" i="5"/>
  <c r="BH104" i="5"/>
  <c r="BI104" i="5"/>
  <c r="BJ104" i="5"/>
  <c r="BK104" i="5"/>
  <c r="BL104" i="5"/>
  <c r="BM104" i="5"/>
  <c r="BN104" i="5"/>
  <c r="BO104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BA105" i="5"/>
  <c r="BB105" i="5"/>
  <c r="BC105" i="5"/>
  <c r="BD105" i="5"/>
  <c r="BE105" i="5"/>
  <c r="BF105" i="5"/>
  <c r="BG105" i="5"/>
  <c r="BH105" i="5"/>
  <c r="BI105" i="5"/>
  <c r="BJ105" i="5"/>
  <c r="BK105" i="5"/>
  <c r="BL105" i="5"/>
  <c r="BM105" i="5"/>
  <c r="BN105" i="5"/>
  <c r="BO105" i="5"/>
  <c r="E106" i="5"/>
  <c r="F106" i="5"/>
  <c r="G106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AZ106" i="5"/>
  <c r="BA106" i="5"/>
  <c r="BB106" i="5"/>
  <c r="BC106" i="5"/>
  <c r="BD106" i="5"/>
  <c r="BE106" i="5"/>
  <c r="BF106" i="5"/>
  <c r="BG106" i="5"/>
  <c r="BH106" i="5"/>
  <c r="BI106" i="5"/>
  <c r="BJ106" i="5"/>
  <c r="BK106" i="5"/>
  <c r="BL106" i="5"/>
  <c r="BM106" i="5"/>
  <c r="BN106" i="5"/>
  <c r="BO106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AZ108" i="5"/>
  <c r="BA108" i="5"/>
  <c r="BB108" i="5"/>
  <c r="BC108" i="5"/>
  <c r="BD108" i="5"/>
  <c r="BE108" i="5"/>
  <c r="BF108" i="5"/>
  <c r="BG108" i="5"/>
  <c r="BH108" i="5"/>
  <c r="BI108" i="5"/>
  <c r="BJ108" i="5"/>
  <c r="BK108" i="5"/>
  <c r="BL108" i="5"/>
  <c r="BM108" i="5"/>
  <c r="BN108" i="5"/>
  <c r="BO108" i="5"/>
  <c r="E109" i="5"/>
  <c r="F109" i="5"/>
  <c r="G109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AZ109" i="5"/>
  <c r="BA109" i="5"/>
  <c r="BB109" i="5"/>
  <c r="BC109" i="5"/>
  <c r="BD109" i="5"/>
  <c r="BE109" i="5"/>
  <c r="BF109" i="5"/>
  <c r="BG109" i="5"/>
  <c r="BH109" i="5"/>
  <c r="BI109" i="5"/>
  <c r="BJ109" i="5"/>
  <c r="BK109" i="5"/>
  <c r="BL109" i="5"/>
  <c r="BM109" i="5"/>
  <c r="BN109" i="5"/>
  <c r="BO109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E111" i="5"/>
  <c r="F111" i="5"/>
  <c r="G111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E112" i="5"/>
  <c r="F112" i="5"/>
  <c r="G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E113" i="5"/>
  <c r="F113" i="5"/>
  <c r="G113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AZ113" i="5"/>
  <c r="BA113" i="5"/>
  <c r="BB113" i="5"/>
  <c r="BC113" i="5"/>
  <c r="BD113" i="5"/>
  <c r="BE113" i="5"/>
  <c r="BF113" i="5"/>
  <c r="BG113" i="5"/>
  <c r="BH113" i="5"/>
  <c r="BI113" i="5"/>
  <c r="BJ113" i="5"/>
  <c r="BK113" i="5"/>
  <c r="BL113" i="5"/>
  <c r="BM113" i="5"/>
  <c r="BN113" i="5"/>
  <c r="BO113" i="5"/>
  <c r="E114" i="5"/>
  <c r="F114" i="5"/>
  <c r="G114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AZ114" i="5"/>
  <c r="BA114" i="5"/>
  <c r="BB114" i="5"/>
  <c r="BC114" i="5"/>
  <c r="BD114" i="5"/>
  <c r="BE114" i="5"/>
  <c r="BF114" i="5"/>
  <c r="BG114" i="5"/>
  <c r="BH114" i="5"/>
  <c r="BI114" i="5"/>
  <c r="BJ114" i="5"/>
  <c r="BK114" i="5"/>
  <c r="BL114" i="5"/>
  <c r="BM114" i="5"/>
  <c r="BN114" i="5"/>
  <c r="BO114" i="5"/>
  <c r="E115" i="5"/>
  <c r="F115" i="5"/>
  <c r="G115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AZ115" i="5"/>
  <c r="BA115" i="5"/>
  <c r="BB115" i="5"/>
  <c r="BC115" i="5"/>
  <c r="BD115" i="5"/>
  <c r="BE115" i="5"/>
  <c r="BF115" i="5"/>
  <c r="BG115" i="5"/>
  <c r="BH115" i="5"/>
  <c r="BI115" i="5"/>
  <c r="BJ115" i="5"/>
  <c r="BK115" i="5"/>
  <c r="BL115" i="5"/>
  <c r="BM115" i="5"/>
  <c r="BN115" i="5"/>
  <c r="BO115" i="5"/>
  <c r="E116" i="5"/>
  <c r="F116" i="5"/>
  <c r="G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AZ116" i="5"/>
  <c r="BA116" i="5"/>
  <c r="BB116" i="5"/>
  <c r="BC116" i="5"/>
  <c r="BD116" i="5"/>
  <c r="BE116" i="5"/>
  <c r="BF116" i="5"/>
  <c r="BG116" i="5"/>
  <c r="BH116" i="5"/>
  <c r="BI116" i="5"/>
  <c r="BJ116" i="5"/>
  <c r="BK116" i="5"/>
  <c r="BL116" i="5"/>
  <c r="BM116" i="5"/>
  <c r="BN116" i="5"/>
  <c r="BO116" i="5"/>
  <c r="E117" i="5"/>
  <c r="F117" i="5"/>
  <c r="G117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AZ117" i="5"/>
  <c r="BA117" i="5"/>
  <c r="BB117" i="5"/>
  <c r="BC117" i="5"/>
  <c r="BD117" i="5"/>
  <c r="BE117" i="5"/>
  <c r="BF117" i="5"/>
  <c r="BG117" i="5"/>
  <c r="BH117" i="5"/>
  <c r="BI117" i="5"/>
  <c r="BJ117" i="5"/>
  <c r="BK117" i="5"/>
  <c r="BL117" i="5"/>
  <c r="BM117" i="5"/>
  <c r="BN117" i="5"/>
  <c r="BO117" i="5"/>
  <c r="E118" i="5"/>
  <c r="F118" i="5"/>
  <c r="G118" i="5"/>
  <c r="H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AZ118" i="5"/>
  <c r="BA118" i="5"/>
  <c r="BB118" i="5"/>
  <c r="BC118" i="5"/>
  <c r="BD118" i="5"/>
  <c r="BE118" i="5"/>
  <c r="BF118" i="5"/>
  <c r="BG118" i="5"/>
  <c r="BH118" i="5"/>
  <c r="BI118" i="5"/>
  <c r="BJ118" i="5"/>
  <c r="BK118" i="5"/>
  <c r="BL118" i="5"/>
  <c r="BM118" i="5"/>
  <c r="BN118" i="5"/>
  <c r="BO118" i="5"/>
  <c r="E119" i="5"/>
  <c r="F119" i="5"/>
  <c r="G119" i="5"/>
  <c r="H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AZ119" i="5"/>
  <c r="BA119" i="5"/>
  <c r="BB119" i="5"/>
  <c r="BC119" i="5"/>
  <c r="BD119" i="5"/>
  <c r="BE119" i="5"/>
  <c r="BF119" i="5"/>
  <c r="BG119" i="5"/>
  <c r="BH119" i="5"/>
  <c r="BI119" i="5"/>
  <c r="BJ119" i="5"/>
  <c r="BK119" i="5"/>
  <c r="BL119" i="5"/>
  <c r="BM119" i="5"/>
  <c r="BN119" i="5"/>
  <c r="BO119" i="5"/>
  <c r="E120" i="5"/>
  <c r="F120" i="5"/>
  <c r="G120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AZ120" i="5"/>
  <c r="BA120" i="5"/>
  <c r="BB120" i="5"/>
  <c r="BC120" i="5"/>
  <c r="BD120" i="5"/>
  <c r="BE120" i="5"/>
  <c r="BF120" i="5"/>
  <c r="BG120" i="5"/>
  <c r="BH120" i="5"/>
  <c r="BI120" i="5"/>
  <c r="BJ120" i="5"/>
  <c r="BK120" i="5"/>
  <c r="BL120" i="5"/>
  <c r="BM120" i="5"/>
  <c r="BN120" i="5"/>
  <c r="BO120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X121" i="5"/>
  <c r="AY121" i="5"/>
  <c r="AZ121" i="5"/>
  <c r="BA121" i="5"/>
  <c r="BB121" i="5"/>
  <c r="BC121" i="5"/>
  <c r="BD121" i="5"/>
  <c r="BE121" i="5"/>
  <c r="BF121" i="5"/>
  <c r="BG121" i="5"/>
  <c r="BH121" i="5"/>
  <c r="BI121" i="5"/>
  <c r="BJ121" i="5"/>
  <c r="BK121" i="5"/>
  <c r="BL121" i="5"/>
  <c r="BM121" i="5"/>
  <c r="BN121" i="5"/>
  <c r="BO121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X122" i="5"/>
  <c r="AY122" i="5"/>
  <c r="AZ122" i="5"/>
  <c r="BA122" i="5"/>
  <c r="BB122" i="5"/>
  <c r="BC122" i="5"/>
  <c r="BD122" i="5"/>
  <c r="BE122" i="5"/>
  <c r="BF122" i="5"/>
  <c r="BG122" i="5"/>
  <c r="BH122" i="5"/>
  <c r="BI122" i="5"/>
  <c r="BJ122" i="5"/>
  <c r="BK122" i="5"/>
  <c r="BL122" i="5"/>
  <c r="BM122" i="5"/>
  <c r="BN122" i="5"/>
  <c r="BO122" i="5"/>
  <c r="E123" i="5"/>
  <c r="F123" i="5"/>
  <c r="G123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X123" i="5"/>
  <c r="AY123" i="5"/>
  <c r="AZ123" i="5"/>
  <c r="BA123" i="5"/>
  <c r="BB123" i="5"/>
  <c r="BC123" i="5"/>
  <c r="BD123" i="5"/>
  <c r="BE123" i="5"/>
  <c r="BF123" i="5"/>
  <c r="BG123" i="5"/>
  <c r="BH123" i="5"/>
  <c r="BI123" i="5"/>
  <c r="BJ123" i="5"/>
  <c r="BK123" i="5"/>
  <c r="BL123" i="5"/>
  <c r="BM123" i="5"/>
  <c r="BN123" i="5"/>
  <c r="BO123" i="5"/>
  <c r="E124" i="5"/>
  <c r="F124" i="5"/>
  <c r="G124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AZ124" i="5"/>
  <c r="BA124" i="5"/>
  <c r="BB124" i="5"/>
  <c r="BC124" i="5"/>
  <c r="BD124" i="5"/>
  <c r="BE124" i="5"/>
  <c r="BF124" i="5"/>
  <c r="BG124" i="5"/>
  <c r="BH124" i="5"/>
  <c r="BI124" i="5"/>
  <c r="BJ124" i="5"/>
  <c r="BK124" i="5"/>
  <c r="BL124" i="5"/>
  <c r="BM124" i="5"/>
  <c r="BN124" i="5"/>
  <c r="BO124" i="5"/>
  <c r="E125" i="5"/>
  <c r="F125" i="5"/>
  <c r="G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E126" i="5"/>
  <c r="F126" i="5"/>
  <c r="G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AZ126" i="5"/>
  <c r="BA126" i="5"/>
  <c r="BB126" i="5"/>
  <c r="BC126" i="5"/>
  <c r="BD126" i="5"/>
  <c r="BE126" i="5"/>
  <c r="BF126" i="5"/>
  <c r="BG126" i="5"/>
  <c r="BH126" i="5"/>
  <c r="BI126" i="5"/>
  <c r="BJ126" i="5"/>
  <c r="BK126" i="5"/>
  <c r="BL126" i="5"/>
  <c r="BM126" i="5"/>
  <c r="BN126" i="5"/>
  <c r="BO126" i="5"/>
  <c r="E127" i="5"/>
  <c r="F127" i="5"/>
  <c r="G127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AZ127" i="5"/>
  <c r="BA127" i="5"/>
  <c r="BB127" i="5"/>
  <c r="BC127" i="5"/>
  <c r="BD127" i="5"/>
  <c r="BE127" i="5"/>
  <c r="BF127" i="5"/>
  <c r="BG127" i="5"/>
  <c r="BH127" i="5"/>
  <c r="BI127" i="5"/>
  <c r="BJ127" i="5"/>
  <c r="BK127" i="5"/>
  <c r="BL127" i="5"/>
  <c r="BM127" i="5"/>
  <c r="BN127" i="5"/>
  <c r="BO127" i="5"/>
  <c r="E128" i="5"/>
  <c r="F128" i="5"/>
  <c r="G128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AZ128" i="5"/>
  <c r="BA128" i="5"/>
  <c r="BB128" i="5"/>
  <c r="BC128" i="5"/>
  <c r="BD128" i="5"/>
  <c r="BE128" i="5"/>
  <c r="BF128" i="5"/>
  <c r="BG128" i="5"/>
  <c r="BH128" i="5"/>
  <c r="BI128" i="5"/>
  <c r="BJ128" i="5"/>
  <c r="BK128" i="5"/>
  <c r="BL128" i="5"/>
  <c r="BM128" i="5"/>
  <c r="BN128" i="5"/>
  <c r="BO128" i="5"/>
  <c r="E129" i="5"/>
  <c r="F129" i="5"/>
  <c r="G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AZ129" i="5"/>
  <c r="BA129" i="5"/>
  <c r="BB129" i="5"/>
  <c r="BC129" i="5"/>
  <c r="BD129" i="5"/>
  <c r="BE129" i="5"/>
  <c r="BF129" i="5"/>
  <c r="BG129" i="5"/>
  <c r="BH129" i="5"/>
  <c r="BI129" i="5"/>
  <c r="BJ129" i="5"/>
  <c r="BK129" i="5"/>
  <c r="BL129" i="5"/>
  <c r="BM129" i="5"/>
  <c r="BN129" i="5"/>
  <c r="BO129" i="5"/>
  <c r="E130" i="5"/>
  <c r="F130" i="5"/>
  <c r="G130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AZ130" i="5"/>
  <c r="BA130" i="5"/>
  <c r="BB130" i="5"/>
  <c r="BC130" i="5"/>
  <c r="BD130" i="5"/>
  <c r="BE130" i="5"/>
  <c r="BF130" i="5"/>
  <c r="BG130" i="5"/>
  <c r="BH130" i="5"/>
  <c r="BI130" i="5"/>
  <c r="BJ130" i="5"/>
  <c r="BK130" i="5"/>
  <c r="BL130" i="5"/>
  <c r="BM130" i="5"/>
  <c r="BN130" i="5"/>
  <c r="BO130" i="5"/>
  <c r="E131" i="5"/>
  <c r="F131" i="5"/>
  <c r="G131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E132" i="5"/>
  <c r="F132" i="5"/>
  <c r="G132" i="5"/>
  <c r="H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BA132" i="5"/>
  <c r="BB132" i="5"/>
  <c r="BC132" i="5"/>
  <c r="BD132" i="5"/>
  <c r="BE132" i="5"/>
  <c r="BF132" i="5"/>
  <c r="BG132" i="5"/>
  <c r="BH132" i="5"/>
  <c r="BI132" i="5"/>
  <c r="BJ132" i="5"/>
  <c r="BK132" i="5"/>
  <c r="BL132" i="5"/>
  <c r="BM132" i="5"/>
  <c r="BN132" i="5"/>
  <c r="BO132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AZ133" i="5"/>
  <c r="BA133" i="5"/>
  <c r="BB133" i="5"/>
  <c r="BC133" i="5"/>
  <c r="BD133" i="5"/>
  <c r="BE133" i="5"/>
  <c r="BF133" i="5"/>
  <c r="BG133" i="5"/>
  <c r="BH133" i="5"/>
  <c r="BI133" i="5"/>
  <c r="BJ133" i="5"/>
  <c r="BK133" i="5"/>
  <c r="BL133" i="5"/>
  <c r="BM133" i="5"/>
  <c r="BN133" i="5"/>
  <c r="BO133" i="5"/>
  <c r="E134" i="5"/>
  <c r="F134" i="5"/>
  <c r="G134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AZ134" i="5"/>
  <c r="BA134" i="5"/>
  <c r="BB134" i="5"/>
  <c r="BC134" i="5"/>
  <c r="BD134" i="5"/>
  <c r="BE134" i="5"/>
  <c r="BF134" i="5"/>
  <c r="BG134" i="5"/>
  <c r="BH134" i="5"/>
  <c r="BI134" i="5"/>
  <c r="BJ134" i="5"/>
  <c r="BK134" i="5"/>
  <c r="BL134" i="5"/>
  <c r="BM134" i="5"/>
  <c r="BN134" i="5"/>
  <c r="BO134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AZ135" i="5"/>
  <c r="BA135" i="5"/>
  <c r="BB135" i="5"/>
  <c r="BC135" i="5"/>
  <c r="BD135" i="5"/>
  <c r="BE135" i="5"/>
  <c r="BF135" i="5"/>
  <c r="BG135" i="5"/>
  <c r="BH135" i="5"/>
  <c r="BI135" i="5"/>
  <c r="BJ135" i="5"/>
  <c r="BK135" i="5"/>
  <c r="BL135" i="5"/>
  <c r="BM135" i="5"/>
  <c r="BN135" i="5"/>
  <c r="BO135" i="5"/>
  <c r="E136" i="5"/>
  <c r="F136" i="5"/>
  <c r="G136" i="5"/>
  <c r="H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N136" i="5"/>
  <c r="AO136" i="5"/>
  <c r="AP136" i="5"/>
  <c r="AQ136" i="5"/>
  <c r="AR136" i="5"/>
  <c r="AS136" i="5"/>
  <c r="AT136" i="5"/>
  <c r="AU136" i="5"/>
  <c r="AV136" i="5"/>
  <c r="AW136" i="5"/>
  <c r="AX136" i="5"/>
  <c r="AY136" i="5"/>
  <c r="AZ136" i="5"/>
  <c r="BA136" i="5"/>
  <c r="BB136" i="5"/>
  <c r="BC136" i="5"/>
  <c r="BD136" i="5"/>
  <c r="BE136" i="5"/>
  <c r="BF136" i="5"/>
  <c r="BG136" i="5"/>
  <c r="BH136" i="5"/>
  <c r="BI136" i="5"/>
  <c r="BJ136" i="5"/>
  <c r="BK136" i="5"/>
  <c r="BL136" i="5"/>
  <c r="BM136" i="5"/>
  <c r="BN136" i="5"/>
  <c r="BO136" i="5"/>
  <c r="E137" i="5"/>
  <c r="F137" i="5"/>
  <c r="G137" i="5"/>
  <c r="H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AL137" i="5"/>
  <c r="AM137" i="5"/>
  <c r="AN137" i="5"/>
  <c r="AO137" i="5"/>
  <c r="AP137" i="5"/>
  <c r="AQ137" i="5"/>
  <c r="AR137" i="5"/>
  <c r="AS137" i="5"/>
  <c r="AT137" i="5"/>
  <c r="AU137" i="5"/>
  <c r="AV137" i="5"/>
  <c r="AW137" i="5"/>
  <c r="AX137" i="5"/>
  <c r="AY137" i="5"/>
  <c r="AZ137" i="5"/>
  <c r="BA137" i="5"/>
  <c r="BB137" i="5"/>
  <c r="BC137" i="5"/>
  <c r="BD137" i="5"/>
  <c r="BE137" i="5"/>
  <c r="BF137" i="5"/>
  <c r="BG137" i="5"/>
  <c r="BH137" i="5"/>
  <c r="BI137" i="5"/>
  <c r="BJ137" i="5"/>
  <c r="BK137" i="5"/>
  <c r="BL137" i="5"/>
  <c r="BM137" i="5"/>
  <c r="BN137" i="5"/>
  <c r="BO137" i="5"/>
  <c r="E138" i="5"/>
  <c r="F138" i="5"/>
  <c r="G138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AL138" i="5"/>
  <c r="AM138" i="5"/>
  <c r="AN138" i="5"/>
  <c r="AO138" i="5"/>
  <c r="AP138" i="5"/>
  <c r="AQ138" i="5"/>
  <c r="AR138" i="5"/>
  <c r="AS138" i="5"/>
  <c r="AT138" i="5"/>
  <c r="AU138" i="5"/>
  <c r="AV138" i="5"/>
  <c r="AW138" i="5"/>
  <c r="AX138" i="5"/>
  <c r="AY138" i="5"/>
  <c r="AZ138" i="5"/>
  <c r="BA138" i="5"/>
  <c r="BB138" i="5"/>
  <c r="BC138" i="5"/>
  <c r="BD138" i="5"/>
  <c r="BE138" i="5"/>
  <c r="BF138" i="5"/>
  <c r="BG138" i="5"/>
  <c r="BH138" i="5"/>
  <c r="BI138" i="5"/>
  <c r="BJ138" i="5"/>
  <c r="BK138" i="5"/>
  <c r="BL138" i="5"/>
  <c r="BM138" i="5"/>
  <c r="BN138" i="5"/>
  <c r="BO138" i="5"/>
  <c r="E139" i="5"/>
  <c r="F139" i="5"/>
  <c r="G139" i="5"/>
  <c r="H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X139" i="5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AL139" i="5"/>
  <c r="AM139" i="5"/>
  <c r="AN139" i="5"/>
  <c r="AO139" i="5"/>
  <c r="AP139" i="5"/>
  <c r="AQ139" i="5"/>
  <c r="AR139" i="5"/>
  <c r="AS139" i="5"/>
  <c r="AT139" i="5"/>
  <c r="AU139" i="5"/>
  <c r="AV139" i="5"/>
  <c r="AW139" i="5"/>
  <c r="AX139" i="5"/>
  <c r="AY139" i="5"/>
  <c r="AZ139" i="5"/>
  <c r="BA139" i="5"/>
  <c r="BB139" i="5"/>
  <c r="BC139" i="5"/>
  <c r="BD139" i="5"/>
  <c r="BE139" i="5"/>
  <c r="BF139" i="5"/>
  <c r="BG139" i="5"/>
  <c r="BH139" i="5"/>
  <c r="BI139" i="5"/>
  <c r="BJ139" i="5"/>
  <c r="BK139" i="5"/>
  <c r="BL139" i="5"/>
  <c r="BM139" i="5"/>
  <c r="BN139" i="5"/>
  <c r="BO139" i="5"/>
  <c r="E140" i="5"/>
  <c r="F140" i="5"/>
  <c r="G140" i="5"/>
  <c r="H140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W140" i="5"/>
  <c r="X140" i="5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AL140" i="5"/>
  <c r="AM140" i="5"/>
  <c r="AN140" i="5"/>
  <c r="AO140" i="5"/>
  <c r="AP140" i="5"/>
  <c r="AQ140" i="5"/>
  <c r="AR140" i="5"/>
  <c r="AS140" i="5"/>
  <c r="AT140" i="5"/>
  <c r="AU140" i="5"/>
  <c r="AV140" i="5"/>
  <c r="AW140" i="5"/>
  <c r="AX140" i="5"/>
  <c r="AY140" i="5"/>
  <c r="AZ140" i="5"/>
  <c r="BA140" i="5"/>
  <c r="BB140" i="5"/>
  <c r="BC140" i="5"/>
  <c r="BD140" i="5"/>
  <c r="BE140" i="5"/>
  <c r="BF140" i="5"/>
  <c r="BG140" i="5"/>
  <c r="BH140" i="5"/>
  <c r="BI140" i="5"/>
  <c r="BJ140" i="5"/>
  <c r="BK140" i="5"/>
  <c r="BL140" i="5"/>
  <c r="BM140" i="5"/>
  <c r="BN140" i="5"/>
  <c r="BO140" i="5"/>
  <c r="E141" i="5"/>
  <c r="F141" i="5"/>
  <c r="G141" i="5"/>
  <c r="H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X141" i="5"/>
  <c r="AY141" i="5"/>
  <c r="AZ141" i="5"/>
  <c r="BA141" i="5"/>
  <c r="BB141" i="5"/>
  <c r="BC141" i="5"/>
  <c r="BD141" i="5"/>
  <c r="BE141" i="5"/>
  <c r="BF141" i="5"/>
  <c r="BG141" i="5"/>
  <c r="BH141" i="5"/>
  <c r="BI141" i="5"/>
  <c r="BJ141" i="5"/>
  <c r="BK141" i="5"/>
  <c r="BL141" i="5"/>
  <c r="BM141" i="5"/>
  <c r="BN141" i="5"/>
  <c r="BO141" i="5"/>
  <c r="E142" i="5"/>
  <c r="F142" i="5"/>
  <c r="G142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AZ142" i="5"/>
  <c r="BA142" i="5"/>
  <c r="BB142" i="5"/>
  <c r="BC142" i="5"/>
  <c r="BD142" i="5"/>
  <c r="BE142" i="5"/>
  <c r="BF142" i="5"/>
  <c r="BG142" i="5"/>
  <c r="BH142" i="5"/>
  <c r="BI142" i="5"/>
  <c r="BJ142" i="5"/>
  <c r="BK142" i="5"/>
  <c r="BL142" i="5"/>
  <c r="BM142" i="5"/>
  <c r="BN142" i="5"/>
  <c r="BO142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98" i="5"/>
  <c r="C57" i="1"/>
  <c r="H83" i="1" s="1"/>
  <c r="J58" i="1"/>
  <c r="N58" i="1"/>
  <c r="R58" i="1"/>
  <c r="V58" i="1"/>
  <c r="V102" i="1" s="1"/>
  <c r="Y58" i="1"/>
  <c r="Z58" i="1"/>
  <c r="AC58" i="1"/>
  <c r="AD58" i="1"/>
  <c r="AD102" i="1" s="1"/>
  <c r="AG58" i="1"/>
  <c r="AH58" i="1"/>
  <c r="AK58" i="1"/>
  <c r="AL58" i="1"/>
  <c r="AL102" i="1" s="1"/>
  <c r="AO58" i="1"/>
  <c r="AP58" i="1"/>
  <c r="AS58" i="1"/>
  <c r="AT58" i="1"/>
  <c r="AT102" i="1" s="1"/>
  <c r="AW58" i="1"/>
  <c r="AX58" i="1"/>
  <c r="BA58" i="1"/>
  <c r="BB58" i="1"/>
  <c r="BB102" i="1" s="1"/>
  <c r="BE58" i="1"/>
  <c r="BF58" i="1"/>
  <c r="BI58" i="1"/>
  <c r="BJ58" i="1"/>
  <c r="BM58" i="1"/>
  <c r="BN58" i="1"/>
  <c r="BQ58" i="1"/>
  <c r="I59" i="1"/>
  <c r="I103" i="1" s="1"/>
  <c r="L59" i="1"/>
  <c r="M59" i="1"/>
  <c r="Q59" i="1"/>
  <c r="R59" i="1"/>
  <c r="R103" i="1" s="1"/>
  <c r="U59" i="1"/>
  <c r="V59" i="1"/>
  <c r="Y59" i="1"/>
  <c r="Z59" i="1"/>
  <c r="Z103" i="1" s="1"/>
  <c r="AC59" i="1"/>
  <c r="AD59" i="1"/>
  <c r="AG59" i="1"/>
  <c r="AH59" i="1"/>
  <c r="AH103" i="1" s="1"/>
  <c r="AK59" i="1"/>
  <c r="AL59" i="1"/>
  <c r="AO59" i="1"/>
  <c r="AP59" i="1"/>
  <c r="AP103" i="1" s="1"/>
  <c r="AS59" i="1"/>
  <c r="AT59" i="1"/>
  <c r="AW59" i="1"/>
  <c r="AX59" i="1"/>
  <c r="AX103" i="1" s="1"/>
  <c r="BA59" i="1"/>
  <c r="BB59" i="1"/>
  <c r="BE59" i="1"/>
  <c r="BF59" i="1"/>
  <c r="BI59" i="1"/>
  <c r="BJ59" i="1"/>
  <c r="BM59" i="1"/>
  <c r="BN59" i="1"/>
  <c r="BQ59" i="1"/>
  <c r="I60" i="1"/>
  <c r="L60" i="1"/>
  <c r="M60" i="1"/>
  <c r="M104" i="1" s="1"/>
  <c r="P60" i="1"/>
  <c r="Q60" i="1"/>
  <c r="T60" i="1"/>
  <c r="U60" i="1"/>
  <c r="U104" i="1" s="1"/>
  <c r="X60" i="1"/>
  <c r="Y60" i="1"/>
  <c r="AB60" i="1"/>
  <c r="AC60" i="1"/>
  <c r="AC104" i="1" s="1"/>
  <c r="AF60" i="1"/>
  <c r="AG60" i="1"/>
  <c r="AJ60" i="1"/>
  <c r="AK60" i="1"/>
  <c r="AK104" i="1" s="1"/>
  <c r="AN60" i="1"/>
  <c r="AO60" i="1"/>
  <c r="AR60" i="1"/>
  <c r="AS60" i="1"/>
  <c r="AS104" i="1" s="1"/>
  <c r="AV60" i="1"/>
  <c r="AW60" i="1"/>
  <c r="AZ60" i="1"/>
  <c r="BA60" i="1"/>
  <c r="BA104" i="1" s="1"/>
  <c r="BD60" i="1"/>
  <c r="BE60" i="1"/>
  <c r="BH60" i="1"/>
  <c r="BI60" i="1"/>
  <c r="BL60" i="1"/>
  <c r="BM60" i="1"/>
  <c r="BP60" i="1"/>
  <c r="BQ60" i="1"/>
  <c r="K61" i="1"/>
  <c r="L61" i="1"/>
  <c r="O61" i="1"/>
  <c r="P61" i="1"/>
  <c r="P105" i="1" s="1"/>
  <c r="S61" i="1"/>
  <c r="T61" i="1"/>
  <c r="W61" i="1"/>
  <c r="X61" i="1"/>
  <c r="X105" i="1" s="1"/>
  <c r="AA61" i="1"/>
  <c r="AB61" i="1"/>
  <c r="AE61" i="1"/>
  <c r="AF61" i="1"/>
  <c r="AF105" i="1" s="1"/>
  <c r="AI61" i="1"/>
  <c r="AJ61" i="1"/>
  <c r="AM61" i="1"/>
  <c r="AN61" i="1"/>
  <c r="AN105" i="1" s="1"/>
  <c r="AQ61" i="1"/>
  <c r="AR61" i="1"/>
  <c r="AU61" i="1"/>
  <c r="AV61" i="1"/>
  <c r="AV105" i="1" s="1"/>
  <c r="AY61" i="1"/>
  <c r="AZ61" i="1"/>
  <c r="BC61" i="1"/>
  <c r="BD61" i="1"/>
  <c r="BG61" i="1"/>
  <c r="BH61" i="1"/>
  <c r="BK61" i="1"/>
  <c r="BL61" i="1"/>
  <c r="BO61" i="1"/>
  <c r="BP61" i="1"/>
  <c r="J62" i="1"/>
  <c r="K62" i="1"/>
  <c r="K106" i="1" s="1"/>
  <c r="N62" i="1"/>
  <c r="O62" i="1"/>
  <c r="R62" i="1"/>
  <c r="S62" i="1"/>
  <c r="S106" i="1" s="1"/>
  <c r="V62" i="1"/>
  <c r="W62" i="1"/>
  <c r="Z62" i="1"/>
  <c r="AA62" i="1"/>
  <c r="AA106" i="1" s="1"/>
  <c r="AD62" i="1"/>
  <c r="AE62" i="1"/>
  <c r="AH62" i="1"/>
  <c r="AI62" i="1"/>
  <c r="AI106" i="1" s="1"/>
  <c r="AL62" i="1"/>
  <c r="AM62" i="1"/>
  <c r="AP62" i="1"/>
  <c r="AQ62" i="1"/>
  <c r="AQ106" i="1" s="1"/>
  <c r="AT62" i="1"/>
  <c r="AU62" i="1"/>
  <c r="AW62" i="1"/>
  <c r="AX62" i="1"/>
  <c r="AX106" i="1" s="1"/>
  <c r="AY62" i="1"/>
  <c r="AZ62" i="1"/>
  <c r="BA62" i="1"/>
  <c r="BB62" i="1"/>
  <c r="BB106" i="1" s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I63" i="1"/>
  <c r="I107" i="1" s="1"/>
  <c r="J63" i="1"/>
  <c r="J107" i="1" s="1"/>
  <c r="K63" i="1"/>
  <c r="L63" i="1"/>
  <c r="M63" i="1"/>
  <c r="M107" i="1" s="1"/>
  <c r="N63" i="1"/>
  <c r="N107" i="1" s="1"/>
  <c r="O63" i="1"/>
  <c r="O107" i="1" s="1"/>
  <c r="P63" i="1"/>
  <c r="Q63" i="1"/>
  <c r="Q107" i="1" s="1"/>
  <c r="R63" i="1"/>
  <c r="R107" i="1" s="1"/>
  <c r="S63" i="1"/>
  <c r="S107" i="1" s="1"/>
  <c r="T63" i="1"/>
  <c r="T107" i="1" s="1"/>
  <c r="U63" i="1"/>
  <c r="U107" i="1" s="1"/>
  <c r="V63" i="1"/>
  <c r="V107" i="1" s="1"/>
  <c r="W63" i="1"/>
  <c r="W107" i="1" s="1"/>
  <c r="X63" i="1"/>
  <c r="X107" i="1" s="1"/>
  <c r="Y63" i="1"/>
  <c r="Y107" i="1" s="1"/>
  <c r="Z63" i="1"/>
  <c r="Z107" i="1" s="1"/>
  <c r="AA63" i="1"/>
  <c r="AA107" i="1" s="1"/>
  <c r="AB63" i="1"/>
  <c r="AB107" i="1" s="1"/>
  <c r="AC63" i="1"/>
  <c r="AC107" i="1" s="1"/>
  <c r="AD63" i="1"/>
  <c r="AD107" i="1" s="1"/>
  <c r="AE63" i="1"/>
  <c r="AE107" i="1" s="1"/>
  <c r="AF63" i="1"/>
  <c r="AF107" i="1" s="1"/>
  <c r="AG63" i="1"/>
  <c r="AG107" i="1" s="1"/>
  <c r="AH63" i="1"/>
  <c r="AH107" i="1" s="1"/>
  <c r="AI63" i="1"/>
  <c r="AI107" i="1" s="1"/>
  <c r="AJ63" i="1"/>
  <c r="AJ107" i="1" s="1"/>
  <c r="AK63" i="1"/>
  <c r="AK107" i="1" s="1"/>
  <c r="AL63" i="1"/>
  <c r="AL107" i="1" s="1"/>
  <c r="AM63" i="1"/>
  <c r="AM107" i="1" s="1"/>
  <c r="AN63" i="1"/>
  <c r="AN107" i="1" s="1"/>
  <c r="AO63" i="1"/>
  <c r="AO107" i="1" s="1"/>
  <c r="AP63" i="1"/>
  <c r="AP107" i="1" s="1"/>
  <c r="AQ63" i="1"/>
  <c r="AQ107" i="1" s="1"/>
  <c r="AR63" i="1"/>
  <c r="AR107" i="1" s="1"/>
  <c r="AS63" i="1"/>
  <c r="AS107" i="1" s="1"/>
  <c r="AT63" i="1"/>
  <c r="AT107" i="1" s="1"/>
  <c r="AU63" i="1"/>
  <c r="AU107" i="1" s="1"/>
  <c r="AV63" i="1"/>
  <c r="AV107" i="1" s="1"/>
  <c r="AW63" i="1"/>
  <c r="AW107" i="1" s="1"/>
  <c r="AX63" i="1"/>
  <c r="AX107" i="1" s="1"/>
  <c r="AY63" i="1"/>
  <c r="AY107" i="1" s="1"/>
  <c r="AZ63" i="1"/>
  <c r="AZ107" i="1" s="1"/>
  <c r="BA63" i="1"/>
  <c r="BA107" i="1" s="1"/>
  <c r="BB63" i="1"/>
  <c r="BB107" i="1" s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I64" i="1"/>
  <c r="I108" i="1" s="1"/>
  <c r="J64" i="1"/>
  <c r="J108" i="1" s="1"/>
  <c r="K64" i="1"/>
  <c r="K108" i="1" s="1"/>
  <c r="L64" i="1"/>
  <c r="L108" i="1" s="1"/>
  <c r="M64" i="1"/>
  <c r="M108" i="1" s="1"/>
  <c r="N64" i="1"/>
  <c r="N108" i="1" s="1"/>
  <c r="O64" i="1"/>
  <c r="O108" i="1" s="1"/>
  <c r="P64" i="1"/>
  <c r="P108" i="1" s="1"/>
  <c r="Q64" i="1"/>
  <c r="Q108" i="1" s="1"/>
  <c r="R64" i="1"/>
  <c r="R108" i="1" s="1"/>
  <c r="S64" i="1"/>
  <c r="S108" i="1" s="1"/>
  <c r="T64" i="1"/>
  <c r="T108" i="1" s="1"/>
  <c r="U64" i="1"/>
  <c r="U108" i="1" s="1"/>
  <c r="V64" i="1"/>
  <c r="V108" i="1" s="1"/>
  <c r="W64" i="1"/>
  <c r="W108" i="1" s="1"/>
  <c r="X64" i="1"/>
  <c r="X108" i="1" s="1"/>
  <c r="Y64" i="1"/>
  <c r="Y108" i="1" s="1"/>
  <c r="Z64" i="1"/>
  <c r="Z108" i="1" s="1"/>
  <c r="AA64" i="1"/>
  <c r="AA108" i="1" s="1"/>
  <c r="AB64" i="1"/>
  <c r="AB108" i="1" s="1"/>
  <c r="AC64" i="1"/>
  <c r="AC108" i="1" s="1"/>
  <c r="AD64" i="1"/>
  <c r="AD108" i="1" s="1"/>
  <c r="AE64" i="1"/>
  <c r="AE108" i="1" s="1"/>
  <c r="AF64" i="1"/>
  <c r="AF108" i="1" s="1"/>
  <c r="AG64" i="1"/>
  <c r="AG108" i="1" s="1"/>
  <c r="AH64" i="1"/>
  <c r="AH108" i="1" s="1"/>
  <c r="AI64" i="1"/>
  <c r="AI108" i="1" s="1"/>
  <c r="AJ64" i="1"/>
  <c r="AJ108" i="1" s="1"/>
  <c r="AK64" i="1"/>
  <c r="AK108" i="1" s="1"/>
  <c r="AL64" i="1"/>
  <c r="AL108" i="1" s="1"/>
  <c r="AM64" i="1"/>
  <c r="AM108" i="1" s="1"/>
  <c r="AN64" i="1"/>
  <c r="AN108" i="1" s="1"/>
  <c r="AO64" i="1"/>
  <c r="AO108" i="1" s="1"/>
  <c r="AP64" i="1"/>
  <c r="AP108" i="1" s="1"/>
  <c r="AQ64" i="1"/>
  <c r="AQ108" i="1" s="1"/>
  <c r="AR64" i="1"/>
  <c r="AR108" i="1" s="1"/>
  <c r="AS64" i="1"/>
  <c r="AS108" i="1" s="1"/>
  <c r="AT64" i="1"/>
  <c r="AT108" i="1" s="1"/>
  <c r="AU64" i="1"/>
  <c r="AU108" i="1" s="1"/>
  <c r="AV64" i="1"/>
  <c r="AV108" i="1" s="1"/>
  <c r="AW64" i="1"/>
  <c r="AW108" i="1" s="1"/>
  <c r="AX64" i="1"/>
  <c r="AX108" i="1" s="1"/>
  <c r="AY64" i="1"/>
  <c r="AY108" i="1" s="1"/>
  <c r="AZ64" i="1"/>
  <c r="AZ108" i="1" s="1"/>
  <c r="BA64" i="1"/>
  <c r="BA108" i="1" s="1"/>
  <c r="BB64" i="1"/>
  <c r="BB108" i="1" s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I65" i="1"/>
  <c r="I109" i="1" s="1"/>
  <c r="J65" i="1"/>
  <c r="J109" i="1" s="1"/>
  <c r="K65" i="1"/>
  <c r="K109" i="1" s="1"/>
  <c r="L65" i="1"/>
  <c r="L109" i="1" s="1"/>
  <c r="M65" i="1"/>
  <c r="M109" i="1" s="1"/>
  <c r="N65" i="1"/>
  <c r="N109" i="1" s="1"/>
  <c r="O65" i="1"/>
  <c r="O109" i="1" s="1"/>
  <c r="P65" i="1"/>
  <c r="P109" i="1" s="1"/>
  <c r="Q65" i="1"/>
  <c r="Q109" i="1" s="1"/>
  <c r="R65" i="1"/>
  <c r="R109" i="1" s="1"/>
  <c r="S65" i="1"/>
  <c r="S109" i="1" s="1"/>
  <c r="T65" i="1"/>
  <c r="T109" i="1" s="1"/>
  <c r="U65" i="1"/>
  <c r="U109" i="1" s="1"/>
  <c r="V65" i="1"/>
  <c r="V109" i="1" s="1"/>
  <c r="W65" i="1"/>
  <c r="W109" i="1" s="1"/>
  <c r="X65" i="1"/>
  <c r="X109" i="1" s="1"/>
  <c r="Y65" i="1"/>
  <c r="Y109" i="1" s="1"/>
  <c r="Z65" i="1"/>
  <c r="Z109" i="1" s="1"/>
  <c r="AA65" i="1"/>
  <c r="AA109" i="1" s="1"/>
  <c r="AB65" i="1"/>
  <c r="AB109" i="1" s="1"/>
  <c r="AC65" i="1"/>
  <c r="AC109" i="1" s="1"/>
  <c r="AD65" i="1"/>
  <c r="AD109" i="1" s="1"/>
  <c r="AE65" i="1"/>
  <c r="AE109" i="1" s="1"/>
  <c r="AF65" i="1"/>
  <c r="AF109" i="1" s="1"/>
  <c r="AG65" i="1"/>
  <c r="AG109" i="1" s="1"/>
  <c r="AH65" i="1"/>
  <c r="AH109" i="1" s="1"/>
  <c r="AI65" i="1"/>
  <c r="AI109" i="1" s="1"/>
  <c r="AJ65" i="1"/>
  <c r="AJ109" i="1" s="1"/>
  <c r="AK65" i="1"/>
  <c r="AK109" i="1" s="1"/>
  <c r="AL65" i="1"/>
  <c r="AL109" i="1" s="1"/>
  <c r="AM65" i="1"/>
  <c r="AM109" i="1" s="1"/>
  <c r="AN65" i="1"/>
  <c r="AN109" i="1" s="1"/>
  <c r="AO65" i="1"/>
  <c r="AO109" i="1" s="1"/>
  <c r="AP65" i="1"/>
  <c r="AP109" i="1" s="1"/>
  <c r="AQ65" i="1"/>
  <c r="AQ109" i="1" s="1"/>
  <c r="AR65" i="1"/>
  <c r="AR109" i="1" s="1"/>
  <c r="AS65" i="1"/>
  <c r="AS109" i="1" s="1"/>
  <c r="AT65" i="1"/>
  <c r="AT109" i="1" s="1"/>
  <c r="AU65" i="1"/>
  <c r="AU109" i="1" s="1"/>
  <c r="AV65" i="1"/>
  <c r="AV109" i="1" s="1"/>
  <c r="AW65" i="1"/>
  <c r="AW109" i="1" s="1"/>
  <c r="AX65" i="1"/>
  <c r="AX109" i="1" s="1"/>
  <c r="AY65" i="1"/>
  <c r="AY109" i="1" s="1"/>
  <c r="AZ65" i="1"/>
  <c r="AZ109" i="1" s="1"/>
  <c r="BA65" i="1"/>
  <c r="BA109" i="1" s="1"/>
  <c r="BB65" i="1"/>
  <c r="BB109" i="1" s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I66" i="1"/>
  <c r="I110" i="1" s="1"/>
  <c r="J66" i="1"/>
  <c r="J110" i="1" s="1"/>
  <c r="K66" i="1"/>
  <c r="K110" i="1" s="1"/>
  <c r="L66" i="1"/>
  <c r="L110" i="1" s="1"/>
  <c r="M66" i="1"/>
  <c r="M110" i="1" s="1"/>
  <c r="N66" i="1"/>
  <c r="N110" i="1" s="1"/>
  <c r="O66" i="1"/>
  <c r="O110" i="1" s="1"/>
  <c r="P66" i="1"/>
  <c r="P110" i="1" s="1"/>
  <c r="Q66" i="1"/>
  <c r="Q110" i="1" s="1"/>
  <c r="R66" i="1"/>
  <c r="R110" i="1" s="1"/>
  <c r="S66" i="1"/>
  <c r="S110" i="1" s="1"/>
  <c r="T66" i="1"/>
  <c r="T110" i="1" s="1"/>
  <c r="U66" i="1"/>
  <c r="U110" i="1" s="1"/>
  <c r="V66" i="1"/>
  <c r="V110" i="1" s="1"/>
  <c r="W66" i="1"/>
  <c r="W110" i="1" s="1"/>
  <c r="X66" i="1"/>
  <c r="X110" i="1" s="1"/>
  <c r="Y66" i="1"/>
  <c r="Y110" i="1" s="1"/>
  <c r="Z66" i="1"/>
  <c r="Z110" i="1" s="1"/>
  <c r="AA66" i="1"/>
  <c r="AA110" i="1" s="1"/>
  <c r="AB66" i="1"/>
  <c r="AB110" i="1" s="1"/>
  <c r="AC66" i="1"/>
  <c r="AC110" i="1" s="1"/>
  <c r="AD66" i="1"/>
  <c r="AD110" i="1" s="1"/>
  <c r="AE66" i="1"/>
  <c r="AE110" i="1" s="1"/>
  <c r="AF66" i="1"/>
  <c r="AF110" i="1" s="1"/>
  <c r="AG66" i="1"/>
  <c r="AG110" i="1" s="1"/>
  <c r="AH66" i="1"/>
  <c r="AH110" i="1" s="1"/>
  <c r="AI66" i="1"/>
  <c r="AI110" i="1" s="1"/>
  <c r="AJ66" i="1"/>
  <c r="AJ110" i="1" s="1"/>
  <c r="AK66" i="1"/>
  <c r="AK110" i="1" s="1"/>
  <c r="AL66" i="1"/>
  <c r="AL110" i="1" s="1"/>
  <c r="AM66" i="1"/>
  <c r="AM110" i="1" s="1"/>
  <c r="AN66" i="1"/>
  <c r="AN110" i="1" s="1"/>
  <c r="AO66" i="1"/>
  <c r="AO110" i="1" s="1"/>
  <c r="AP66" i="1"/>
  <c r="AP110" i="1" s="1"/>
  <c r="AQ66" i="1"/>
  <c r="AQ110" i="1" s="1"/>
  <c r="AR66" i="1"/>
  <c r="AR110" i="1" s="1"/>
  <c r="AS66" i="1"/>
  <c r="AS110" i="1" s="1"/>
  <c r="AT66" i="1"/>
  <c r="AT110" i="1" s="1"/>
  <c r="AU66" i="1"/>
  <c r="AU110" i="1" s="1"/>
  <c r="AV66" i="1"/>
  <c r="AV110" i="1" s="1"/>
  <c r="AW66" i="1"/>
  <c r="AW110" i="1" s="1"/>
  <c r="AX66" i="1"/>
  <c r="AX110" i="1" s="1"/>
  <c r="AY66" i="1"/>
  <c r="AY110" i="1" s="1"/>
  <c r="AZ66" i="1"/>
  <c r="AZ110" i="1" s="1"/>
  <c r="BA66" i="1"/>
  <c r="BA110" i="1" s="1"/>
  <c r="BB66" i="1"/>
  <c r="BB110" i="1" s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I67" i="1"/>
  <c r="I111" i="1" s="1"/>
  <c r="J67" i="1"/>
  <c r="J111" i="1" s="1"/>
  <c r="K67" i="1"/>
  <c r="K111" i="1" s="1"/>
  <c r="L67" i="1"/>
  <c r="L111" i="1" s="1"/>
  <c r="M67" i="1"/>
  <c r="M111" i="1" s="1"/>
  <c r="N67" i="1"/>
  <c r="N111" i="1" s="1"/>
  <c r="O67" i="1"/>
  <c r="O111" i="1" s="1"/>
  <c r="P67" i="1"/>
  <c r="P111" i="1" s="1"/>
  <c r="Q67" i="1"/>
  <c r="Q111" i="1" s="1"/>
  <c r="R67" i="1"/>
  <c r="R111" i="1" s="1"/>
  <c r="S67" i="1"/>
  <c r="S111" i="1" s="1"/>
  <c r="T67" i="1"/>
  <c r="T111" i="1" s="1"/>
  <c r="U67" i="1"/>
  <c r="U111" i="1" s="1"/>
  <c r="V67" i="1"/>
  <c r="V111" i="1" s="1"/>
  <c r="W67" i="1"/>
  <c r="W111" i="1" s="1"/>
  <c r="X67" i="1"/>
  <c r="X111" i="1" s="1"/>
  <c r="Y67" i="1"/>
  <c r="Y111" i="1" s="1"/>
  <c r="Z67" i="1"/>
  <c r="Z111" i="1" s="1"/>
  <c r="AA67" i="1"/>
  <c r="AA111" i="1" s="1"/>
  <c r="AB67" i="1"/>
  <c r="AB111" i="1" s="1"/>
  <c r="AC67" i="1"/>
  <c r="AC111" i="1" s="1"/>
  <c r="AD67" i="1"/>
  <c r="AD111" i="1" s="1"/>
  <c r="AE67" i="1"/>
  <c r="AE111" i="1" s="1"/>
  <c r="AF67" i="1"/>
  <c r="AF111" i="1" s="1"/>
  <c r="AG67" i="1"/>
  <c r="AG111" i="1" s="1"/>
  <c r="AH67" i="1"/>
  <c r="AH111" i="1" s="1"/>
  <c r="AI67" i="1"/>
  <c r="AI111" i="1" s="1"/>
  <c r="AJ67" i="1"/>
  <c r="AJ111" i="1" s="1"/>
  <c r="AK67" i="1"/>
  <c r="AK111" i="1" s="1"/>
  <c r="AL67" i="1"/>
  <c r="AL111" i="1" s="1"/>
  <c r="AM67" i="1"/>
  <c r="AM111" i="1" s="1"/>
  <c r="AN67" i="1"/>
  <c r="AN111" i="1" s="1"/>
  <c r="AO67" i="1"/>
  <c r="AO111" i="1" s="1"/>
  <c r="AP67" i="1"/>
  <c r="AP111" i="1" s="1"/>
  <c r="AQ67" i="1"/>
  <c r="AQ111" i="1" s="1"/>
  <c r="AR67" i="1"/>
  <c r="AR111" i="1" s="1"/>
  <c r="AS67" i="1"/>
  <c r="AS111" i="1" s="1"/>
  <c r="AT67" i="1"/>
  <c r="AT111" i="1" s="1"/>
  <c r="AU67" i="1"/>
  <c r="AU111" i="1" s="1"/>
  <c r="AV67" i="1"/>
  <c r="AV111" i="1" s="1"/>
  <c r="AW67" i="1"/>
  <c r="AW111" i="1" s="1"/>
  <c r="AX67" i="1"/>
  <c r="AX111" i="1" s="1"/>
  <c r="AY67" i="1"/>
  <c r="AY111" i="1" s="1"/>
  <c r="AZ67" i="1"/>
  <c r="AZ111" i="1" s="1"/>
  <c r="BA67" i="1"/>
  <c r="BA111" i="1" s="1"/>
  <c r="BB67" i="1"/>
  <c r="BB111" i="1" s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I68" i="1"/>
  <c r="I112" i="1" s="1"/>
  <c r="J68" i="1"/>
  <c r="J112" i="1" s="1"/>
  <c r="K68" i="1"/>
  <c r="K112" i="1" s="1"/>
  <c r="L68" i="1"/>
  <c r="L112" i="1" s="1"/>
  <c r="M68" i="1"/>
  <c r="M112" i="1" s="1"/>
  <c r="N68" i="1"/>
  <c r="N112" i="1" s="1"/>
  <c r="O68" i="1"/>
  <c r="O112" i="1" s="1"/>
  <c r="P68" i="1"/>
  <c r="P112" i="1" s="1"/>
  <c r="Q68" i="1"/>
  <c r="Q112" i="1" s="1"/>
  <c r="R68" i="1"/>
  <c r="R112" i="1" s="1"/>
  <c r="S68" i="1"/>
  <c r="S112" i="1" s="1"/>
  <c r="T68" i="1"/>
  <c r="T112" i="1" s="1"/>
  <c r="U68" i="1"/>
  <c r="U112" i="1" s="1"/>
  <c r="V68" i="1"/>
  <c r="V112" i="1" s="1"/>
  <c r="W68" i="1"/>
  <c r="W112" i="1" s="1"/>
  <c r="X68" i="1"/>
  <c r="X112" i="1" s="1"/>
  <c r="Y68" i="1"/>
  <c r="Y112" i="1" s="1"/>
  <c r="Z68" i="1"/>
  <c r="Z112" i="1" s="1"/>
  <c r="AA68" i="1"/>
  <c r="AA112" i="1" s="1"/>
  <c r="AB68" i="1"/>
  <c r="AB112" i="1" s="1"/>
  <c r="AC68" i="1"/>
  <c r="AC112" i="1" s="1"/>
  <c r="AD68" i="1"/>
  <c r="AD112" i="1" s="1"/>
  <c r="AE68" i="1"/>
  <c r="AE112" i="1" s="1"/>
  <c r="AF68" i="1"/>
  <c r="AF112" i="1" s="1"/>
  <c r="AG68" i="1"/>
  <c r="AG112" i="1" s="1"/>
  <c r="AH68" i="1"/>
  <c r="AH112" i="1" s="1"/>
  <c r="AI68" i="1"/>
  <c r="AI112" i="1" s="1"/>
  <c r="AJ68" i="1"/>
  <c r="AJ112" i="1" s="1"/>
  <c r="AK68" i="1"/>
  <c r="AK112" i="1" s="1"/>
  <c r="AL68" i="1"/>
  <c r="AL112" i="1" s="1"/>
  <c r="AM68" i="1"/>
  <c r="AM112" i="1" s="1"/>
  <c r="AN68" i="1"/>
  <c r="AN112" i="1" s="1"/>
  <c r="AO68" i="1"/>
  <c r="AO112" i="1" s="1"/>
  <c r="AP68" i="1"/>
  <c r="AP112" i="1" s="1"/>
  <c r="AQ68" i="1"/>
  <c r="AQ112" i="1" s="1"/>
  <c r="AR68" i="1"/>
  <c r="AR112" i="1" s="1"/>
  <c r="AS68" i="1"/>
  <c r="AS112" i="1" s="1"/>
  <c r="AT68" i="1"/>
  <c r="AT112" i="1" s="1"/>
  <c r="AU68" i="1"/>
  <c r="AU112" i="1" s="1"/>
  <c r="AV68" i="1"/>
  <c r="AV112" i="1" s="1"/>
  <c r="AW68" i="1"/>
  <c r="AW112" i="1" s="1"/>
  <c r="AX68" i="1"/>
  <c r="AX112" i="1" s="1"/>
  <c r="AY68" i="1"/>
  <c r="AY112" i="1" s="1"/>
  <c r="AZ68" i="1"/>
  <c r="AZ112" i="1" s="1"/>
  <c r="BA68" i="1"/>
  <c r="BA112" i="1" s="1"/>
  <c r="BB68" i="1"/>
  <c r="BB112" i="1" s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I69" i="1"/>
  <c r="I113" i="1" s="1"/>
  <c r="J69" i="1"/>
  <c r="J113" i="1" s="1"/>
  <c r="K69" i="1"/>
  <c r="K113" i="1" s="1"/>
  <c r="L69" i="1"/>
  <c r="L113" i="1" s="1"/>
  <c r="M69" i="1"/>
  <c r="M113" i="1" s="1"/>
  <c r="N69" i="1"/>
  <c r="N113" i="1" s="1"/>
  <c r="O69" i="1"/>
  <c r="O113" i="1" s="1"/>
  <c r="P69" i="1"/>
  <c r="P113" i="1" s="1"/>
  <c r="Q69" i="1"/>
  <c r="Q113" i="1" s="1"/>
  <c r="R69" i="1"/>
  <c r="R113" i="1" s="1"/>
  <c r="S69" i="1"/>
  <c r="S113" i="1" s="1"/>
  <c r="T69" i="1"/>
  <c r="T113" i="1" s="1"/>
  <c r="U69" i="1"/>
  <c r="U113" i="1" s="1"/>
  <c r="V69" i="1"/>
  <c r="V113" i="1" s="1"/>
  <c r="W69" i="1"/>
  <c r="W113" i="1" s="1"/>
  <c r="X69" i="1"/>
  <c r="X113" i="1" s="1"/>
  <c r="Y69" i="1"/>
  <c r="Y113" i="1" s="1"/>
  <c r="Z69" i="1"/>
  <c r="Z113" i="1" s="1"/>
  <c r="AA69" i="1"/>
  <c r="AA113" i="1" s="1"/>
  <c r="AB69" i="1"/>
  <c r="AB113" i="1" s="1"/>
  <c r="AC69" i="1"/>
  <c r="AC113" i="1" s="1"/>
  <c r="AD69" i="1"/>
  <c r="AD113" i="1" s="1"/>
  <c r="AE69" i="1"/>
  <c r="AE113" i="1" s="1"/>
  <c r="AF69" i="1"/>
  <c r="AF113" i="1" s="1"/>
  <c r="AG69" i="1"/>
  <c r="AG113" i="1" s="1"/>
  <c r="AH69" i="1"/>
  <c r="AH113" i="1" s="1"/>
  <c r="AI69" i="1"/>
  <c r="AI113" i="1" s="1"/>
  <c r="AJ69" i="1"/>
  <c r="AJ113" i="1" s="1"/>
  <c r="AK69" i="1"/>
  <c r="AK113" i="1" s="1"/>
  <c r="AL69" i="1"/>
  <c r="AL113" i="1" s="1"/>
  <c r="AM69" i="1"/>
  <c r="AM113" i="1" s="1"/>
  <c r="AN69" i="1"/>
  <c r="AN113" i="1" s="1"/>
  <c r="AO69" i="1"/>
  <c r="AO113" i="1" s="1"/>
  <c r="AP69" i="1"/>
  <c r="AP113" i="1" s="1"/>
  <c r="AQ69" i="1"/>
  <c r="AQ113" i="1" s="1"/>
  <c r="AR69" i="1"/>
  <c r="AR113" i="1" s="1"/>
  <c r="AS69" i="1"/>
  <c r="AS113" i="1" s="1"/>
  <c r="AT69" i="1"/>
  <c r="AT113" i="1" s="1"/>
  <c r="AU69" i="1"/>
  <c r="AU113" i="1" s="1"/>
  <c r="AV69" i="1"/>
  <c r="AV113" i="1" s="1"/>
  <c r="AW69" i="1"/>
  <c r="AW113" i="1" s="1"/>
  <c r="AX69" i="1"/>
  <c r="AX113" i="1" s="1"/>
  <c r="AY69" i="1"/>
  <c r="AY113" i="1" s="1"/>
  <c r="AZ69" i="1"/>
  <c r="AZ113" i="1" s="1"/>
  <c r="BA69" i="1"/>
  <c r="BA113" i="1" s="1"/>
  <c r="BB69" i="1"/>
  <c r="BB113" i="1" s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I70" i="1"/>
  <c r="I114" i="1" s="1"/>
  <c r="J70" i="1"/>
  <c r="J114" i="1" s="1"/>
  <c r="K70" i="1"/>
  <c r="K114" i="1" s="1"/>
  <c r="L70" i="1"/>
  <c r="L114" i="1" s="1"/>
  <c r="M70" i="1"/>
  <c r="M114" i="1" s="1"/>
  <c r="N70" i="1"/>
  <c r="N114" i="1" s="1"/>
  <c r="O70" i="1"/>
  <c r="O114" i="1" s="1"/>
  <c r="P70" i="1"/>
  <c r="P114" i="1" s="1"/>
  <c r="Q70" i="1"/>
  <c r="Q114" i="1" s="1"/>
  <c r="R70" i="1"/>
  <c r="R114" i="1" s="1"/>
  <c r="S70" i="1"/>
  <c r="S114" i="1" s="1"/>
  <c r="T70" i="1"/>
  <c r="T114" i="1" s="1"/>
  <c r="U70" i="1"/>
  <c r="U114" i="1" s="1"/>
  <c r="V70" i="1"/>
  <c r="V114" i="1" s="1"/>
  <c r="W70" i="1"/>
  <c r="W114" i="1" s="1"/>
  <c r="X70" i="1"/>
  <c r="X114" i="1" s="1"/>
  <c r="Y70" i="1"/>
  <c r="Y114" i="1" s="1"/>
  <c r="Z70" i="1"/>
  <c r="Z114" i="1" s="1"/>
  <c r="AA70" i="1"/>
  <c r="AA114" i="1" s="1"/>
  <c r="AB70" i="1"/>
  <c r="AB114" i="1" s="1"/>
  <c r="AC70" i="1"/>
  <c r="AC114" i="1" s="1"/>
  <c r="AD70" i="1"/>
  <c r="AD114" i="1" s="1"/>
  <c r="AE70" i="1"/>
  <c r="AE114" i="1" s="1"/>
  <c r="AF70" i="1"/>
  <c r="AF114" i="1" s="1"/>
  <c r="AG70" i="1"/>
  <c r="AG114" i="1" s="1"/>
  <c r="AH70" i="1"/>
  <c r="AH114" i="1" s="1"/>
  <c r="AI70" i="1"/>
  <c r="AI114" i="1" s="1"/>
  <c r="AJ70" i="1"/>
  <c r="AJ114" i="1" s="1"/>
  <c r="AK70" i="1"/>
  <c r="AK114" i="1" s="1"/>
  <c r="AL70" i="1"/>
  <c r="AL114" i="1" s="1"/>
  <c r="AM70" i="1"/>
  <c r="AM114" i="1" s="1"/>
  <c r="AN70" i="1"/>
  <c r="AN114" i="1" s="1"/>
  <c r="AO70" i="1"/>
  <c r="AO114" i="1" s="1"/>
  <c r="AP70" i="1"/>
  <c r="AP114" i="1" s="1"/>
  <c r="AQ70" i="1"/>
  <c r="AQ114" i="1" s="1"/>
  <c r="AR70" i="1"/>
  <c r="AR114" i="1" s="1"/>
  <c r="AS70" i="1"/>
  <c r="AS114" i="1" s="1"/>
  <c r="AT70" i="1"/>
  <c r="AT114" i="1" s="1"/>
  <c r="AU70" i="1"/>
  <c r="AU114" i="1" s="1"/>
  <c r="AV70" i="1"/>
  <c r="AV114" i="1" s="1"/>
  <c r="AW70" i="1"/>
  <c r="AW114" i="1" s="1"/>
  <c r="AX70" i="1"/>
  <c r="AX114" i="1" s="1"/>
  <c r="AY70" i="1"/>
  <c r="AY114" i="1" s="1"/>
  <c r="AZ70" i="1"/>
  <c r="AZ114" i="1" s="1"/>
  <c r="BA70" i="1"/>
  <c r="BA114" i="1" s="1"/>
  <c r="BB70" i="1"/>
  <c r="BB114" i="1" s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I71" i="1"/>
  <c r="I115" i="1" s="1"/>
  <c r="J71" i="1"/>
  <c r="J115" i="1" s="1"/>
  <c r="K71" i="1"/>
  <c r="K115" i="1" s="1"/>
  <c r="L71" i="1"/>
  <c r="L115" i="1" s="1"/>
  <c r="M71" i="1"/>
  <c r="M115" i="1" s="1"/>
  <c r="N71" i="1"/>
  <c r="N115" i="1" s="1"/>
  <c r="O71" i="1"/>
  <c r="O115" i="1" s="1"/>
  <c r="P71" i="1"/>
  <c r="P115" i="1" s="1"/>
  <c r="Q71" i="1"/>
  <c r="Q115" i="1" s="1"/>
  <c r="R71" i="1"/>
  <c r="R115" i="1" s="1"/>
  <c r="S71" i="1"/>
  <c r="S115" i="1" s="1"/>
  <c r="T71" i="1"/>
  <c r="T115" i="1" s="1"/>
  <c r="U71" i="1"/>
  <c r="U115" i="1" s="1"/>
  <c r="V71" i="1"/>
  <c r="V115" i="1" s="1"/>
  <c r="W71" i="1"/>
  <c r="W115" i="1" s="1"/>
  <c r="X71" i="1"/>
  <c r="X115" i="1" s="1"/>
  <c r="Y71" i="1"/>
  <c r="Y115" i="1" s="1"/>
  <c r="Z71" i="1"/>
  <c r="Z115" i="1" s="1"/>
  <c r="AA71" i="1"/>
  <c r="AA115" i="1" s="1"/>
  <c r="AB71" i="1"/>
  <c r="AB115" i="1" s="1"/>
  <c r="AC71" i="1"/>
  <c r="AC115" i="1" s="1"/>
  <c r="AD71" i="1"/>
  <c r="AD115" i="1" s="1"/>
  <c r="AE71" i="1"/>
  <c r="AE115" i="1" s="1"/>
  <c r="AF71" i="1"/>
  <c r="AF115" i="1" s="1"/>
  <c r="AG71" i="1"/>
  <c r="AG115" i="1" s="1"/>
  <c r="AH71" i="1"/>
  <c r="AH115" i="1" s="1"/>
  <c r="AI71" i="1"/>
  <c r="AI115" i="1" s="1"/>
  <c r="AJ71" i="1"/>
  <c r="AJ115" i="1" s="1"/>
  <c r="AK71" i="1"/>
  <c r="AK115" i="1" s="1"/>
  <c r="AL71" i="1"/>
  <c r="AL115" i="1" s="1"/>
  <c r="AM71" i="1"/>
  <c r="AM115" i="1" s="1"/>
  <c r="AN71" i="1"/>
  <c r="AN115" i="1" s="1"/>
  <c r="AO71" i="1"/>
  <c r="AO115" i="1" s="1"/>
  <c r="AP71" i="1"/>
  <c r="AP115" i="1" s="1"/>
  <c r="AQ71" i="1"/>
  <c r="AQ115" i="1" s="1"/>
  <c r="AR71" i="1"/>
  <c r="AR115" i="1" s="1"/>
  <c r="AS71" i="1"/>
  <c r="AS115" i="1" s="1"/>
  <c r="AT71" i="1"/>
  <c r="AT115" i="1" s="1"/>
  <c r="AU71" i="1"/>
  <c r="AU115" i="1" s="1"/>
  <c r="AV71" i="1"/>
  <c r="AV115" i="1" s="1"/>
  <c r="AW71" i="1"/>
  <c r="AW115" i="1" s="1"/>
  <c r="AX71" i="1"/>
  <c r="AX115" i="1" s="1"/>
  <c r="AY71" i="1"/>
  <c r="AY115" i="1" s="1"/>
  <c r="AZ71" i="1"/>
  <c r="AZ115" i="1" s="1"/>
  <c r="BA71" i="1"/>
  <c r="BA115" i="1" s="1"/>
  <c r="BB71" i="1"/>
  <c r="BB115" i="1" s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I72" i="1"/>
  <c r="I116" i="1" s="1"/>
  <c r="J72" i="1"/>
  <c r="J116" i="1" s="1"/>
  <c r="K72" i="1"/>
  <c r="K116" i="1" s="1"/>
  <c r="L72" i="1"/>
  <c r="L116" i="1" s="1"/>
  <c r="M72" i="1"/>
  <c r="M116" i="1" s="1"/>
  <c r="N72" i="1"/>
  <c r="N116" i="1" s="1"/>
  <c r="O72" i="1"/>
  <c r="O116" i="1" s="1"/>
  <c r="P72" i="1"/>
  <c r="P116" i="1" s="1"/>
  <c r="Q72" i="1"/>
  <c r="Q116" i="1" s="1"/>
  <c r="R72" i="1"/>
  <c r="R116" i="1" s="1"/>
  <c r="S72" i="1"/>
  <c r="S116" i="1" s="1"/>
  <c r="T72" i="1"/>
  <c r="T116" i="1" s="1"/>
  <c r="U72" i="1"/>
  <c r="U116" i="1" s="1"/>
  <c r="V72" i="1"/>
  <c r="V116" i="1" s="1"/>
  <c r="W72" i="1"/>
  <c r="W116" i="1" s="1"/>
  <c r="X72" i="1"/>
  <c r="X116" i="1" s="1"/>
  <c r="Y72" i="1"/>
  <c r="Y116" i="1" s="1"/>
  <c r="Z72" i="1"/>
  <c r="Z116" i="1" s="1"/>
  <c r="AA72" i="1"/>
  <c r="AA116" i="1" s="1"/>
  <c r="AB72" i="1"/>
  <c r="AB116" i="1" s="1"/>
  <c r="AC72" i="1"/>
  <c r="AC116" i="1" s="1"/>
  <c r="AD72" i="1"/>
  <c r="AD116" i="1" s="1"/>
  <c r="AE72" i="1"/>
  <c r="AE116" i="1" s="1"/>
  <c r="AF72" i="1"/>
  <c r="AF116" i="1" s="1"/>
  <c r="AG72" i="1"/>
  <c r="AG116" i="1" s="1"/>
  <c r="AH72" i="1"/>
  <c r="AH116" i="1" s="1"/>
  <c r="AI72" i="1"/>
  <c r="AI116" i="1" s="1"/>
  <c r="AJ72" i="1"/>
  <c r="AJ116" i="1" s="1"/>
  <c r="AK72" i="1"/>
  <c r="AK116" i="1" s="1"/>
  <c r="AL72" i="1"/>
  <c r="AL116" i="1" s="1"/>
  <c r="AM72" i="1"/>
  <c r="AM116" i="1" s="1"/>
  <c r="AN72" i="1"/>
  <c r="AN116" i="1" s="1"/>
  <c r="AO72" i="1"/>
  <c r="AO116" i="1" s="1"/>
  <c r="AP72" i="1"/>
  <c r="AP116" i="1" s="1"/>
  <c r="AQ72" i="1"/>
  <c r="AQ116" i="1" s="1"/>
  <c r="AR72" i="1"/>
  <c r="AR116" i="1" s="1"/>
  <c r="AS72" i="1"/>
  <c r="AS116" i="1" s="1"/>
  <c r="AT72" i="1"/>
  <c r="AT116" i="1" s="1"/>
  <c r="AU72" i="1"/>
  <c r="AU116" i="1" s="1"/>
  <c r="AV72" i="1"/>
  <c r="AV116" i="1" s="1"/>
  <c r="AW72" i="1"/>
  <c r="AW116" i="1" s="1"/>
  <c r="AX72" i="1"/>
  <c r="AX116" i="1" s="1"/>
  <c r="AY72" i="1"/>
  <c r="AY116" i="1" s="1"/>
  <c r="AZ72" i="1"/>
  <c r="AZ116" i="1" s="1"/>
  <c r="BA72" i="1"/>
  <c r="BA116" i="1" s="1"/>
  <c r="BB72" i="1"/>
  <c r="BB116" i="1" s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I73" i="1"/>
  <c r="I117" i="1" s="1"/>
  <c r="J73" i="1"/>
  <c r="J117" i="1" s="1"/>
  <c r="K73" i="1"/>
  <c r="K117" i="1" s="1"/>
  <c r="L73" i="1"/>
  <c r="L117" i="1" s="1"/>
  <c r="M73" i="1"/>
  <c r="M117" i="1" s="1"/>
  <c r="N73" i="1"/>
  <c r="N117" i="1" s="1"/>
  <c r="O73" i="1"/>
  <c r="O117" i="1" s="1"/>
  <c r="P73" i="1"/>
  <c r="P117" i="1" s="1"/>
  <c r="Q73" i="1"/>
  <c r="Q117" i="1" s="1"/>
  <c r="R73" i="1"/>
  <c r="R117" i="1" s="1"/>
  <c r="S73" i="1"/>
  <c r="S117" i="1" s="1"/>
  <c r="T73" i="1"/>
  <c r="T117" i="1" s="1"/>
  <c r="U73" i="1"/>
  <c r="U117" i="1" s="1"/>
  <c r="V73" i="1"/>
  <c r="V117" i="1" s="1"/>
  <c r="W73" i="1"/>
  <c r="W117" i="1" s="1"/>
  <c r="X73" i="1"/>
  <c r="X117" i="1" s="1"/>
  <c r="Y73" i="1"/>
  <c r="Y117" i="1" s="1"/>
  <c r="Z73" i="1"/>
  <c r="Z117" i="1" s="1"/>
  <c r="AA73" i="1"/>
  <c r="AA117" i="1" s="1"/>
  <c r="AB73" i="1"/>
  <c r="AB117" i="1" s="1"/>
  <c r="AC73" i="1"/>
  <c r="AC117" i="1" s="1"/>
  <c r="AD73" i="1"/>
  <c r="AD117" i="1" s="1"/>
  <c r="AE73" i="1"/>
  <c r="AE117" i="1" s="1"/>
  <c r="AF73" i="1"/>
  <c r="AF117" i="1" s="1"/>
  <c r="AG73" i="1"/>
  <c r="AG117" i="1" s="1"/>
  <c r="AH73" i="1"/>
  <c r="AH117" i="1" s="1"/>
  <c r="AI73" i="1"/>
  <c r="AI117" i="1" s="1"/>
  <c r="AJ73" i="1"/>
  <c r="AJ117" i="1" s="1"/>
  <c r="AK73" i="1"/>
  <c r="AK117" i="1" s="1"/>
  <c r="AL73" i="1"/>
  <c r="AL117" i="1" s="1"/>
  <c r="AM73" i="1"/>
  <c r="AM117" i="1" s="1"/>
  <c r="AN73" i="1"/>
  <c r="AN117" i="1" s="1"/>
  <c r="AO73" i="1"/>
  <c r="AO117" i="1" s="1"/>
  <c r="AP73" i="1"/>
  <c r="AP117" i="1" s="1"/>
  <c r="AQ73" i="1"/>
  <c r="AQ117" i="1" s="1"/>
  <c r="AR73" i="1"/>
  <c r="AR117" i="1" s="1"/>
  <c r="AS73" i="1"/>
  <c r="AS117" i="1" s="1"/>
  <c r="AT73" i="1"/>
  <c r="AT117" i="1" s="1"/>
  <c r="AU73" i="1"/>
  <c r="AU117" i="1" s="1"/>
  <c r="AV73" i="1"/>
  <c r="AV117" i="1" s="1"/>
  <c r="AW73" i="1"/>
  <c r="AW117" i="1" s="1"/>
  <c r="AX73" i="1"/>
  <c r="AX117" i="1" s="1"/>
  <c r="AY73" i="1"/>
  <c r="AY117" i="1" s="1"/>
  <c r="AZ73" i="1"/>
  <c r="AZ117" i="1" s="1"/>
  <c r="BA73" i="1"/>
  <c r="BA117" i="1" s="1"/>
  <c r="BB73" i="1"/>
  <c r="BB117" i="1" s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I74" i="1"/>
  <c r="I118" i="1" s="1"/>
  <c r="J74" i="1"/>
  <c r="J118" i="1" s="1"/>
  <c r="K74" i="1"/>
  <c r="K118" i="1" s="1"/>
  <c r="L74" i="1"/>
  <c r="L118" i="1" s="1"/>
  <c r="M74" i="1"/>
  <c r="M118" i="1" s="1"/>
  <c r="N74" i="1"/>
  <c r="N118" i="1" s="1"/>
  <c r="O74" i="1"/>
  <c r="O118" i="1" s="1"/>
  <c r="P74" i="1"/>
  <c r="P118" i="1" s="1"/>
  <c r="Q74" i="1"/>
  <c r="Q118" i="1" s="1"/>
  <c r="R74" i="1"/>
  <c r="R118" i="1" s="1"/>
  <c r="S74" i="1"/>
  <c r="S118" i="1" s="1"/>
  <c r="T74" i="1"/>
  <c r="T118" i="1" s="1"/>
  <c r="U74" i="1"/>
  <c r="U118" i="1" s="1"/>
  <c r="V74" i="1"/>
  <c r="V118" i="1" s="1"/>
  <c r="W74" i="1"/>
  <c r="W118" i="1" s="1"/>
  <c r="X74" i="1"/>
  <c r="X118" i="1" s="1"/>
  <c r="Y74" i="1"/>
  <c r="Y118" i="1" s="1"/>
  <c r="Z74" i="1"/>
  <c r="Z118" i="1" s="1"/>
  <c r="AA74" i="1"/>
  <c r="AA118" i="1" s="1"/>
  <c r="AB74" i="1"/>
  <c r="AB118" i="1" s="1"/>
  <c r="AC74" i="1"/>
  <c r="AC118" i="1" s="1"/>
  <c r="AD74" i="1"/>
  <c r="AD118" i="1" s="1"/>
  <c r="AE74" i="1"/>
  <c r="AE118" i="1" s="1"/>
  <c r="AF74" i="1"/>
  <c r="AF118" i="1" s="1"/>
  <c r="AG74" i="1"/>
  <c r="AG118" i="1" s="1"/>
  <c r="AH74" i="1"/>
  <c r="AH118" i="1" s="1"/>
  <c r="AI74" i="1"/>
  <c r="AI118" i="1" s="1"/>
  <c r="AJ74" i="1"/>
  <c r="AJ118" i="1" s="1"/>
  <c r="AK74" i="1"/>
  <c r="AK118" i="1" s="1"/>
  <c r="AL74" i="1"/>
  <c r="AL118" i="1" s="1"/>
  <c r="AM74" i="1"/>
  <c r="AM118" i="1" s="1"/>
  <c r="AN74" i="1"/>
  <c r="AN118" i="1" s="1"/>
  <c r="AO74" i="1"/>
  <c r="AO118" i="1" s="1"/>
  <c r="AP74" i="1"/>
  <c r="AP118" i="1" s="1"/>
  <c r="AQ74" i="1"/>
  <c r="AQ118" i="1" s="1"/>
  <c r="AR74" i="1"/>
  <c r="AR118" i="1" s="1"/>
  <c r="AS74" i="1"/>
  <c r="AS118" i="1" s="1"/>
  <c r="AT74" i="1"/>
  <c r="AT118" i="1" s="1"/>
  <c r="AU74" i="1"/>
  <c r="AU118" i="1" s="1"/>
  <c r="AV74" i="1"/>
  <c r="AV118" i="1" s="1"/>
  <c r="AW74" i="1"/>
  <c r="AW118" i="1" s="1"/>
  <c r="AX74" i="1"/>
  <c r="AX118" i="1" s="1"/>
  <c r="AY74" i="1"/>
  <c r="AY118" i="1" s="1"/>
  <c r="AZ74" i="1"/>
  <c r="AZ118" i="1" s="1"/>
  <c r="BA74" i="1"/>
  <c r="BA118" i="1" s="1"/>
  <c r="BB74" i="1"/>
  <c r="BB118" i="1" s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H60" i="1"/>
  <c r="H61" i="1"/>
  <c r="H62" i="1"/>
  <c r="H63" i="1"/>
  <c r="H65" i="1"/>
  <c r="H66" i="1"/>
  <c r="H67" i="1"/>
  <c r="H68" i="1"/>
  <c r="H69" i="1"/>
  <c r="H70" i="1"/>
  <c r="H71" i="1"/>
  <c r="H72" i="1"/>
  <c r="H73" i="1"/>
  <c r="BR58" i="1" l="1"/>
  <c r="BR83" i="1" s="1"/>
  <c r="H89" i="1"/>
  <c r="H108" i="1"/>
  <c r="H102" i="1"/>
  <c r="P107" i="1"/>
  <c r="L107" i="1"/>
  <c r="BA106" i="1"/>
  <c r="AW106" i="1"/>
  <c r="AP106" i="1"/>
  <c r="AH106" i="1"/>
  <c r="Z106" i="1"/>
  <c r="R106" i="1"/>
  <c r="J106" i="1"/>
  <c r="AU105" i="1"/>
  <c r="AM105" i="1"/>
  <c r="AE105" i="1"/>
  <c r="W105" i="1"/>
  <c r="O105" i="1"/>
  <c r="AZ104" i="1"/>
  <c r="AR104" i="1"/>
  <c r="AJ104" i="1"/>
  <c r="AB104" i="1"/>
  <c r="T104" i="1"/>
  <c r="L104" i="1"/>
  <c r="AW103" i="1"/>
  <c r="AO103" i="1"/>
  <c r="AG103" i="1"/>
  <c r="Y103" i="1"/>
  <c r="Q103" i="1"/>
  <c r="BA102" i="1"/>
  <c r="AS102" i="1"/>
  <c r="AK102" i="1"/>
  <c r="AC102" i="1"/>
  <c r="R102" i="1"/>
  <c r="N103" i="1"/>
  <c r="K107" i="1"/>
  <c r="AZ106" i="1"/>
  <c r="AU106" i="1"/>
  <c r="AM106" i="1"/>
  <c r="AE106" i="1"/>
  <c r="W106" i="1"/>
  <c r="O106" i="1"/>
  <c r="AZ105" i="1"/>
  <c r="AR105" i="1"/>
  <c r="AJ105" i="1"/>
  <c r="AB105" i="1"/>
  <c r="T105" i="1"/>
  <c r="L105" i="1"/>
  <c r="AW104" i="1"/>
  <c r="AO104" i="1"/>
  <c r="AG104" i="1"/>
  <c r="Y104" i="1"/>
  <c r="Q104" i="1"/>
  <c r="I104" i="1"/>
  <c r="BB103" i="1"/>
  <c r="AT103" i="1"/>
  <c r="AL103" i="1"/>
  <c r="AD103" i="1"/>
  <c r="V103" i="1"/>
  <c r="M103" i="1"/>
  <c r="AX102" i="1"/>
  <c r="AP102" i="1"/>
  <c r="AH102" i="1"/>
  <c r="Z102" i="1"/>
  <c r="N102" i="1"/>
  <c r="AY106" i="1"/>
  <c r="AT106" i="1"/>
  <c r="AL106" i="1"/>
  <c r="AD106" i="1"/>
  <c r="V106" i="1"/>
  <c r="N106" i="1"/>
  <c r="AY105" i="1"/>
  <c r="AQ105" i="1"/>
  <c r="AI105" i="1"/>
  <c r="AA105" i="1"/>
  <c r="S105" i="1"/>
  <c r="K105" i="1"/>
  <c r="AV104" i="1"/>
  <c r="AN104" i="1"/>
  <c r="AF104" i="1"/>
  <c r="X104" i="1"/>
  <c r="P104" i="1"/>
  <c r="BA103" i="1"/>
  <c r="AS103" i="1"/>
  <c r="AK103" i="1"/>
  <c r="AC103" i="1"/>
  <c r="U103" i="1"/>
  <c r="L103" i="1"/>
  <c r="AW102" i="1"/>
  <c r="AO102" i="1"/>
  <c r="AG102" i="1"/>
  <c r="Y102" i="1"/>
  <c r="J102" i="1"/>
  <c r="BM98" i="1"/>
  <c r="BM117" i="1"/>
  <c r="BJ99" i="1"/>
  <c r="BJ118" i="1"/>
  <c r="BF99" i="1"/>
  <c r="BF118" i="1"/>
  <c r="BO98" i="1"/>
  <c r="BO117" i="1"/>
  <c r="BK98" i="1"/>
  <c r="BK117" i="1"/>
  <c r="BG98" i="1"/>
  <c r="BG117" i="1"/>
  <c r="BC98" i="1"/>
  <c r="BC117" i="1"/>
  <c r="BP97" i="1"/>
  <c r="BP116" i="1"/>
  <c r="BL97" i="1"/>
  <c r="BL116" i="1"/>
  <c r="BH97" i="1"/>
  <c r="BH116" i="1"/>
  <c r="BD97" i="1"/>
  <c r="BD116" i="1"/>
  <c r="BQ96" i="1"/>
  <c r="BQ115" i="1"/>
  <c r="BM96" i="1"/>
  <c r="BM115" i="1"/>
  <c r="BI96" i="1"/>
  <c r="BI115" i="1"/>
  <c r="BE96" i="1"/>
  <c r="BE115" i="1"/>
  <c r="BN95" i="1"/>
  <c r="BN114" i="1"/>
  <c r="BJ95" i="1"/>
  <c r="BJ114" i="1"/>
  <c r="BF95" i="1"/>
  <c r="BF114" i="1"/>
  <c r="BO94" i="1"/>
  <c r="BO113" i="1"/>
  <c r="BK94" i="1"/>
  <c r="BK113" i="1"/>
  <c r="BG94" i="1"/>
  <c r="BG113" i="1"/>
  <c r="BC94" i="1"/>
  <c r="BC113" i="1"/>
  <c r="BP93" i="1"/>
  <c r="BP112" i="1"/>
  <c r="BL93" i="1"/>
  <c r="BL112" i="1"/>
  <c r="BH93" i="1"/>
  <c r="BH112" i="1"/>
  <c r="BD93" i="1"/>
  <c r="BD112" i="1"/>
  <c r="BQ92" i="1"/>
  <c r="BQ111" i="1"/>
  <c r="BM92" i="1"/>
  <c r="BM111" i="1"/>
  <c r="BI92" i="1"/>
  <c r="BI111" i="1"/>
  <c r="BE92" i="1"/>
  <c r="BE111" i="1"/>
  <c r="BN91" i="1"/>
  <c r="BN110" i="1"/>
  <c r="BJ91" i="1"/>
  <c r="BJ110" i="1"/>
  <c r="BF91" i="1"/>
  <c r="BF110" i="1"/>
  <c r="BO90" i="1"/>
  <c r="BO109" i="1"/>
  <c r="BK90" i="1"/>
  <c r="BK109" i="1"/>
  <c r="BG90" i="1"/>
  <c r="BG109" i="1"/>
  <c r="BC90" i="1"/>
  <c r="BC109" i="1"/>
  <c r="BP89" i="1"/>
  <c r="BP108" i="1"/>
  <c r="BL89" i="1"/>
  <c r="BL108" i="1"/>
  <c r="BH89" i="1"/>
  <c r="BH108" i="1"/>
  <c r="BD89" i="1"/>
  <c r="BD108" i="1"/>
  <c r="BQ88" i="1"/>
  <c r="BQ107" i="1"/>
  <c r="BM88" i="1"/>
  <c r="BM107" i="1"/>
  <c r="BI88" i="1"/>
  <c r="BI107" i="1"/>
  <c r="BE88" i="1"/>
  <c r="BE107" i="1"/>
  <c r="BN87" i="1"/>
  <c r="BN106" i="1"/>
  <c r="BJ87" i="1"/>
  <c r="BJ106" i="1"/>
  <c r="BF87" i="1"/>
  <c r="BF106" i="1"/>
  <c r="BL86" i="1"/>
  <c r="BL105" i="1"/>
  <c r="BD86" i="1"/>
  <c r="BD105" i="1"/>
  <c r="BQ85" i="1"/>
  <c r="BQ104" i="1"/>
  <c r="BI85" i="1"/>
  <c r="BI104" i="1"/>
  <c r="BN84" i="1"/>
  <c r="BN103" i="1"/>
  <c r="BF84" i="1"/>
  <c r="BF103" i="1"/>
  <c r="BJ83" i="1"/>
  <c r="BJ102" i="1"/>
  <c r="BL99" i="1"/>
  <c r="BL118" i="1"/>
  <c r="BI98" i="1"/>
  <c r="BI117" i="1"/>
  <c r="BN99" i="1"/>
  <c r="BN118" i="1"/>
  <c r="BQ99" i="1"/>
  <c r="BQ118" i="1"/>
  <c r="BM99" i="1"/>
  <c r="BM118" i="1"/>
  <c r="BI99" i="1"/>
  <c r="BI118" i="1"/>
  <c r="BE99" i="1"/>
  <c r="BE118" i="1"/>
  <c r="BN98" i="1"/>
  <c r="BN117" i="1"/>
  <c r="BJ98" i="1"/>
  <c r="BJ117" i="1"/>
  <c r="BF98" i="1"/>
  <c r="BF117" i="1"/>
  <c r="BO97" i="1"/>
  <c r="BO116" i="1"/>
  <c r="BK97" i="1"/>
  <c r="BK116" i="1"/>
  <c r="BG97" i="1"/>
  <c r="BG116" i="1"/>
  <c r="BC97" i="1"/>
  <c r="BC116" i="1"/>
  <c r="BP96" i="1"/>
  <c r="BP115" i="1"/>
  <c r="BL96" i="1"/>
  <c r="BL115" i="1"/>
  <c r="BH96" i="1"/>
  <c r="BH115" i="1"/>
  <c r="BD96" i="1"/>
  <c r="BD115" i="1"/>
  <c r="BQ95" i="1"/>
  <c r="BQ114" i="1"/>
  <c r="BM95" i="1"/>
  <c r="BM114" i="1"/>
  <c r="BI95" i="1"/>
  <c r="BI114" i="1"/>
  <c r="BE95" i="1"/>
  <c r="BE114" i="1"/>
  <c r="BN94" i="1"/>
  <c r="BN113" i="1"/>
  <c r="BJ94" i="1"/>
  <c r="BJ113" i="1"/>
  <c r="BF94" i="1"/>
  <c r="BF113" i="1"/>
  <c r="BO93" i="1"/>
  <c r="BO112" i="1"/>
  <c r="BK93" i="1"/>
  <c r="BK112" i="1"/>
  <c r="BG93" i="1"/>
  <c r="BG112" i="1"/>
  <c r="BC93" i="1"/>
  <c r="BC112" i="1"/>
  <c r="BP92" i="1"/>
  <c r="BP111" i="1"/>
  <c r="BL92" i="1"/>
  <c r="BL111" i="1"/>
  <c r="BH92" i="1"/>
  <c r="BH111" i="1"/>
  <c r="BD92" i="1"/>
  <c r="BD111" i="1"/>
  <c r="BQ91" i="1"/>
  <c r="BQ110" i="1"/>
  <c r="BM91" i="1"/>
  <c r="BM110" i="1"/>
  <c r="BI91" i="1"/>
  <c r="BI110" i="1"/>
  <c r="BE91" i="1"/>
  <c r="BE110" i="1"/>
  <c r="BN90" i="1"/>
  <c r="BN109" i="1"/>
  <c r="BJ90" i="1"/>
  <c r="BJ109" i="1"/>
  <c r="BF90" i="1"/>
  <c r="BF109" i="1"/>
  <c r="BO89" i="1"/>
  <c r="BO108" i="1"/>
  <c r="BK89" i="1"/>
  <c r="BK108" i="1"/>
  <c r="BG89" i="1"/>
  <c r="BG108" i="1"/>
  <c r="BC89" i="1"/>
  <c r="BC108" i="1"/>
  <c r="BP88" i="1"/>
  <c r="BP107" i="1"/>
  <c r="BL88" i="1"/>
  <c r="BL107" i="1"/>
  <c r="BH88" i="1"/>
  <c r="BH107" i="1"/>
  <c r="BD88" i="1"/>
  <c r="BD107" i="1"/>
  <c r="BQ87" i="1"/>
  <c r="BQ106" i="1"/>
  <c r="BM87" i="1"/>
  <c r="BM106" i="1"/>
  <c r="BI87" i="1"/>
  <c r="BI106" i="1"/>
  <c r="BE87" i="1"/>
  <c r="BE106" i="1"/>
  <c r="BK86" i="1"/>
  <c r="BK105" i="1"/>
  <c r="BC86" i="1"/>
  <c r="BC105" i="1"/>
  <c r="BP85" i="1"/>
  <c r="BP104" i="1"/>
  <c r="BH85" i="1"/>
  <c r="BH104" i="1"/>
  <c r="BM84" i="1"/>
  <c r="BM103" i="1"/>
  <c r="BE84" i="1"/>
  <c r="BE103" i="1"/>
  <c r="BQ83" i="1"/>
  <c r="BQ102" i="1"/>
  <c r="BI83" i="1"/>
  <c r="BI102" i="1"/>
  <c r="BE98" i="1"/>
  <c r="BE117" i="1"/>
  <c r="BN97" i="1"/>
  <c r="BN116" i="1"/>
  <c r="BJ97" i="1"/>
  <c r="BJ116" i="1"/>
  <c r="BF97" i="1"/>
  <c r="BF116" i="1"/>
  <c r="BO96" i="1"/>
  <c r="BO115" i="1"/>
  <c r="BK96" i="1"/>
  <c r="BK115" i="1"/>
  <c r="BG96" i="1"/>
  <c r="BG115" i="1"/>
  <c r="BC96" i="1"/>
  <c r="BC115" i="1"/>
  <c r="BP95" i="1"/>
  <c r="BP114" i="1"/>
  <c r="BL95" i="1"/>
  <c r="BL114" i="1"/>
  <c r="BH95" i="1"/>
  <c r="BH114" i="1"/>
  <c r="BD95" i="1"/>
  <c r="BD114" i="1"/>
  <c r="BQ94" i="1"/>
  <c r="BQ113" i="1"/>
  <c r="BM94" i="1"/>
  <c r="BM113" i="1"/>
  <c r="BI94" i="1"/>
  <c r="BI113" i="1"/>
  <c r="BE94" i="1"/>
  <c r="BE113" i="1"/>
  <c r="BN93" i="1"/>
  <c r="BN112" i="1"/>
  <c r="BJ93" i="1"/>
  <c r="BJ112" i="1"/>
  <c r="BF93" i="1"/>
  <c r="BF112" i="1"/>
  <c r="BO92" i="1"/>
  <c r="BO111" i="1"/>
  <c r="BK92" i="1"/>
  <c r="BK111" i="1"/>
  <c r="BG92" i="1"/>
  <c r="BG111" i="1"/>
  <c r="BC92" i="1"/>
  <c r="BC111" i="1"/>
  <c r="BP91" i="1"/>
  <c r="BP110" i="1"/>
  <c r="BL91" i="1"/>
  <c r="BL110" i="1"/>
  <c r="BH91" i="1"/>
  <c r="BH110" i="1"/>
  <c r="BD91" i="1"/>
  <c r="BD110" i="1"/>
  <c r="BQ90" i="1"/>
  <c r="BQ109" i="1"/>
  <c r="BM90" i="1"/>
  <c r="BM109" i="1"/>
  <c r="BI90" i="1"/>
  <c r="BI109" i="1"/>
  <c r="BE90" i="1"/>
  <c r="BE109" i="1"/>
  <c r="BN89" i="1"/>
  <c r="BN108" i="1"/>
  <c r="BJ89" i="1"/>
  <c r="BJ108" i="1"/>
  <c r="BF89" i="1"/>
  <c r="BF108" i="1"/>
  <c r="BO88" i="1"/>
  <c r="BO107" i="1"/>
  <c r="BK88" i="1"/>
  <c r="BK107" i="1"/>
  <c r="BG88" i="1"/>
  <c r="BG107" i="1"/>
  <c r="BC88" i="1"/>
  <c r="BC107" i="1"/>
  <c r="BP87" i="1"/>
  <c r="BP106" i="1"/>
  <c r="BL87" i="1"/>
  <c r="BL106" i="1"/>
  <c r="BH87" i="1"/>
  <c r="BH106" i="1"/>
  <c r="BD87" i="1"/>
  <c r="BD106" i="1"/>
  <c r="BP86" i="1"/>
  <c r="BP105" i="1"/>
  <c r="BH86" i="1"/>
  <c r="BH105" i="1"/>
  <c r="BM85" i="1"/>
  <c r="BM104" i="1"/>
  <c r="BE85" i="1"/>
  <c r="BE104" i="1"/>
  <c r="BJ84" i="1"/>
  <c r="BJ103" i="1"/>
  <c r="BN83" i="1"/>
  <c r="BN102" i="1"/>
  <c r="BF83" i="1"/>
  <c r="BF102" i="1"/>
  <c r="BP99" i="1"/>
  <c r="BP118" i="1"/>
  <c r="BH99" i="1"/>
  <c r="BH118" i="1"/>
  <c r="BD99" i="1"/>
  <c r="BD118" i="1"/>
  <c r="BQ98" i="1"/>
  <c r="BQ117" i="1"/>
  <c r="BO99" i="1"/>
  <c r="BO118" i="1"/>
  <c r="BK99" i="1"/>
  <c r="BK118" i="1"/>
  <c r="BG99" i="1"/>
  <c r="BG118" i="1"/>
  <c r="BC99" i="1"/>
  <c r="BC118" i="1"/>
  <c r="BP98" i="1"/>
  <c r="BP117" i="1"/>
  <c r="BL98" i="1"/>
  <c r="BL117" i="1"/>
  <c r="BH98" i="1"/>
  <c r="BH117" i="1"/>
  <c r="BD98" i="1"/>
  <c r="BD117" i="1"/>
  <c r="BQ97" i="1"/>
  <c r="BQ116" i="1"/>
  <c r="BM97" i="1"/>
  <c r="BM116" i="1"/>
  <c r="BI97" i="1"/>
  <c r="BI116" i="1"/>
  <c r="BE97" i="1"/>
  <c r="BE116" i="1"/>
  <c r="BN96" i="1"/>
  <c r="BN115" i="1"/>
  <c r="BJ96" i="1"/>
  <c r="BJ115" i="1"/>
  <c r="BF96" i="1"/>
  <c r="BF115" i="1"/>
  <c r="BO95" i="1"/>
  <c r="BO114" i="1"/>
  <c r="BK95" i="1"/>
  <c r="BK114" i="1"/>
  <c r="BG95" i="1"/>
  <c r="BG114" i="1"/>
  <c r="BC95" i="1"/>
  <c r="BC114" i="1"/>
  <c r="BP94" i="1"/>
  <c r="BP113" i="1"/>
  <c r="BL94" i="1"/>
  <c r="BL113" i="1"/>
  <c r="BH94" i="1"/>
  <c r="BH113" i="1"/>
  <c r="BD94" i="1"/>
  <c r="BD113" i="1"/>
  <c r="BQ93" i="1"/>
  <c r="BQ112" i="1"/>
  <c r="BM93" i="1"/>
  <c r="BM112" i="1"/>
  <c r="BI93" i="1"/>
  <c r="BI112" i="1"/>
  <c r="BE93" i="1"/>
  <c r="BE112" i="1"/>
  <c r="BN92" i="1"/>
  <c r="BN111" i="1"/>
  <c r="BJ92" i="1"/>
  <c r="BJ111" i="1"/>
  <c r="BF92" i="1"/>
  <c r="BF111" i="1"/>
  <c r="BO91" i="1"/>
  <c r="BO110" i="1"/>
  <c r="BK91" i="1"/>
  <c r="BK110" i="1"/>
  <c r="BG91" i="1"/>
  <c r="BG110" i="1"/>
  <c r="BC91" i="1"/>
  <c r="BC110" i="1"/>
  <c r="BP90" i="1"/>
  <c r="BP109" i="1"/>
  <c r="BL90" i="1"/>
  <c r="BL109" i="1"/>
  <c r="BH90" i="1"/>
  <c r="BH109" i="1"/>
  <c r="BD90" i="1"/>
  <c r="BD109" i="1"/>
  <c r="BQ89" i="1"/>
  <c r="BQ108" i="1"/>
  <c r="BM89" i="1"/>
  <c r="BM108" i="1"/>
  <c r="BI89" i="1"/>
  <c r="BI108" i="1"/>
  <c r="BE89" i="1"/>
  <c r="BE108" i="1"/>
  <c r="BN88" i="1"/>
  <c r="BN107" i="1"/>
  <c r="BJ88" i="1"/>
  <c r="BJ107" i="1"/>
  <c r="BF88" i="1"/>
  <c r="BF107" i="1"/>
  <c r="BO87" i="1"/>
  <c r="BO106" i="1"/>
  <c r="BK87" i="1"/>
  <c r="BK106" i="1"/>
  <c r="BG87" i="1"/>
  <c r="BG106" i="1"/>
  <c r="BC87" i="1"/>
  <c r="BC106" i="1"/>
  <c r="BO86" i="1"/>
  <c r="BO105" i="1"/>
  <c r="BG86" i="1"/>
  <c r="BG105" i="1"/>
  <c r="BL85" i="1"/>
  <c r="BL104" i="1"/>
  <c r="BD85" i="1"/>
  <c r="BD104" i="1"/>
  <c r="BQ84" i="1"/>
  <c r="BQ103" i="1"/>
  <c r="BI84" i="1"/>
  <c r="BI103" i="1"/>
  <c r="BM83" i="1"/>
  <c r="BM102" i="1"/>
  <c r="BE83" i="1"/>
  <c r="BE102" i="1"/>
  <c r="H98" i="1"/>
  <c r="H117" i="1"/>
  <c r="H90" i="1"/>
  <c r="H109" i="1"/>
  <c r="AT99" i="1"/>
  <c r="AL99" i="1"/>
  <c r="AD99" i="1"/>
  <c r="V99" i="1"/>
  <c r="N99" i="1"/>
  <c r="AY98" i="1"/>
  <c r="AQ98" i="1"/>
  <c r="AI98" i="1"/>
  <c r="AA98" i="1"/>
  <c r="S98" i="1"/>
  <c r="K98" i="1"/>
  <c r="AV97" i="1"/>
  <c r="AN97" i="1"/>
  <c r="AF97" i="1"/>
  <c r="X97" i="1"/>
  <c r="P97" i="1"/>
  <c r="AW96" i="1"/>
  <c r="AO96" i="1"/>
  <c r="AG96" i="1"/>
  <c r="Y96" i="1"/>
  <c r="Q96" i="1"/>
  <c r="I96" i="1"/>
  <c r="AX95" i="1"/>
  <c r="AP95" i="1"/>
  <c r="AH95" i="1"/>
  <c r="Z95" i="1"/>
  <c r="R95" i="1"/>
  <c r="J95" i="1"/>
  <c r="AU94" i="1"/>
  <c r="AM94" i="1"/>
  <c r="AE94" i="1"/>
  <c r="W94" i="1"/>
  <c r="O94" i="1"/>
  <c r="AZ93" i="1"/>
  <c r="AR93" i="1"/>
  <c r="AJ93" i="1"/>
  <c r="AB93" i="1"/>
  <c r="T93" i="1"/>
  <c r="L93" i="1"/>
  <c r="AW92" i="1"/>
  <c r="AO92" i="1"/>
  <c r="AK92" i="1"/>
  <c r="AC92" i="1"/>
  <c r="Y92" i="1"/>
  <c r="U92" i="1"/>
  <c r="Q92" i="1"/>
  <c r="M92" i="1"/>
  <c r="I92" i="1"/>
  <c r="AX91" i="1"/>
  <c r="AT91" i="1"/>
  <c r="AP91" i="1"/>
  <c r="AL91" i="1"/>
  <c r="AH91" i="1"/>
  <c r="AD91" i="1"/>
  <c r="Z91" i="1"/>
  <c r="V91" i="1"/>
  <c r="R91" i="1"/>
  <c r="N91" i="1"/>
  <c r="J91" i="1"/>
  <c r="AY90" i="1"/>
  <c r="AU90" i="1"/>
  <c r="AQ90" i="1"/>
  <c r="AM90" i="1"/>
  <c r="AI90" i="1"/>
  <c r="AE90" i="1"/>
  <c r="AA90" i="1"/>
  <c r="W90" i="1"/>
  <c r="S90" i="1"/>
  <c r="O90" i="1"/>
  <c r="K90" i="1"/>
  <c r="AZ89" i="1"/>
  <c r="AV89" i="1"/>
  <c r="AR89" i="1"/>
  <c r="AN89" i="1"/>
  <c r="AJ89" i="1"/>
  <c r="AF89" i="1"/>
  <c r="AB89" i="1"/>
  <c r="X89" i="1"/>
  <c r="T89" i="1"/>
  <c r="L89" i="1"/>
  <c r="AW88" i="1"/>
  <c r="AO88" i="1"/>
  <c r="AC88" i="1"/>
  <c r="Y88" i="1"/>
  <c r="Q88" i="1"/>
  <c r="I88" i="1"/>
  <c r="AX87" i="1"/>
  <c r="AI87" i="1"/>
  <c r="S87" i="1"/>
  <c r="AV86" i="1"/>
  <c r="AF86" i="1"/>
  <c r="P86" i="1"/>
  <c r="AS85" i="1"/>
  <c r="AC85" i="1"/>
  <c r="M85" i="1"/>
  <c r="AH84" i="1"/>
  <c r="Z84" i="1"/>
  <c r="I84" i="1"/>
  <c r="AL83" i="1"/>
  <c r="V83" i="1"/>
  <c r="H97" i="1"/>
  <c r="H116" i="1"/>
  <c r="H88" i="1"/>
  <c r="H107" i="1"/>
  <c r="AS99" i="1"/>
  <c r="AK99" i="1"/>
  <c r="AC99" i="1"/>
  <c r="U99" i="1"/>
  <c r="M99" i="1"/>
  <c r="AT98" i="1"/>
  <c r="AL98" i="1"/>
  <c r="AD98" i="1"/>
  <c r="V98" i="1"/>
  <c r="N98" i="1"/>
  <c r="AY97" i="1"/>
  <c r="AQ97" i="1"/>
  <c r="AI97" i="1"/>
  <c r="AA97" i="1"/>
  <c r="S97" i="1"/>
  <c r="K97" i="1"/>
  <c r="AV96" i="1"/>
  <c r="AN96" i="1"/>
  <c r="AF96" i="1"/>
  <c r="X96" i="1"/>
  <c r="P96" i="1"/>
  <c r="AW95" i="1"/>
  <c r="AO95" i="1"/>
  <c r="AG95" i="1"/>
  <c r="Y95" i="1"/>
  <c r="Q95" i="1"/>
  <c r="I95" i="1"/>
  <c r="AX94" i="1"/>
  <c r="AP94" i="1"/>
  <c r="AL94" i="1"/>
  <c r="AD94" i="1"/>
  <c r="V94" i="1"/>
  <c r="N94" i="1"/>
  <c r="AY93" i="1"/>
  <c r="AQ93" i="1"/>
  <c r="AI93" i="1"/>
  <c r="AA93" i="1"/>
  <c r="W93" i="1"/>
  <c r="S93" i="1"/>
  <c r="K93" i="1"/>
  <c r="AZ92" i="1"/>
  <c r="AV92" i="1"/>
  <c r="AR92" i="1"/>
  <c r="AN92" i="1"/>
  <c r="AJ92" i="1"/>
  <c r="AF92" i="1"/>
  <c r="AB92" i="1"/>
  <c r="X92" i="1"/>
  <c r="T92" i="1"/>
  <c r="P92" i="1"/>
  <c r="L92" i="1"/>
  <c r="BA91" i="1"/>
  <c r="AW91" i="1"/>
  <c r="AS91" i="1"/>
  <c r="AO91" i="1"/>
  <c r="AK91" i="1"/>
  <c r="AG91" i="1"/>
  <c r="AC91" i="1"/>
  <c r="Y91" i="1"/>
  <c r="U91" i="1"/>
  <c r="Q91" i="1"/>
  <c r="M91" i="1"/>
  <c r="I91" i="1"/>
  <c r="AX90" i="1"/>
  <c r="AT90" i="1"/>
  <c r="AP90" i="1"/>
  <c r="AL90" i="1"/>
  <c r="AH90" i="1"/>
  <c r="AD90" i="1"/>
  <c r="Z90" i="1"/>
  <c r="V90" i="1"/>
  <c r="R90" i="1"/>
  <c r="N90" i="1"/>
  <c r="J90" i="1"/>
  <c r="AY89" i="1"/>
  <c r="AU89" i="1"/>
  <c r="AQ89" i="1"/>
  <c r="AM89" i="1"/>
  <c r="AI89" i="1"/>
  <c r="AE89" i="1"/>
  <c r="AA89" i="1"/>
  <c r="W89" i="1"/>
  <c r="S89" i="1"/>
  <c r="O89" i="1"/>
  <c r="K89" i="1"/>
  <c r="AZ88" i="1"/>
  <c r="AV88" i="1"/>
  <c r="AR88" i="1"/>
  <c r="AN88" i="1"/>
  <c r="AJ88" i="1"/>
  <c r="AF88" i="1"/>
  <c r="AB88" i="1"/>
  <c r="X88" i="1"/>
  <c r="T88" i="1"/>
  <c r="P88" i="1"/>
  <c r="L88" i="1"/>
  <c r="BA87" i="1"/>
  <c r="AW87" i="1"/>
  <c r="AP87" i="1"/>
  <c r="AH87" i="1"/>
  <c r="Z87" i="1"/>
  <c r="R87" i="1"/>
  <c r="J87" i="1"/>
  <c r="AU86" i="1"/>
  <c r="AM86" i="1"/>
  <c r="AE86" i="1"/>
  <c r="W86" i="1"/>
  <c r="O86" i="1"/>
  <c r="AZ85" i="1"/>
  <c r="AR85" i="1"/>
  <c r="AJ85" i="1"/>
  <c r="AB85" i="1"/>
  <c r="T85" i="1"/>
  <c r="L85" i="1"/>
  <c r="AW84" i="1"/>
  <c r="AO84" i="1"/>
  <c r="AG84" i="1"/>
  <c r="Y84" i="1"/>
  <c r="Q84" i="1"/>
  <c r="BA83" i="1"/>
  <c r="AS83" i="1"/>
  <c r="AK83" i="1"/>
  <c r="AC83" i="1"/>
  <c r="R83" i="1"/>
  <c r="N84" i="1"/>
  <c r="H96" i="1"/>
  <c r="H115" i="1"/>
  <c r="H92" i="1"/>
  <c r="H111" i="1"/>
  <c r="H87" i="1"/>
  <c r="H106" i="1"/>
  <c r="AZ99" i="1"/>
  <c r="AV99" i="1"/>
  <c r="AR99" i="1"/>
  <c r="AN99" i="1"/>
  <c r="AJ99" i="1"/>
  <c r="AF99" i="1"/>
  <c r="AB99" i="1"/>
  <c r="X99" i="1"/>
  <c r="T99" i="1"/>
  <c r="P99" i="1"/>
  <c r="L99" i="1"/>
  <c r="BA98" i="1"/>
  <c r="AW98" i="1"/>
  <c r="AS98" i="1"/>
  <c r="AO98" i="1"/>
  <c r="AK98" i="1"/>
  <c r="AG98" i="1"/>
  <c r="AC98" i="1"/>
  <c r="Y98" i="1"/>
  <c r="U98" i="1"/>
  <c r="Q98" i="1"/>
  <c r="M98" i="1"/>
  <c r="I98" i="1"/>
  <c r="AX97" i="1"/>
  <c r="AT97" i="1"/>
  <c r="AP97" i="1"/>
  <c r="AL97" i="1"/>
  <c r="AH97" i="1"/>
  <c r="AD97" i="1"/>
  <c r="Z97" i="1"/>
  <c r="V97" i="1"/>
  <c r="R97" i="1"/>
  <c r="N97" i="1"/>
  <c r="J97" i="1"/>
  <c r="AY96" i="1"/>
  <c r="AU96" i="1"/>
  <c r="AQ96" i="1"/>
  <c r="AM96" i="1"/>
  <c r="AI96" i="1"/>
  <c r="AE96" i="1"/>
  <c r="AA96" i="1"/>
  <c r="W96" i="1"/>
  <c r="S96" i="1"/>
  <c r="O96" i="1"/>
  <c r="K96" i="1"/>
  <c r="AZ95" i="1"/>
  <c r="AV95" i="1"/>
  <c r="AR95" i="1"/>
  <c r="AN95" i="1"/>
  <c r="AJ95" i="1"/>
  <c r="AF95" i="1"/>
  <c r="AB95" i="1"/>
  <c r="X95" i="1"/>
  <c r="T95" i="1"/>
  <c r="P95" i="1"/>
  <c r="L95" i="1"/>
  <c r="BA94" i="1"/>
  <c r="AW94" i="1"/>
  <c r="AS94" i="1"/>
  <c r="AO94" i="1"/>
  <c r="AK94" i="1"/>
  <c r="AG94" i="1"/>
  <c r="AC94" i="1"/>
  <c r="Y94" i="1"/>
  <c r="U94" i="1"/>
  <c r="Q94" i="1"/>
  <c r="M94" i="1"/>
  <c r="I94" i="1"/>
  <c r="AX93" i="1"/>
  <c r="AT93" i="1"/>
  <c r="AP93" i="1"/>
  <c r="AL93" i="1"/>
  <c r="AH93" i="1"/>
  <c r="AD93" i="1"/>
  <c r="Z93" i="1"/>
  <c r="V93" i="1"/>
  <c r="R93" i="1"/>
  <c r="N93" i="1"/>
  <c r="J93" i="1"/>
  <c r="AY92" i="1"/>
  <c r="AU92" i="1"/>
  <c r="AQ92" i="1"/>
  <c r="AM92" i="1"/>
  <c r="AI92" i="1"/>
  <c r="AE92" i="1"/>
  <c r="AA92" i="1"/>
  <c r="W92" i="1"/>
  <c r="S92" i="1"/>
  <c r="O92" i="1"/>
  <c r="K92" i="1"/>
  <c r="AZ91" i="1"/>
  <c r="AV91" i="1"/>
  <c r="AR91" i="1"/>
  <c r="AN91" i="1"/>
  <c r="AJ91" i="1"/>
  <c r="AF91" i="1"/>
  <c r="AB91" i="1"/>
  <c r="X91" i="1"/>
  <c r="T91" i="1"/>
  <c r="P91" i="1"/>
  <c r="L91" i="1"/>
  <c r="BA90" i="1"/>
  <c r="AW90" i="1"/>
  <c r="AS90" i="1"/>
  <c r="AO90" i="1"/>
  <c r="AK90" i="1"/>
  <c r="AG90" i="1"/>
  <c r="AC90" i="1"/>
  <c r="Y90" i="1"/>
  <c r="U90" i="1"/>
  <c r="Q90" i="1"/>
  <c r="M90" i="1"/>
  <c r="I90" i="1"/>
  <c r="AX89" i="1"/>
  <c r="AT89" i="1"/>
  <c r="AP89" i="1"/>
  <c r="AL89" i="1"/>
  <c r="AH89" i="1"/>
  <c r="AD89" i="1"/>
  <c r="Z89" i="1"/>
  <c r="V89" i="1"/>
  <c r="R89" i="1"/>
  <c r="N89" i="1"/>
  <c r="J89" i="1"/>
  <c r="AY88" i="1"/>
  <c r="AU88" i="1"/>
  <c r="AQ88" i="1"/>
  <c r="AM88" i="1"/>
  <c r="AI88" i="1"/>
  <c r="AE88" i="1"/>
  <c r="AA88" i="1"/>
  <c r="W88" i="1"/>
  <c r="S88" i="1"/>
  <c r="O88" i="1"/>
  <c r="K88" i="1"/>
  <c r="AZ87" i="1"/>
  <c r="AU87" i="1"/>
  <c r="AM87" i="1"/>
  <c r="AE87" i="1"/>
  <c r="W87" i="1"/>
  <c r="O87" i="1"/>
  <c r="AZ86" i="1"/>
  <c r="AR86" i="1"/>
  <c r="AJ86" i="1"/>
  <c r="AB86" i="1"/>
  <c r="T86" i="1"/>
  <c r="L86" i="1"/>
  <c r="AW85" i="1"/>
  <c r="AO85" i="1"/>
  <c r="AG85" i="1"/>
  <c r="Y85" i="1"/>
  <c r="Q85" i="1"/>
  <c r="I85" i="1"/>
  <c r="AT84" i="1"/>
  <c r="AL84" i="1"/>
  <c r="AD84" i="1"/>
  <c r="V84" i="1"/>
  <c r="M84" i="1"/>
  <c r="AX83" i="1"/>
  <c r="AP83" i="1"/>
  <c r="AH83" i="1"/>
  <c r="Z83" i="1"/>
  <c r="N83" i="1"/>
  <c r="H94" i="1"/>
  <c r="H113" i="1"/>
  <c r="H85" i="1"/>
  <c r="H104" i="1"/>
  <c r="AX99" i="1"/>
  <c r="AP99" i="1"/>
  <c r="AH99" i="1"/>
  <c r="Z99" i="1"/>
  <c r="R99" i="1"/>
  <c r="J99" i="1"/>
  <c r="AU98" i="1"/>
  <c r="AM98" i="1"/>
  <c r="AE98" i="1"/>
  <c r="W98" i="1"/>
  <c r="O98" i="1"/>
  <c r="AZ97" i="1"/>
  <c r="AR97" i="1"/>
  <c r="AJ97" i="1"/>
  <c r="AB97" i="1"/>
  <c r="T97" i="1"/>
  <c r="L97" i="1"/>
  <c r="BA96" i="1"/>
  <c r="AS96" i="1"/>
  <c r="AK96" i="1"/>
  <c r="AC96" i="1"/>
  <c r="U96" i="1"/>
  <c r="M96" i="1"/>
  <c r="AT95" i="1"/>
  <c r="AL95" i="1"/>
  <c r="AD95" i="1"/>
  <c r="V95" i="1"/>
  <c r="N95" i="1"/>
  <c r="AY94" i="1"/>
  <c r="AQ94" i="1"/>
  <c r="AI94" i="1"/>
  <c r="AA94" i="1"/>
  <c r="S94" i="1"/>
  <c r="K94" i="1"/>
  <c r="AV93" i="1"/>
  <c r="AN93" i="1"/>
  <c r="AF93" i="1"/>
  <c r="X93" i="1"/>
  <c r="P93" i="1"/>
  <c r="BA92" i="1"/>
  <c r="AS92" i="1"/>
  <c r="AG92" i="1"/>
  <c r="P89" i="1"/>
  <c r="BA88" i="1"/>
  <c r="AS88" i="1"/>
  <c r="AK88" i="1"/>
  <c r="AG88" i="1"/>
  <c r="U88" i="1"/>
  <c r="M88" i="1"/>
  <c r="AQ87" i="1"/>
  <c r="AA87" i="1"/>
  <c r="K87" i="1"/>
  <c r="AN86" i="1"/>
  <c r="X86" i="1"/>
  <c r="BA85" i="1"/>
  <c r="AK85" i="1"/>
  <c r="U85" i="1"/>
  <c r="AX84" i="1"/>
  <c r="AP84" i="1"/>
  <c r="R84" i="1"/>
  <c r="AT83" i="1"/>
  <c r="AD83" i="1"/>
  <c r="H93" i="1"/>
  <c r="H112" i="1"/>
  <c r="BA99" i="1"/>
  <c r="AW99" i="1"/>
  <c r="AO99" i="1"/>
  <c r="AG99" i="1"/>
  <c r="Y99" i="1"/>
  <c r="Q99" i="1"/>
  <c r="I99" i="1"/>
  <c r="AX98" i="1"/>
  <c r="AP98" i="1"/>
  <c r="AH98" i="1"/>
  <c r="Z98" i="1"/>
  <c r="R98" i="1"/>
  <c r="J98" i="1"/>
  <c r="AU97" i="1"/>
  <c r="AM97" i="1"/>
  <c r="AE97" i="1"/>
  <c r="W97" i="1"/>
  <c r="O97" i="1"/>
  <c r="AZ96" i="1"/>
  <c r="AR96" i="1"/>
  <c r="AJ96" i="1"/>
  <c r="AB96" i="1"/>
  <c r="T96" i="1"/>
  <c r="L96" i="1"/>
  <c r="BA95" i="1"/>
  <c r="AS95" i="1"/>
  <c r="AK95" i="1"/>
  <c r="AC95" i="1"/>
  <c r="U95" i="1"/>
  <c r="M95" i="1"/>
  <c r="AT94" i="1"/>
  <c r="AH94" i="1"/>
  <c r="Z94" i="1"/>
  <c r="R94" i="1"/>
  <c r="J94" i="1"/>
  <c r="AU93" i="1"/>
  <c r="AM93" i="1"/>
  <c r="AE93" i="1"/>
  <c r="O93" i="1"/>
  <c r="H95" i="1"/>
  <c r="H114" i="1"/>
  <c r="H91" i="1"/>
  <c r="H110" i="1"/>
  <c r="H86" i="1"/>
  <c r="H105" i="1"/>
  <c r="AY99" i="1"/>
  <c r="AU99" i="1"/>
  <c r="AQ99" i="1"/>
  <c r="AM99" i="1"/>
  <c r="AI99" i="1"/>
  <c r="AE99" i="1"/>
  <c r="AA99" i="1"/>
  <c r="W99" i="1"/>
  <c r="S99" i="1"/>
  <c r="O99" i="1"/>
  <c r="K99" i="1"/>
  <c r="AZ98" i="1"/>
  <c r="AV98" i="1"/>
  <c r="AR98" i="1"/>
  <c r="AN98" i="1"/>
  <c r="AJ98" i="1"/>
  <c r="AF98" i="1"/>
  <c r="AB98" i="1"/>
  <c r="X98" i="1"/>
  <c r="T98" i="1"/>
  <c r="P98" i="1"/>
  <c r="L98" i="1"/>
  <c r="BA97" i="1"/>
  <c r="AW97" i="1"/>
  <c r="AS97" i="1"/>
  <c r="AO97" i="1"/>
  <c r="AK97" i="1"/>
  <c r="AG97" i="1"/>
  <c r="AC97" i="1"/>
  <c r="Y97" i="1"/>
  <c r="U97" i="1"/>
  <c r="Q97" i="1"/>
  <c r="M97" i="1"/>
  <c r="I97" i="1"/>
  <c r="AX96" i="1"/>
  <c r="AT96" i="1"/>
  <c r="AP96" i="1"/>
  <c r="AL96" i="1"/>
  <c r="AH96" i="1"/>
  <c r="AD96" i="1"/>
  <c r="Z96" i="1"/>
  <c r="V96" i="1"/>
  <c r="R96" i="1"/>
  <c r="N96" i="1"/>
  <c r="J96" i="1"/>
  <c r="AY95" i="1"/>
  <c r="AU95" i="1"/>
  <c r="AQ95" i="1"/>
  <c r="AM95" i="1"/>
  <c r="AI95" i="1"/>
  <c r="AE95" i="1"/>
  <c r="AA95" i="1"/>
  <c r="W95" i="1"/>
  <c r="S95" i="1"/>
  <c r="O95" i="1"/>
  <c r="K95" i="1"/>
  <c r="AZ94" i="1"/>
  <c r="AV94" i="1"/>
  <c r="AR94" i="1"/>
  <c r="AN94" i="1"/>
  <c r="AJ94" i="1"/>
  <c r="AF94" i="1"/>
  <c r="AB94" i="1"/>
  <c r="X94" i="1"/>
  <c r="T94" i="1"/>
  <c r="P94" i="1"/>
  <c r="L94" i="1"/>
  <c r="BA93" i="1"/>
  <c r="AW93" i="1"/>
  <c r="AS93" i="1"/>
  <c r="AO93" i="1"/>
  <c r="AK93" i="1"/>
  <c r="AG93" i="1"/>
  <c r="AC93" i="1"/>
  <c r="Y93" i="1"/>
  <c r="U93" i="1"/>
  <c r="Q93" i="1"/>
  <c r="M93" i="1"/>
  <c r="I93" i="1"/>
  <c r="AX92" i="1"/>
  <c r="AT92" i="1"/>
  <c r="AP92" i="1"/>
  <c r="AL92" i="1"/>
  <c r="AH92" i="1"/>
  <c r="AD92" i="1"/>
  <c r="Z92" i="1"/>
  <c r="V92" i="1"/>
  <c r="R92" i="1"/>
  <c r="N92" i="1"/>
  <c r="J92" i="1"/>
  <c r="AY91" i="1"/>
  <c r="AU91" i="1"/>
  <c r="AQ91" i="1"/>
  <c r="AM91" i="1"/>
  <c r="AI91" i="1"/>
  <c r="AE91" i="1"/>
  <c r="AA91" i="1"/>
  <c r="W91" i="1"/>
  <c r="S91" i="1"/>
  <c r="O91" i="1"/>
  <c r="K91" i="1"/>
  <c r="AZ90" i="1"/>
  <c r="AV90" i="1"/>
  <c r="AR90" i="1"/>
  <c r="AN90" i="1"/>
  <c r="AJ90" i="1"/>
  <c r="AF90" i="1"/>
  <c r="AB90" i="1"/>
  <c r="X90" i="1"/>
  <c r="T90" i="1"/>
  <c r="P90" i="1"/>
  <c r="L90" i="1"/>
  <c r="BA89" i="1"/>
  <c r="AW89" i="1"/>
  <c r="AS89" i="1"/>
  <c r="AO89" i="1"/>
  <c r="AK89" i="1"/>
  <c r="AG89" i="1"/>
  <c r="AC89" i="1"/>
  <c r="Y89" i="1"/>
  <c r="U89" i="1"/>
  <c r="Q89" i="1"/>
  <c r="M89" i="1"/>
  <c r="I89" i="1"/>
  <c r="AX88" i="1"/>
  <c r="AT88" i="1"/>
  <c r="AP88" i="1"/>
  <c r="AL88" i="1"/>
  <c r="AH88" i="1"/>
  <c r="AD88" i="1"/>
  <c r="Z88" i="1"/>
  <c r="V88" i="1"/>
  <c r="R88" i="1"/>
  <c r="N88" i="1"/>
  <c r="J88" i="1"/>
  <c r="AY87" i="1"/>
  <c r="AT87" i="1"/>
  <c r="AL87" i="1"/>
  <c r="AD87" i="1"/>
  <c r="V87" i="1"/>
  <c r="N87" i="1"/>
  <c r="AY86" i="1"/>
  <c r="AQ86" i="1"/>
  <c r="AI86" i="1"/>
  <c r="AA86" i="1"/>
  <c r="S86" i="1"/>
  <c r="K86" i="1"/>
  <c r="AV85" i="1"/>
  <c r="AN85" i="1"/>
  <c r="AF85" i="1"/>
  <c r="X85" i="1"/>
  <c r="P85" i="1"/>
  <c r="BA84" i="1"/>
  <c r="AS84" i="1"/>
  <c r="AK84" i="1"/>
  <c r="AC84" i="1"/>
  <c r="U84" i="1"/>
  <c r="L84" i="1"/>
  <c r="AW83" i="1"/>
  <c r="AO83" i="1"/>
  <c r="AG83" i="1"/>
  <c r="Y83" i="1"/>
  <c r="J83" i="1"/>
  <c r="BB95" i="1"/>
  <c r="BB91" i="1"/>
  <c r="BB87" i="1"/>
  <c r="BB99" i="1"/>
  <c r="BB98" i="1"/>
  <c r="BB94" i="1"/>
  <c r="BB90" i="1"/>
  <c r="BB97" i="1"/>
  <c r="BB93" i="1"/>
  <c r="BB89" i="1"/>
  <c r="BB84" i="1"/>
  <c r="BB96" i="1"/>
  <c r="BB92" i="1"/>
  <c r="BB88" i="1"/>
  <c r="BB83" i="1"/>
  <c r="U58" i="1"/>
  <c r="U102" i="1" s="1"/>
  <c r="Q58" i="1"/>
  <c r="Q102" i="1" s="1"/>
  <c r="M58" i="1"/>
  <c r="M102" i="1" s="1"/>
  <c r="I58" i="1"/>
  <c r="I102" i="1" s="1"/>
  <c r="BT73" i="1"/>
  <c r="BS72" i="1"/>
  <c r="BR71" i="1"/>
  <c r="BT69" i="1"/>
  <c r="BS68" i="1"/>
  <c r="BR67" i="1"/>
  <c r="BT65" i="1"/>
  <c r="BS64" i="1"/>
  <c r="BR63" i="1"/>
  <c r="BT61" i="1"/>
  <c r="BS60" i="1"/>
  <c r="BR59" i="1"/>
  <c r="AS62" i="1"/>
  <c r="AS106" i="1" s="1"/>
  <c r="AO62" i="1"/>
  <c r="AO106" i="1" s="1"/>
  <c r="AK62" i="1"/>
  <c r="AK106" i="1" s="1"/>
  <c r="AG62" i="1"/>
  <c r="AG106" i="1" s="1"/>
  <c r="AC62" i="1"/>
  <c r="AC106" i="1" s="1"/>
  <c r="Y62" i="1"/>
  <c r="Y106" i="1" s="1"/>
  <c r="U62" i="1"/>
  <c r="U106" i="1" s="1"/>
  <c r="Q62" i="1"/>
  <c r="Q106" i="1" s="1"/>
  <c r="M62" i="1"/>
  <c r="M106" i="1" s="1"/>
  <c r="I62" i="1"/>
  <c r="I106" i="1" s="1"/>
  <c r="BN61" i="1"/>
  <c r="BJ61" i="1"/>
  <c r="BF61" i="1"/>
  <c r="BB61" i="1"/>
  <c r="BB105" i="1" s="1"/>
  <c r="AX61" i="1"/>
  <c r="AX105" i="1" s="1"/>
  <c r="AT61" i="1"/>
  <c r="AT105" i="1" s="1"/>
  <c r="AP61" i="1"/>
  <c r="AP105" i="1" s="1"/>
  <c r="AL61" i="1"/>
  <c r="AL105" i="1" s="1"/>
  <c r="AH61" i="1"/>
  <c r="AH105" i="1" s="1"/>
  <c r="AD61" i="1"/>
  <c r="AD105" i="1" s="1"/>
  <c r="Z61" i="1"/>
  <c r="Z105" i="1" s="1"/>
  <c r="V61" i="1"/>
  <c r="V105" i="1" s="1"/>
  <c r="R61" i="1"/>
  <c r="R105" i="1" s="1"/>
  <c r="N61" i="1"/>
  <c r="N105" i="1" s="1"/>
  <c r="J61" i="1"/>
  <c r="J105" i="1" s="1"/>
  <c r="BO60" i="1"/>
  <c r="BK60" i="1"/>
  <c r="BG60" i="1"/>
  <c r="BC60" i="1"/>
  <c r="AY60" i="1"/>
  <c r="AY104" i="1" s="1"/>
  <c r="AU60" i="1"/>
  <c r="AU104" i="1" s="1"/>
  <c r="AQ60" i="1"/>
  <c r="AQ104" i="1" s="1"/>
  <c r="AM60" i="1"/>
  <c r="AM104" i="1" s="1"/>
  <c r="AI60" i="1"/>
  <c r="AI104" i="1" s="1"/>
  <c r="AE60" i="1"/>
  <c r="AE104" i="1" s="1"/>
  <c r="AA60" i="1"/>
  <c r="AA104" i="1" s="1"/>
  <c r="W60" i="1"/>
  <c r="W104" i="1" s="1"/>
  <c r="S60" i="1"/>
  <c r="S104" i="1" s="1"/>
  <c r="O60" i="1"/>
  <c r="O104" i="1" s="1"/>
  <c r="K60" i="1"/>
  <c r="K104" i="1" s="1"/>
  <c r="BP59" i="1"/>
  <c r="BL59" i="1"/>
  <c r="BH59" i="1"/>
  <c r="BD59" i="1"/>
  <c r="AZ59" i="1"/>
  <c r="AZ103" i="1" s="1"/>
  <c r="AV59" i="1"/>
  <c r="AV103" i="1" s="1"/>
  <c r="AR59" i="1"/>
  <c r="AR103" i="1" s="1"/>
  <c r="AN59" i="1"/>
  <c r="AN103" i="1" s="1"/>
  <c r="AJ59" i="1"/>
  <c r="AJ103" i="1" s="1"/>
  <c r="AF59" i="1"/>
  <c r="AF103" i="1" s="1"/>
  <c r="AB59" i="1"/>
  <c r="AB103" i="1" s="1"/>
  <c r="X59" i="1"/>
  <c r="X103" i="1" s="1"/>
  <c r="T59" i="1"/>
  <c r="T103" i="1" s="1"/>
  <c r="P59" i="1"/>
  <c r="P103" i="1" s="1"/>
  <c r="K59" i="1"/>
  <c r="K103" i="1" s="1"/>
  <c r="BP58" i="1"/>
  <c r="BL58" i="1"/>
  <c r="BH58" i="1"/>
  <c r="BD58" i="1"/>
  <c r="AZ58" i="1"/>
  <c r="AZ102" i="1" s="1"/>
  <c r="AV58" i="1"/>
  <c r="AV102" i="1" s="1"/>
  <c r="AR58" i="1"/>
  <c r="AR102" i="1" s="1"/>
  <c r="AN58" i="1"/>
  <c r="AN102" i="1" s="1"/>
  <c r="AJ58" i="1"/>
  <c r="AJ102" i="1" s="1"/>
  <c r="AF58" i="1"/>
  <c r="AF102" i="1" s="1"/>
  <c r="AB58" i="1"/>
  <c r="AB102" i="1" s="1"/>
  <c r="X58" i="1"/>
  <c r="X102" i="1" s="1"/>
  <c r="T58" i="1"/>
  <c r="T102" i="1" s="1"/>
  <c r="P58" i="1"/>
  <c r="P102" i="1" s="1"/>
  <c r="L58" i="1"/>
  <c r="L102" i="1" s="1"/>
  <c r="H59" i="1"/>
  <c r="BT74" i="1"/>
  <c r="BS73" i="1"/>
  <c r="BR72" i="1"/>
  <c r="BT70" i="1"/>
  <c r="BS69" i="1"/>
  <c r="BR68" i="1"/>
  <c r="BT66" i="1"/>
  <c r="BS65" i="1"/>
  <c r="BR64" i="1"/>
  <c r="BT62" i="1"/>
  <c r="BS61" i="1"/>
  <c r="BR60" i="1"/>
  <c r="BT58" i="1"/>
  <c r="AV62" i="1"/>
  <c r="AV106" i="1" s="1"/>
  <c r="AR62" i="1"/>
  <c r="AR106" i="1" s="1"/>
  <c r="AN62" i="1"/>
  <c r="AN106" i="1" s="1"/>
  <c r="AJ62" i="1"/>
  <c r="AJ106" i="1" s="1"/>
  <c r="AF62" i="1"/>
  <c r="AF106" i="1" s="1"/>
  <c r="AB62" i="1"/>
  <c r="AB106" i="1" s="1"/>
  <c r="X62" i="1"/>
  <c r="X106" i="1" s="1"/>
  <c r="T62" i="1"/>
  <c r="T106" i="1" s="1"/>
  <c r="P62" i="1"/>
  <c r="P106" i="1" s="1"/>
  <c r="L62" i="1"/>
  <c r="L106" i="1" s="1"/>
  <c r="BQ61" i="1"/>
  <c r="BM61" i="1"/>
  <c r="BI61" i="1"/>
  <c r="BE61" i="1"/>
  <c r="BA61" i="1"/>
  <c r="BA105" i="1" s="1"/>
  <c r="AW61" i="1"/>
  <c r="AW105" i="1" s="1"/>
  <c r="AS61" i="1"/>
  <c r="AS105" i="1" s="1"/>
  <c r="AO61" i="1"/>
  <c r="AO105" i="1" s="1"/>
  <c r="AK61" i="1"/>
  <c r="AK105" i="1" s="1"/>
  <c r="AG61" i="1"/>
  <c r="AG105" i="1" s="1"/>
  <c r="AC61" i="1"/>
  <c r="AC105" i="1" s="1"/>
  <c r="Y61" i="1"/>
  <c r="Y105" i="1" s="1"/>
  <c r="U61" i="1"/>
  <c r="U105" i="1" s="1"/>
  <c r="Q61" i="1"/>
  <c r="Q105" i="1" s="1"/>
  <c r="M61" i="1"/>
  <c r="M105" i="1" s="1"/>
  <c r="I61" i="1"/>
  <c r="I105" i="1" s="1"/>
  <c r="BN60" i="1"/>
  <c r="BJ60" i="1"/>
  <c r="BF60" i="1"/>
  <c r="BB60" i="1"/>
  <c r="BB104" i="1" s="1"/>
  <c r="AX60" i="1"/>
  <c r="AX104" i="1" s="1"/>
  <c r="AT60" i="1"/>
  <c r="AT104" i="1" s="1"/>
  <c r="AP60" i="1"/>
  <c r="AP104" i="1" s="1"/>
  <c r="AL60" i="1"/>
  <c r="AL104" i="1" s="1"/>
  <c r="AH60" i="1"/>
  <c r="AH104" i="1" s="1"/>
  <c r="AD60" i="1"/>
  <c r="AD104" i="1" s="1"/>
  <c r="Z60" i="1"/>
  <c r="Z104" i="1" s="1"/>
  <c r="V60" i="1"/>
  <c r="V104" i="1" s="1"/>
  <c r="R60" i="1"/>
  <c r="R104" i="1" s="1"/>
  <c r="N60" i="1"/>
  <c r="N104" i="1" s="1"/>
  <c r="J60" i="1"/>
  <c r="J104" i="1" s="1"/>
  <c r="BO59" i="1"/>
  <c r="BK59" i="1"/>
  <c r="BG59" i="1"/>
  <c r="BC59" i="1"/>
  <c r="AY59" i="1"/>
  <c r="AY103" i="1" s="1"/>
  <c r="AU59" i="1"/>
  <c r="AU103" i="1" s="1"/>
  <c r="AQ59" i="1"/>
  <c r="AQ103" i="1" s="1"/>
  <c r="AM59" i="1"/>
  <c r="AM103" i="1" s="1"/>
  <c r="AI59" i="1"/>
  <c r="AI103" i="1" s="1"/>
  <c r="AE59" i="1"/>
  <c r="AE103" i="1" s="1"/>
  <c r="AA59" i="1"/>
  <c r="AA103" i="1" s="1"/>
  <c r="W59" i="1"/>
  <c r="W103" i="1" s="1"/>
  <c r="S59" i="1"/>
  <c r="S103" i="1" s="1"/>
  <c r="O59" i="1"/>
  <c r="O103" i="1" s="1"/>
  <c r="J59" i="1"/>
  <c r="J103" i="1" s="1"/>
  <c r="BO58" i="1"/>
  <c r="BK58" i="1"/>
  <c r="BG58" i="1"/>
  <c r="BC58" i="1"/>
  <c r="AY58" i="1"/>
  <c r="AY102" i="1" s="1"/>
  <c r="AU58" i="1"/>
  <c r="AU102" i="1" s="1"/>
  <c r="AQ58" i="1"/>
  <c r="AQ102" i="1" s="1"/>
  <c r="AM58" i="1"/>
  <c r="AM102" i="1" s="1"/>
  <c r="AI58" i="1"/>
  <c r="AI102" i="1" s="1"/>
  <c r="AE58" i="1"/>
  <c r="AE102" i="1" s="1"/>
  <c r="AA58" i="1"/>
  <c r="AA102" i="1" s="1"/>
  <c r="W58" i="1"/>
  <c r="W102" i="1" s="1"/>
  <c r="S58" i="1"/>
  <c r="S102" i="1" s="1"/>
  <c r="O58" i="1"/>
  <c r="O102" i="1" s="1"/>
  <c r="K58" i="1"/>
  <c r="K102" i="1" s="1"/>
  <c r="H74" i="1"/>
  <c r="BS74" i="1"/>
  <c r="BR73" i="1"/>
  <c r="BT71" i="1"/>
  <c r="BS70" i="1"/>
  <c r="BR69" i="1"/>
  <c r="BT67" i="1"/>
  <c r="BS66" i="1"/>
  <c r="BR65" i="1"/>
  <c r="BT63" i="1"/>
  <c r="BS62" i="1"/>
  <c r="BR61" i="1"/>
  <c r="BT59" i="1"/>
  <c r="BS58" i="1"/>
  <c r="BR74" i="1"/>
  <c r="BT72" i="1"/>
  <c r="BS71" i="1"/>
  <c r="BR70" i="1"/>
  <c r="BT68" i="1"/>
  <c r="BS67" i="1"/>
  <c r="BR66" i="1"/>
  <c r="BT64" i="1"/>
  <c r="BS63" i="1"/>
  <c r="BR62" i="1"/>
  <c r="BT60" i="1"/>
  <c r="BS59" i="1"/>
  <c r="BR102" i="1" l="1"/>
  <c r="BR91" i="1"/>
  <c r="BR110" i="1"/>
  <c r="BR89" i="1"/>
  <c r="BR108" i="1"/>
  <c r="BT99" i="1"/>
  <c r="BT118" i="1"/>
  <c r="BP83" i="1"/>
  <c r="BP102" i="1"/>
  <c r="BD84" i="1"/>
  <c r="BD103" i="1"/>
  <c r="BG85" i="1"/>
  <c r="BG104" i="1"/>
  <c r="BR87" i="1"/>
  <c r="BR106" i="1"/>
  <c r="BS92" i="1"/>
  <c r="BS111" i="1"/>
  <c r="BT97" i="1"/>
  <c r="BT116" i="1"/>
  <c r="BR86" i="1"/>
  <c r="BR105" i="1"/>
  <c r="BS91" i="1"/>
  <c r="BS110" i="1"/>
  <c r="BT96" i="1"/>
  <c r="BT115" i="1"/>
  <c r="BG83" i="1"/>
  <c r="BG102" i="1"/>
  <c r="BK84" i="1"/>
  <c r="BK103" i="1"/>
  <c r="BN85" i="1"/>
  <c r="BN104" i="1"/>
  <c r="BQ86" i="1"/>
  <c r="BQ105" i="1"/>
  <c r="BR85" i="1"/>
  <c r="BR104" i="1"/>
  <c r="BS90" i="1"/>
  <c r="BS109" i="1"/>
  <c r="BT95" i="1"/>
  <c r="BT114" i="1"/>
  <c r="BD83" i="1"/>
  <c r="BD102" i="1"/>
  <c r="BH84" i="1"/>
  <c r="BH103" i="1"/>
  <c r="BK85" i="1"/>
  <c r="BK104" i="1"/>
  <c r="BN86" i="1"/>
  <c r="BN105" i="1"/>
  <c r="BS85" i="1"/>
  <c r="BS104" i="1"/>
  <c r="BT90" i="1"/>
  <c r="BT109" i="1"/>
  <c r="BR96" i="1"/>
  <c r="BR115" i="1"/>
  <c r="BT85" i="1"/>
  <c r="BT104" i="1"/>
  <c r="BR90" i="1"/>
  <c r="BR109" i="1"/>
  <c r="BC83" i="1"/>
  <c r="BC102" i="1"/>
  <c r="BJ85" i="1"/>
  <c r="BJ104" i="1"/>
  <c r="BM86" i="1"/>
  <c r="BM105" i="1"/>
  <c r="BT83" i="1"/>
  <c r="BT102" i="1"/>
  <c r="BS88" i="1"/>
  <c r="BS107" i="1"/>
  <c r="BT93" i="1"/>
  <c r="BT112" i="1"/>
  <c r="BR99" i="1"/>
  <c r="BR118" i="1"/>
  <c r="BS87" i="1"/>
  <c r="BS106" i="1"/>
  <c r="BT92" i="1"/>
  <c r="BT111" i="1"/>
  <c r="BR98" i="1"/>
  <c r="BR117" i="1"/>
  <c r="BK83" i="1"/>
  <c r="BK102" i="1"/>
  <c r="BO84" i="1"/>
  <c r="BO103" i="1"/>
  <c r="BE86" i="1"/>
  <c r="BE105" i="1"/>
  <c r="BS86" i="1"/>
  <c r="BS105" i="1"/>
  <c r="BT91" i="1"/>
  <c r="BT110" i="1"/>
  <c r="BR97" i="1"/>
  <c r="BR116" i="1"/>
  <c r="BH83" i="1"/>
  <c r="BH102" i="1"/>
  <c r="BL84" i="1"/>
  <c r="BL103" i="1"/>
  <c r="BO85" i="1"/>
  <c r="BO104" i="1"/>
  <c r="BT86" i="1"/>
  <c r="BT105" i="1"/>
  <c r="BR92" i="1"/>
  <c r="BR111" i="1"/>
  <c r="BS97" i="1"/>
  <c r="BS116" i="1"/>
  <c r="BT84" i="1"/>
  <c r="BT103" i="1"/>
  <c r="BS95" i="1"/>
  <c r="BS114" i="1"/>
  <c r="BG84" i="1"/>
  <c r="BG103" i="1"/>
  <c r="BS84" i="1"/>
  <c r="BS103" i="1"/>
  <c r="BT89" i="1"/>
  <c r="BT108" i="1"/>
  <c r="BR95" i="1"/>
  <c r="BR114" i="1"/>
  <c r="BS83" i="1"/>
  <c r="BS102" i="1"/>
  <c r="BT88" i="1"/>
  <c r="BT107" i="1"/>
  <c r="BR94" i="1"/>
  <c r="BR113" i="1"/>
  <c r="BS99" i="1"/>
  <c r="BS118" i="1"/>
  <c r="BO83" i="1"/>
  <c r="BO102" i="1"/>
  <c r="BC84" i="1"/>
  <c r="BC103" i="1"/>
  <c r="BF85" i="1"/>
  <c r="BF104" i="1"/>
  <c r="BI86" i="1"/>
  <c r="BI105" i="1"/>
  <c r="BT87" i="1"/>
  <c r="BT106" i="1"/>
  <c r="BR93" i="1"/>
  <c r="BR112" i="1"/>
  <c r="BS98" i="1"/>
  <c r="BS117" i="1"/>
  <c r="BL83" i="1"/>
  <c r="BL102" i="1"/>
  <c r="BP84" i="1"/>
  <c r="BP103" i="1"/>
  <c r="BC85" i="1"/>
  <c r="BC104" i="1"/>
  <c r="BF86" i="1"/>
  <c r="BF105" i="1"/>
  <c r="BR88" i="1"/>
  <c r="BR107" i="1"/>
  <c r="BS93" i="1"/>
  <c r="BS112" i="1"/>
  <c r="BT98" i="1"/>
  <c r="BT117" i="1"/>
  <c r="BS96" i="1"/>
  <c r="BS115" i="1"/>
  <c r="BS94" i="1"/>
  <c r="BS113" i="1"/>
  <c r="BJ86" i="1"/>
  <c r="BJ105" i="1"/>
  <c r="BR84" i="1"/>
  <c r="BR103" i="1"/>
  <c r="BS89" i="1"/>
  <c r="BS108" i="1"/>
  <c r="BT94" i="1"/>
  <c r="BT113" i="1"/>
  <c r="S83" i="1"/>
  <c r="Z85" i="1"/>
  <c r="AP86" i="1"/>
  <c r="O83" i="1"/>
  <c r="AU83" i="1"/>
  <c r="AI84" i="1"/>
  <c r="V85" i="1"/>
  <c r="Y86" i="1"/>
  <c r="L87" i="1"/>
  <c r="AR87" i="1"/>
  <c r="AB83" i="1"/>
  <c r="P84" i="1"/>
  <c r="AV84" i="1"/>
  <c r="AI85" i="1"/>
  <c r="V86" i="1"/>
  <c r="Y87" i="1"/>
  <c r="Q83" i="1"/>
  <c r="AY83" i="1"/>
  <c r="AM84" i="1"/>
  <c r="AP85" i="1"/>
  <c r="AC86" i="1"/>
  <c r="AF87" i="1"/>
  <c r="P83" i="1"/>
  <c r="AV83" i="1"/>
  <c r="AJ84" i="1"/>
  <c r="W85" i="1"/>
  <c r="Z86" i="1"/>
  <c r="AS87" i="1"/>
  <c r="H99" i="1"/>
  <c r="H118" i="1"/>
  <c r="AM83" i="1"/>
  <c r="AQ84" i="1"/>
  <c r="AD85" i="1"/>
  <c r="Q86" i="1"/>
  <c r="T87" i="1"/>
  <c r="T83" i="1"/>
  <c r="X84" i="1"/>
  <c r="AD86" i="1"/>
  <c r="AE83" i="1"/>
  <c r="S84" i="1"/>
  <c r="AY84" i="1"/>
  <c r="AL85" i="1"/>
  <c r="I86" i="1"/>
  <c r="AO86" i="1"/>
  <c r="AB87" i="1"/>
  <c r="L83" i="1"/>
  <c r="AR83" i="1"/>
  <c r="AF84" i="1"/>
  <c r="S85" i="1"/>
  <c r="AY85" i="1"/>
  <c r="AL86" i="1"/>
  <c r="I87" i="1"/>
  <c r="AO87" i="1"/>
  <c r="AI83" i="1"/>
  <c r="W84" i="1"/>
  <c r="J85" i="1"/>
  <c r="M86" i="1"/>
  <c r="AS86" i="1"/>
  <c r="P87" i="1"/>
  <c r="AV87" i="1"/>
  <c r="AF83" i="1"/>
  <c r="T84" i="1"/>
  <c r="AZ84" i="1"/>
  <c r="AM85" i="1"/>
  <c r="J86" i="1"/>
  <c r="M87" i="1"/>
  <c r="AC87" i="1"/>
  <c r="U83" i="1"/>
  <c r="W83" i="1"/>
  <c r="J84" i="1"/>
  <c r="AA84" i="1"/>
  <c r="N85" i="1"/>
  <c r="AT85" i="1"/>
  <c r="AG86" i="1"/>
  <c r="AW86" i="1"/>
  <c r="AJ87" i="1"/>
  <c r="AJ83" i="1"/>
  <c r="AZ83" i="1"/>
  <c r="AN84" i="1"/>
  <c r="K85" i="1"/>
  <c r="AA85" i="1"/>
  <c r="AQ85" i="1"/>
  <c r="N86" i="1"/>
  <c r="AT86" i="1"/>
  <c r="Q87" i="1"/>
  <c r="AG87" i="1"/>
  <c r="I83" i="1"/>
  <c r="K83" i="1"/>
  <c r="AA83" i="1"/>
  <c r="AQ83" i="1"/>
  <c r="O84" i="1"/>
  <c r="AE84" i="1"/>
  <c r="AU84" i="1"/>
  <c r="R85" i="1"/>
  <c r="AH85" i="1"/>
  <c r="AX85" i="1"/>
  <c r="U86" i="1"/>
  <c r="AK86" i="1"/>
  <c r="BA86" i="1"/>
  <c r="X87" i="1"/>
  <c r="AN87" i="1"/>
  <c r="H84" i="1"/>
  <c r="H103" i="1"/>
  <c r="X83" i="1"/>
  <c r="AN83" i="1"/>
  <c r="K84" i="1"/>
  <c r="AB84" i="1"/>
  <c r="AR84" i="1"/>
  <c r="O85" i="1"/>
  <c r="AE85" i="1"/>
  <c r="AU85" i="1"/>
  <c r="R86" i="1"/>
  <c r="AH86" i="1"/>
  <c r="AX86" i="1"/>
  <c r="U87" i="1"/>
  <c r="AK87" i="1"/>
  <c r="M83" i="1"/>
  <c r="BB86" i="1"/>
  <c r="BB8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Francisco Monteiro</author>
    <author>Tammannavar, Sunil (Research)</author>
    <author>mcderdev</author>
    <author>McDermott, Devin (Research)</author>
    <author>Sanchez Bolanos, Laura (Research)</author>
    <author>ramrama</author>
    <author>Kobus, Jim (Research)</author>
    <author>Dong, Jonathan (Research)</author>
    <author>Tabatabai, Arman (Research)</author>
    <author>Arcaro, David (Research)</author>
  </authors>
  <commentList>
    <comment ref="C8" authorId="0" shapeId="0" xr:uid="{F098CBE8-0E7A-4303-8DAC-DFB5EC3CA3F7}">
      <text>
        <r>
          <rPr>
            <b/>
            <sz val="9"/>
            <color indexed="81"/>
            <rFont val="Tahoma"/>
            <family val="2"/>
          </rPr>
          <t>Francisco Monteiro:</t>
        </r>
        <r>
          <rPr>
            <sz val="9"/>
            <color indexed="81"/>
            <rFont val="Tahoma"/>
            <family val="2"/>
          </rPr>
          <t xml:space="preserve">
Henry Hub Natural Gas</t>
        </r>
      </text>
    </comment>
    <comment ref="AJ50" authorId="1" shapeId="0" xr:uid="{09CA452E-E84A-4D97-B051-C31CE5042722}">
      <text>
        <r>
          <rPr>
            <sz val="9"/>
            <color indexed="81"/>
            <rFont val="Tahoma"/>
            <family val="2"/>
          </rPr>
          <t>Equated to previous period as the data is not available in SNL</t>
        </r>
      </text>
    </comment>
    <comment ref="AD121" authorId="2" shapeId="0" xr:uid="{6B20631C-307B-4186-865A-91AE3E3C04EC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H121" authorId="3" shapeId="0" xr:uid="{3D605A6C-E1F4-4F68-B691-5BEA22BAC434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2017/18 Auction</t>
        </r>
      </text>
    </comment>
    <comment ref="AL121" authorId="3" shapeId="0" xr:uid="{94D05EA3-2DD9-40DA-A9F3-BF5DD313F5B5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2018/19 Auction</t>
        </r>
      </text>
    </comment>
    <comment ref="AP121" authorId="3" shapeId="0" xr:uid="{0BBD807E-C939-430A-9C8B-9F39942C7FF9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2019/20 Auction</t>
        </r>
      </text>
    </comment>
    <comment ref="AT121" authorId="4" shapeId="0" xr:uid="{C40435FB-F7BC-429A-820F-A02043A97A14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2020-2021 FCA</t>
        </r>
      </text>
    </comment>
    <comment ref="AX121" authorId="4" shapeId="0" xr:uid="{8DA4F346-54F3-4025-AB77-7EC48F154751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2021-2022 FCA</t>
        </r>
      </text>
    </comment>
    <comment ref="BB121" authorId="4" shapeId="0" xr:uid="{5607D68D-CDC3-4DEB-8429-5E0FE0305B4B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2022-2023 FCA</t>
        </r>
      </text>
    </comment>
    <comment ref="AD122" authorId="2" shapeId="0" xr:uid="{81240E82-4386-4611-8613-CB3F4FAD50AC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H122" authorId="3" shapeId="0" xr:uid="{D8E94088-8128-4B53-92C4-8DB28A4DAA91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2017/18 Auction</t>
        </r>
      </text>
    </comment>
    <comment ref="AL122" authorId="3" shapeId="0" xr:uid="{C897F83B-996F-4E09-AFF4-D5E4331AF6F0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2018/19 Auction</t>
        </r>
      </text>
    </comment>
    <comment ref="AP122" authorId="3" shapeId="0" xr:uid="{C708725C-26D1-4E6C-8C58-33A6119B7D88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2019/20 Auction</t>
        </r>
      </text>
    </comment>
    <comment ref="AT122" authorId="4" shapeId="0" xr:uid="{0A43A96C-B9EC-4155-8383-D17193CD1472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2020-2021 FCA</t>
        </r>
      </text>
    </comment>
    <comment ref="AX122" authorId="4" shapeId="0" xr:uid="{BDEDD37D-798B-4B8A-9D75-264A77A6846D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2021-2022 FCA</t>
        </r>
      </text>
    </comment>
    <comment ref="BB122" authorId="4" shapeId="0" xr:uid="{2707FD86-C536-4E76-ACF6-C6F90033A984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2022-2023 FCA</t>
        </r>
      </text>
    </comment>
    <comment ref="Z123" authorId="5" shapeId="0" xr:uid="{535BF904-3D10-4B8F-9078-E13FF5BB4CC4}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D123" authorId="2" shapeId="0" xr:uid="{DF0A5EE5-A272-4D61-A48A-C5B590253786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H123" authorId="2" shapeId="0" xr:uid="{F1F24A1E-6874-4A8E-9D50-595B6E7FD0D8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L123" authorId="6" shapeId="0" xr:uid="{4197EC2A-1457-41E4-B9D2-0C97CDDB0377}">
      <text>
        <r>
          <rPr>
            <b/>
            <sz val="9"/>
            <color indexed="81"/>
            <rFont val="Tahoma"/>
            <family val="2"/>
          </rPr>
          <t>Kobus, Jim (Research):</t>
        </r>
        <r>
          <rPr>
            <sz val="9"/>
            <color indexed="81"/>
            <rFont val="Tahoma"/>
            <family val="2"/>
          </rPr>
          <t xml:space="preserve">
Updated for 18/19 BRA (We use Capacity Performance clearing price)</t>
        </r>
      </text>
    </comment>
    <comment ref="AP123" authorId="3" shapeId="0" xr:uid="{A1724D88-B44B-4369-A707-53C778B273C0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2019/20 Auction</t>
        </r>
      </text>
    </comment>
    <comment ref="AT123" authorId="3" shapeId="0" xr:uid="{B80ADFDC-F68C-4209-B544-E82BFF6B36EE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2020/21 Auction</t>
        </r>
      </text>
    </comment>
    <comment ref="AX123" authorId="4" shapeId="0" xr:uid="{FE8B8DE2-B548-424B-889E-0841E7273DDE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2021-2022 auction results</t>
        </r>
      </text>
    </comment>
    <comment ref="BF123" authorId="7" shapeId="0" xr:uid="{B9CBCDEF-D65C-499D-B475-15DB694C766B}">
      <text>
        <r>
          <rPr>
            <b/>
            <sz val="9"/>
            <color indexed="81"/>
            <rFont val="Tahoma"/>
            <family val="2"/>
          </rPr>
          <t>Dong, Jonathan (Research):</t>
        </r>
        <r>
          <rPr>
            <sz val="9"/>
            <color indexed="81"/>
            <rFont val="Tahoma"/>
            <family val="2"/>
          </rPr>
          <t xml:space="preserve">
Updated w 2023/2024 BRA Results</t>
        </r>
      </text>
    </comment>
    <comment ref="Z124" authorId="5" shapeId="0" xr:uid="{9C9E975F-955C-4D0D-A9B7-EB499DDBBB19}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D124" authorId="2" shapeId="0" xr:uid="{0928508F-107F-47DA-AF3D-FF7F173B4ADB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H124" authorId="2" shapeId="0" xr:uid="{E1CC86AF-08FD-4B28-B656-2BC1F8D1E007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L124" authorId="6" shapeId="0" xr:uid="{58C0E09A-BE9C-4CC6-B58E-0A60C992072B}">
      <text>
        <r>
          <rPr>
            <b/>
            <sz val="9"/>
            <color indexed="81"/>
            <rFont val="Tahoma"/>
            <family val="2"/>
          </rPr>
          <t>Kobus, Jim (Research):</t>
        </r>
        <r>
          <rPr>
            <sz val="9"/>
            <color indexed="81"/>
            <rFont val="Tahoma"/>
            <family val="2"/>
          </rPr>
          <t xml:space="preserve">
Updated for 18/19 BRA (We use Capacity Performance clearing price)</t>
        </r>
      </text>
    </comment>
    <comment ref="AP124" authorId="3" shapeId="0" xr:uid="{A08A6BFB-93A7-4C81-B3AF-6CB76969206B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2019/20 Auction</t>
        </r>
      </text>
    </comment>
    <comment ref="AT124" authorId="3" shapeId="0" xr:uid="{76A8DE58-28A9-4315-89C5-A084D5C3AF6C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2020/21 Auction</t>
        </r>
      </text>
    </comment>
    <comment ref="AX124" authorId="4" shapeId="0" xr:uid="{F5E90438-9E6D-46F6-8592-38C218B136E5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2021-2022 auction results</t>
        </r>
      </text>
    </comment>
    <comment ref="AD125" authorId="2" shapeId="0" xr:uid="{57BCA34F-5DD5-4DAB-A50C-7BFAEF76F80A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H125" authorId="2" shapeId="0" xr:uid="{203A8E5A-7A8B-47B2-AEDC-4836A60E49E7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L125" authorId="6" shapeId="0" xr:uid="{B0C46D62-89C1-484C-95B7-B3FDFB6F871B}">
      <text>
        <r>
          <rPr>
            <b/>
            <sz val="9"/>
            <color indexed="81"/>
            <rFont val="Tahoma"/>
            <family val="2"/>
          </rPr>
          <t>Kobus, Jim (Research):</t>
        </r>
        <r>
          <rPr>
            <sz val="9"/>
            <color indexed="81"/>
            <rFont val="Tahoma"/>
            <family val="2"/>
          </rPr>
          <t xml:space="preserve">
Updated for 18/19 BRA (We use Capacity Performance clearing price)</t>
        </r>
      </text>
    </comment>
    <comment ref="AP125" authorId="3" shapeId="0" xr:uid="{0CEAC991-73D1-46BB-B9F6-75927340B068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2019/20 Auction</t>
        </r>
      </text>
    </comment>
    <comment ref="AT125" authorId="3" shapeId="0" xr:uid="{7BFA0A81-699E-49B0-907E-718EA5E0271E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2020/21 Auction</t>
        </r>
      </text>
    </comment>
    <comment ref="AX125" authorId="4" shapeId="0" xr:uid="{FF3163C9-99FA-4722-9207-D465838C0CA5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2021-2022 auction results</t>
        </r>
      </text>
    </comment>
    <comment ref="AD126" authorId="2" shapeId="0" xr:uid="{2C867584-3023-4544-8D82-D84DB10EA82A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H126" authorId="2" shapeId="0" xr:uid="{F591EAA0-1E0A-450C-B1BB-1683138FCFC7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L126" authorId="6" shapeId="0" xr:uid="{618AAE5C-D360-4832-B521-ABFF5FA55590}">
      <text>
        <r>
          <rPr>
            <b/>
            <sz val="9"/>
            <color indexed="81"/>
            <rFont val="Tahoma"/>
            <family val="2"/>
          </rPr>
          <t>Kobus, Jim (Research):</t>
        </r>
        <r>
          <rPr>
            <sz val="9"/>
            <color indexed="81"/>
            <rFont val="Tahoma"/>
            <family val="2"/>
          </rPr>
          <t xml:space="preserve">
Updated for 18/19 BRA (We use Capacity Performance clearing price)</t>
        </r>
      </text>
    </comment>
    <comment ref="AP126" authorId="3" shapeId="0" xr:uid="{90541066-F516-4EAA-BAF9-1C8F3D5C039F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2019/20 Auction</t>
        </r>
      </text>
    </comment>
    <comment ref="AT126" authorId="3" shapeId="0" xr:uid="{77F45EFD-0607-4767-9BAF-A31454A173C5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2020/21 Auction</t>
        </r>
      </text>
    </comment>
    <comment ref="AX126" authorId="4" shapeId="0" xr:uid="{9A53D674-285D-4603-B3B2-F3402A798224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2021-2022 auction results</t>
        </r>
      </text>
    </comment>
    <comment ref="AD127" authorId="2" shapeId="0" xr:uid="{488C5850-C516-4952-A0CF-D863EEFE1B47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H127" authorId="2" shapeId="0" xr:uid="{1C38B396-BBB0-4399-B545-7D0B00774ACD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L127" authorId="6" shapeId="0" xr:uid="{FA3FEC01-E569-4653-A85C-E86BDE93BAF5}">
      <text>
        <r>
          <rPr>
            <b/>
            <sz val="9"/>
            <color indexed="81"/>
            <rFont val="Tahoma"/>
            <family val="2"/>
          </rPr>
          <t>Kobus, Jim (Research):</t>
        </r>
        <r>
          <rPr>
            <sz val="9"/>
            <color indexed="81"/>
            <rFont val="Tahoma"/>
            <family val="2"/>
          </rPr>
          <t xml:space="preserve">
Updated for 18/19 BRA (We use Capacity Performance clearing price)</t>
        </r>
      </text>
    </comment>
    <comment ref="AP127" authorId="3" shapeId="0" xr:uid="{3950E14E-91FC-40D7-92D8-AED13346B1C5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2019/20 Auction</t>
        </r>
      </text>
    </comment>
    <comment ref="AT127" authorId="3" shapeId="0" xr:uid="{C9D90BF7-EC91-4F28-BD1A-CA40F7478215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2020/21 Auction</t>
        </r>
      </text>
    </comment>
    <comment ref="AX127" authorId="4" shapeId="0" xr:uid="{7179C21D-02F9-43AA-82B8-1DE31CE86C92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2021-2022 auction results</t>
        </r>
      </text>
    </comment>
    <comment ref="Z128" authorId="5" shapeId="0" xr:uid="{56E38BAC-9434-490C-BFB7-0D4B3EE90BA6}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D128" authorId="2" shapeId="0" xr:uid="{EA106834-4ABD-433D-8CAF-8EC66E77D83A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H128" authorId="2" shapeId="0" xr:uid="{139DBF25-AF32-4337-A0C9-946710CC325C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L128" authorId="6" shapeId="0" xr:uid="{50DA8F9E-E912-4375-9A7E-A812CCF454BA}">
      <text>
        <r>
          <rPr>
            <b/>
            <sz val="9"/>
            <color indexed="81"/>
            <rFont val="Tahoma"/>
            <family val="2"/>
          </rPr>
          <t>Kobus, Jim (Research):</t>
        </r>
        <r>
          <rPr>
            <sz val="9"/>
            <color indexed="81"/>
            <rFont val="Tahoma"/>
            <family val="2"/>
          </rPr>
          <t xml:space="preserve">
Updated for 18/19 BRA (We use Capacity Performance clearing price)</t>
        </r>
      </text>
    </comment>
    <comment ref="AP128" authorId="3" shapeId="0" xr:uid="{19BF7ECF-A854-45FF-ADFA-27559D18A602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2019/20 Auction</t>
        </r>
      </text>
    </comment>
    <comment ref="AT128" authorId="3" shapeId="0" xr:uid="{30256BF2-3A3F-4FCD-8DF1-D778D52DEA3D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2020/21 Auction</t>
        </r>
      </text>
    </comment>
    <comment ref="AX128" authorId="4" shapeId="0" xr:uid="{DDEAD853-5EAD-48D1-BC4B-B1CEF5D70298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2021-2022 auction results</t>
        </r>
      </text>
    </comment>
    <comment ref="AD129" authorId="2" shapeId="0" xr:uid="{16B97530-8445-4EC3-9D4D-4840D7613564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H129" authorId="2" shapeId="0" xr:uid="{4C04CE00-EDDC-4959-90CA-C87DF197920C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L129" authorId="6" shapeId="0" xr:uid="{91E26D5C-9554-451C-A283-6505BDFAEF73}">
      <text>
        <r>
          <rPr>
            <b/>
            <sz val="9"/>
            <color indexed="81"/>
            <rFont val="Tahoma"/>
            <family val="2"/>
          </rPr>
          <t>Kobus, Jim (Research):</t>
        </r>
        <r>
          <rPr>
            <sz val="9"/>
            <color indexed="81"/>
            <rFont val="Tahoma"/>
            <family val="2"/>
          </rPr>
          <t xml:space="preserve">
Updated for 18/19 BRA (We use Capacity Performance clearing price)</t>
        </r>
      </text>
    </comment>
    <comment ref="AP129" authorId="3" shapeId="0" xr:uid="{ADAE0F21-F800-42E7-A104-5F53F34ADA8F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2019/20 Auction</t>
        </r>
      </text>
    </comment>
    <comment ref="AT129" authorId="3" shapeId="0" xr:uid="{E0DC02D9-1AF6-4AB7-A434-2C635F310042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2020/21 Auction</t>
        </r>
      </text>
    </comment>
    <comment ref="AX129" authorId="4" shapeId="0" xr:uid="{5CE6BA32-4CCB-42EC-830D-D11EAAABE3E1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2021-2022 auction results</t>
        </r>
      </text>
    </comment>
    <comment ref="P130" authorId="2" shapeId="0" xr:uid="{A5267C2B-8BEB-4FFA-81CA-17C9807C9DF4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ROS Winter 2012-13 Strip Auction Clearing Price</t>
        </r>
      </text>
    </comment>
    <comment ref="R130" authorId="2" shapeId="0" xr:uid="{7C2B3BE4-2DF5-4497-94A2-24E110198E6B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ROS Summer 2013 Strip Auction Clearing Price</t>
        </r>
      </text>
    </comment>
    <comment ref="T130" authorId="2" shapeId="0" xr:uid="{6A1A8366-9813-4C34-A757-503578B94714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V130" authorId="2" shapeId="0" xr:uid="{8E446024-6E6A-4299-9900-D1246F6324C6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Summer 2014 Strip Auction results</t>
        </r>
      </text>
    </comment>
    <comment ref="X130" authorId="3" shapeId="0" xr:uid="{6F2E7E7D-80C5-4AF5-8A27-533D24571FE2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Average of Nov-Feb spot auction actuals and Mar-Apr forwards as of 2/9/15</t>
        </r>
      </text>
    </comment>
    <comment ref="Z130" authorId="3" shapeId="0" xr:uid="{386A2303-6040-488D-B9AF-DDA83C8BFEB1}">
      <text>
        <r>
          <rPr>
            <b/>
            <sz val="9"/>
            <color indexed="81"/>
            <rFont val="Tahoma"/>
            <family val="2"/>
          </rPr>
          <t>DA:</t>
        </r>
        <r>
          <rPr>
            <sz val="9"/>
            <color indexed="81"/>
            <rFont val="Tahoma"/>
            <family val="2"/>
          </rPr>
          <t xml:space="preserve">
OTC forward capacity quote provided by TFS on 4/30/2015</t>
        </r>
      </text>
    </comment>
    <comment ref="AB130" authorId="3" shapeId="0" xr:uid="{5F89BB7E-839B-4DAD-BD50-B8299109CAE8}">
      <text>
        <r>
          <rPr>
            <b/>
            <sz val="9"/>
            <color indexed="81"/>
            <rFont val="Tahoma"/>
            <family val="2"/>
          </rPr>
          <t xml:space="preserve">DA:
</t>
        </r>
        <r>
          <rPr>
            <sz val="9"/>
            <color indexed="81"/>
            <rFont val="Tahoma"/>
            <family val="2"/>
          </rPr>
          <t>OTC forward capacity quote provided by TFS on 4/30/2015</t>
        </r>
      </text>
    </comment>
    <comment ref="AC130" authorId="8" shapeId="0" xr:uid="{12EBB736-11E3-4D38-AB79-FDBCD419C3E7}">
      <text>
        <r>
          <rPr>
            <b/>
            <sz val="9"/>
            <color indexed="81"/>
            <rFont val="Tahoma"/>
            <family val="2"/>
          </rPr>
          <t>Tabatabai, Arman (Research):</t>
        </r>
        <r>
          <rPr>
            <sz val="9"/>
            <color indexed="81"/>
            <rFont val="Tahoma"/>
            <family val="2"/>
          </rPr>
          <t xml:space="preserve">
NYISO Monthly Auction  results for April and summer strip May-June</t>
        </r>
      </text>
    </comment>
    <comment ref="AD130" authorId="3" shapeId="0" xr:uid="{9B509BC1-50CD-4BA8-8A8B-877817254212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Summer 2016 Strip auction results</t>
        </r>
      </text>
    </comment>
    <comment ref="AF130" authorId="3" shapeId="0" xr:uid="{15EEE89F-8CCE-474F-B90C-AB136D74FA00}">
      <text>
        <r>
          <rPr>
            <b/>
            <sz val="9"/>
            <color indexed="81"/>
            <rFont val="Tahoma"/>
            <family val="2"/>
          </rPr>
          <t>Tabatabai, Arman (Research):</t>
        </r>
        <r>
          <rPr>
            <sz val="9"/>
            <color indexed="81"/>
            <rFont val="Tahoma"/>
            <family val="2"/>
          </rPr>
          <t xml:space="preserve">
Winter 2016/17 Strip auction results</t>
        </r>
      </text>
    </comment>
    <comment ref="AH130" authorId="3" shapeId="0" xr:uid="{9AFF72F1-9A8E-4AF1-9AB8-0277F36BD1E5}">
      <text>
        <r>
          <rPr>
            <b/>
            <sz val="9"/>
            <color indexed="81"/>
            <rFont val="Tahoma"/>
            <family val="2"/>
          </rPr>
          <t>Tabatabai, Arman (Research):</t>
        </r>
        <r>
          <rPr>
            <sz val="9"/>
            <color indexed="81"/>
            <rFont val="Tahoma"/>
            <family val="2"/>
          </rPr>
          <t xml:space="preserve">
CME quote as of 12/15/16</t>
        </r>
      </text>
    </comment>
    <comment ref="AJ130" authorId="3" shapeId="0" xr:uid="{816B792A-EC87-45D8-8513-C3FFA58C087A}">
      <text>
        <r>
          <rPr>
            <b/>
            <sz val="9"/>
            <color indexed="81"/>
            <rFont val="Tahoma"/>
            <family val="2"/>
          </rPr>
          <t>Tabatabai, Arman (Research):</t>
        </r>
        <r>
          <rPr>
            <sz val="9"/>
            <color indexed="81"/>
            <rFont val="Tahoma"/>
            <family val="2"/>
          </rPr>
          <t xml:space="preserve">
CME quote as of 12/15/16</t>
        </r>
      </text>
    </comment>
    <comment ref="AL130" authorId="3" shapeId="0" xr:uid="{DD85406E-9260-4313-9293-2C51A14266A3}">
      <text>
        <r>
          <rPr>
            <b/>
            <sz val="9"/>
            <color indexed="81"/>
            <rFont val="Tahoma"/>
            <family val="2"/>
          </rPr>
          <t>Tabatabai, Arman (Research):</t>
        </r>
        <r>
          <rPr>
            <sz val="9"/>
            <color indexed="81"/>
            <rFont val="Tahoma"/>
            <family val="2"/>
          </rPr>
          <t xml:space="preserve">
CME quote as of 12/15/16</t>
        </r>
      </text>
    </comment>
    <comment ref="P131" authorId="2" shapeId="0" xr:uid="{BF84F657-E36A-466C-AA69-969BEB4D8DAA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NYC Winter 2012-13 Strip Auction Clearing Price</t>
        </r>
      </text>
    </comment>
    <comment ref="R131" authorId="2" shapeId="0" xr:uid="{BBA3FE79-670F-41B9-ACD8-CA8D40AA89C1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NYC Summer 2013 Strip Auction Clearing Price</t>
        </r>
      </text>
    </comment>
    <comment ref="T131" authorId="2" shapeId="0" xr:uid="{D08AB51C-DD56-49C5-93B6-B83AF4E5494C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V131" authorId="2" shapeId="0" xr:uid="{8F9C35C4-654D-4A81-85F1-704376C6BFAA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Summer 2014 Strip Auction results</t>
        </r>
      </text>
    </comment>
    <comment ref="X131" authorId="3" shapeId="0" xr:uid="{6D093646-C480-497D-90D4-AE5088436989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Average of Nov-Feb spot auction actuals and Mar-Apr forwards as of 2/9/15</t>
        </r>
      </text>
    </comment>
    <comment ref="Z131" authorId="3" shapeId="0" xr:uid="{E3099428-BF40-4882-A7B1-F2C7AC8CF3C5}">
      <text>
        <r>
          <rPr>
            <b/>
            <sz val="9"/>
            <color indexed="81"/>
            <rFont val="Tahoma"/>
            <family val="2"/>
          </rPr>
          <t>DA:</t>
        </r>
        <r>
          <rPr>
            <sz val="9"/>
            <color indexed="81"/>
            <rFont val="Tahoma"/>
            <family val="2"/>
          </rPr>
          <t xml:space="preserve">
OTC forward capacity quote provided by TFS on 4/30/2015</t>
        </r>
      </text>
    </comment>
    <comment ref="AB131" authorId="3" shapeId="0" xr:uid="{35EB50CA-76A9-4E01-A08C-518FFB2874FB}">
      <text>
        <r>
          <rPr>
            <b/>
            <sz val="9"/>
            <color indexed="81"/>
            <rFont val="Tahoma"/>
            <family val="2"/>
          </rPr>
          <t xml:space="preserve">DA:
</t>
        </r>
        <r>
          <rPr>
            <sz val="9"/>
            <color indexed="81"/>
            <rFont val="Tahoma"/>
            <family val="2"/>
          </rPr>
          <t>OTC forward capacity quote provided by TFS on 4/30/2015</t>
        </r>
      </text>
    </comment>
    <comment ref="AC131" authorId="8" shapeId="0" xr:uid="{2C6D162E-77D2-411A-9B9F-A3B6EB70D1BB}">
      <text>
        <r>
          <rPr>
            <b/>
            <sz val="9"/>
            <color indexed="81"/>
            <rFont val="Tahoma"/>
            <family val="2"/>
          </rPr>
          <t>Tabatabai, Arman (Research):</t>
        </r>
        <r>
          <rPr>
            <sz val="9"/>
            <color indexed="81"/>
            <rFont val="Tahoma"/>
            <family val="2"/>
          </rPr>
          <t xml:space="preserve">
NYISO Monthly Auction  results for April and summer strip May-June</t>
        </r>
      </text>
    </comment>
    <comment ref="AD131" authorId="3" shapeId="0" xr:uid="{9AF634DF-D043-40EC-988E-3C87783B9293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Summer 2016 Strip auction results</t>
        </r>
      </text>
    </comment>
    <comment ref="AF131" authorId="3" shapeId="0" xr:uid="{4312D20E-4B85-44D0-9514-5E01F6C17804}">
      <text>
        <r>
          <rPr>
            <b/>
            <sz val="9"/>
            <color indexed="81"/>
            <rFont val="Tahoma"/>
            <family val="2"/>
          </rPr>
          <t>Tabatabai, Arman (Research):</t>
        </r>
        <r>
          <rPr>
            <sz val="9"/>
            <color indexed="81"/>
            <rFont val="Tahoma"/>
            <family val="2"/>
          </rPr>
          <t xml:space="preserve">
Winter 2016/17 Strip auction results</t>
        </r>
      </text>
    </comment>
    <comment ref="AH131" authorId="3" shapeId="0" xr:uid="{5C024CA0-AD5D-4628-9FB1-2684EE1C2E8E}">
      <text>
        <r>
          <rPr>
            <b/>
            <sz val="9"/>
            <color indexed="81"/>
            <rFont val="Tahoma"/>
            <family val="2"/>
          </rPr>
          <t>Tabatabai, Arman (Research):</t>
        </r>
        <r>
          <rPr>
            <sz val="9"/>
            <color indexed="81"/>
            <rFont val="Tahoma"/>
            <family val="2"/>
          </rPr>
          <t xml:space="preserve">
CME quote as of 12/15/16</t>
        </r>
      </text>
    </comment>
    <comment ref="AJ131" authorId="3" shapeId="0" xr:uid="{5F624029-9F3F-45D3-A147-811749AE15D6}">
      <text>
        <r>
          <rPr>
            <b/>
            <sz val="9"/>
            <color indexed="81"/>
            <rFont val="Tahoma"/>
            <family val="2"/>
          </rPr>
          <t>Tabatabai, Arman (Research):</t>
        </r>
        <r>
          <rPr>
            <sz val="9"/>
            <color indexed="81"/>
            <rFont val="Tahoma"/>
            <family val="2"/>
          </rPr>
          <t xml:space="preserve">
CME quote as of 12/15/16</t>
        </r>
      </text>
    </comment>
    <comment ref="Z132" authorId="5" shapeId="0" xr:uid="{90C155F8-80AD-44CA-8102-41B626828EBA}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D132" authorId="2" shapeId="0" xr:uid="{64C2717F-FDCA-41C9-BF11-03ABA376C517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H132" authorId="2" shapeId="0" xr:uid="{484746F9-6413-48AA-A47B-80E88FBD08DB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L132" authorId="6" shapeId="0" xr:uid="{A0F34FF3-2465-4F3A-B6E8-F6D21582136C}">
      <text>
        <r>
          <rPr>
            <b/>
            <sz val="9"/>
            <color indexed="81"/>
            <rFont val="Tahoma"/>
            <family val="2"/>
          </rPr>
          <t>Kobus, Jim (Research):</t>
        </r>
        <r>
          <rPr>
            <sz val="9"/>
            <color indexed="81"/>
            <rFont val="Tahoma"/>
            <family val="2"/>
          </rPr>
          <t xml:space="preserve">
Updated for 18/19 BRA (We use Capacity Performance clearing price)</t>
        </r>
      </text>
    </comment>
    <comment ref="AP132" authorId="3" shapeId="0" xr:uid="{402EF0FC-79C9-4DDB-8617-2BC01FD1C470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2019/20 Auction</t>
        </r>
      </text>
    </comment>
    <comment ref="AT132" authorId="3" shapeId="0" xr:uid="{92F1E463-0F08-4A06-94F0-39B28CA3CB52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2020/21 Auction</t>
        </r>
      </text>
    </comment>
    <comment ref="AX132" authorId="4" shapeId="0" xr:uid="{0874D7C9-E71F-49EB-9BD2-C89B54B855F7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2021-2022 auction results</t>
        </r>
      </text>
    </comment>
    <comment ref="BF132" authorId="7" shapeId="0" xr:uid="{612FD85B-0F41-4A6E-B4C2-D2A4D7A4C119}">
      <text>
        <r>
          <rPr>
            <b/>
            <sz val="9"/>
            <color indexed="81"/>
            <rFont val="Tahoma"/>
            <family val="2"/>
          </rPr>
          <t>Dong, Jonathan (Research):</t>
        </r>
        <r>
          <rPr>
            <sz val="9"/>
            <color indexed="81"/>
            <rFont val="Tahoma"/>
            <family val="2"/>
          </rPr>
          <t xml:space="preserve">
Updated w 2023/2024 BRA Results</t>
        </r>
      </text>
    </comment>
    <comment ref="R133" authorId="2" shapeId="0" xr:uid="{0C4C9F93-C555-438D-986B-C5E4F8C18323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2013/2014 auction clearing price</t>
        </r>
      </text>
    </comment>
    <comment ref="V133" authorId="9" shapeId="0" xr:uid="{6AFE2FC9-47FC-4705-B862-0F94B0C5CCF5}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2014-2015 Zone 2-7 clearing price</t>
        </r>
      </text>
    </comment>
    <comment ref="Z133" authorId="9" shapeId="0" xr:uid="{A839B071-F4CB-4135-A83B-A47A4D049647}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2015-2016 Zone 4 auction clearing price</t>
        </r>
      </text>
    </comment>
    <comment ref="AD133" authorId="4" shapeId="0" xr:uid="{0F72539D-3C16-4C1F-AA88-C93FC64C8308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Zone 4
https://cdn.misoenergy.org/20190412_PRA_Results_Posting336165.pdf</t>
        </r>
      </text>
    </comment>
    <comment ref="AH133" authorId="4" shapeId="0" xr:uid="{774DAD46-B9AB-408B-80B5-1BFD4A5E0953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Zone 4
https://cdn.misoenergy.org/20190412_PRA_Results_Posting336165.pdf</t>
        </r>
      </text>
    </comment>
    <comment ref="AL133" authorId="4" shapeId="0" xr:uid="{8F800431-9646-4E12-A10B-221F45704B9D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Zone 4
https://cdn.misoenergy.org/20190412_PRA_Results_Posting336165.pdf</t>
        </r>
      </text>
    </comment>
    <comment ref="AP133" authorId="4" shapeId="0" xr:uid="{2828DDDE-378C-4CCB-95F2-9483EDD3DB2B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Zone 4
https://cdn.misoenergy.org/20190412_PRA_Results_Posting336165.pdf</t>
        </r>
      </text>
    </comment>
    <comment ref="AT133" authorId="4" shapeId="0" xr:uid="{0F6662A2-57C1-4DF1-9EB3-441EA4613BAD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Zones 1-6
https://cdn.misoenergy.org/2020-2021%20PRA%20Results442333.pdf</t>
        </r>
      </text>
    </comment>
    <comment ref="AD134" authorId="2" shapeId="0" xr:uid="{2BD1802E-EBDC-46E9-8909-D24030E65CEB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H134" authorId="3" shapeId="0" xr:uid="{AE18E2C7-5745-47D9-A5C1-DF49E46E725D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2017/18 Auction</t>
        </r>
      </text>
    </comment>
    <comment ref="AL134" authorId="3" shapeId="0" xr:uid="{8A9596F4-F81C-4E24-B719-9CFE2340F52B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2018/19 Auction</t>
        </r>
      </text>
    </comment>
    <comment ref="AP134" authorId="3" shapeId="0" xr:uid="{FB2D389A-3DEB-48F9-8260-CAA9AD7187C5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2019/20 Auction</t>
        </r>
      </text>
    </comment>
    <comment ref="AT134" authorId="3" shapeId="0" xr:uid="{64B600C7-CB4F-402D-B40D-D566F401FEEA}">
      <text>
        <r>
          <rPr>
            <b/>
            <sz val="9"/>
            <color indexed="81"/>
            <rFont val="Tahoma"/>
            <family val="2"/>
          </rPr>
          <t>Tabatabai, Arman (Research):</t>
        </r>
        <r>
          <rPr>
            <sz val="9"/>
            <color indexed="81"/>
            <rFont val="Tahoma"/>
            <family val="2"/>
          </rPr>
          <t xml:space="preserve">
Updated for 2020/21 Auction</t>
        </r>
      </text>
    </comment>
    <comment ref="AX134" authorId="4" shapeId="0" xr:uid="{34D097F0-A2C6-4232-8BAB-EAFA7B4DE8F1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2021-2022 FCA</t>
        </r>
      </text>
    </comment>
    <comment ref="BB134" authorId="4" shapeId="0" xr:uid="{F571F419-7B5E-4C8D-91BA-B6DB39B20330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2022-2023 FCA</t>
        </r>
      </text>
    </comment>
    <comment ref="BF134" authorId="4" shapeId="0" xr:uid="{3C044C9D-D2B1-49CF-994B-41A04B93E013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2023-2024 FCA</t>
        </r>
      </text>
    </comment>
    <comment ref="BJ134" authorId="4" shapeId="0" xr:uid="{F189EB1C-2906-490B-9F6D-3E2D7E0629BC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Results for ROP, including CT and WCMA
https://www.iso-ne.com/static-assets/documents/2021/02/20210226_pr_fca15_final_results.pdf</t>
        </r>
      </text>
    </comment>
    <comment ref="AD135" authorId="2" shapeId="0" xr:uid="{2A320E56-7E22-46B7-AD30-4353A1DB916A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H135" authorId="3" shapeId="0" xr:uid="{BBA21986-0F6B-4028-AC45-AF6A7825C80A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2017/18 Auction</t>
        </r>
      </text>
    </comment>
    <comment ref="AL135" authorId="3" shapeId="0" xr:uid="{BD0FEC79-6FFD-46A4-90E9-6695B8FC5E11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2018/19 Auction</t>
        </r>
      </text>
    </comment>
    <comment ref="AP135" authorId="3" shapeId="0" xr:uid="{87B6C247-6382-4B8E-BB61-94797AB9B0D1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2019/20 Auction</t>
        </r>
      </text>
    </comment>
    <comment ref="AT135" authorId="3" shapeId="0" xr:uid="{3063B7C2-A6FE-461B-AFD5-4CFF05750764}">
      <text>
        <r>
          <rPr>
            <b/>
            <sz val="9"/>
            <color indexed="81"/>
            <rFont val="Tahoma"/>
            <family val="2"/>
          </rPr>
          <t>Tabatabai, Arman (Research):</t>
        </r>
        <r>
          <rPr>
            <sz val="9"/>
            <color indexed="81"/>
            <rFont val="Tahoma"/>
            <family val="2"/>
          </rPr>
          <t xml:space="preserve">
Updated for 2020/21 Auction</t>
        </r>
      </text>
    </comment>
    <comment ref="AX135" authorId="4" shapeId="0" xr:uid="{77169246-BFBC-43DA-A2B5-BC523DF26812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2021-2022 FCA</t>
        </r>
      </text>
    </comment>
    <comment ref="BB135" authorId="4" shapeId="0" xr:uid="{5B118B1E-8A41-43E6-90EC-417BC91D3B85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2022-2023 FCA</t>
        </r>
      </text>
    </comment>
    <comment ref="BF135" authorId="4" shapeId="0" xr:uid="{2112E6FF-6595-4374-8ABA-6BD927440A21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2023-2024 FCA</t>
        </r>
      </text>
    </comment>
    <comment ref="BJ135" authorId="4" shapeId="0" xr:uid="{055F2700-236B-416F-B378-3536CAD7FD07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Results for Northern New England (NNE), including VT, and NH
https://www.iso-ne.com/static-assets/documents/2021/02/20210226_pr_fca15_final_results.pdf</t>
        </r>
      </text>
    </comment>
    <comment ref="P136" authorId="2" shapeId="0" xr:uid="{72A5C865-ED77-4712-96B7-E38CB589F885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ROS Winter 2012-13 Strip Auction Clearing Price</t>
        </r>
      </text>
    </comment>
    <comment ref="R136" authorId="2" shapeId="0" xr:uid="{2F311141-45E2-48C6-815E-43F68C796DE6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ROS Summer 2013 Strip Auction Clearing Price</t>
        </r>
      </text>
    </comment>
    <comment ref="T136" authorId="2" shapeId="0" xr:uid="{B60B6168-CD16-41B5-9D03-86542BB35690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V136" authorId="2" shapeId="0" xr:uid="{C2796A8B-A268-46FA-8F5D-2C133E0C8F8F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Summer 2014 Strip Auction results</t>
        </r>
      </text>
    </comment>
    <comment ref="X136" authorId="2" shapeId="0" xr:uid="{3C42773D-83BB-4B49-9E2B-5A3E994BE045}">
      <text>
        <r>
          <rPr>
            <b/>
            <sz val="8"/>
            <color indexed="81"/>
            <rFont val="Tahoma"/>
            <family val="2"/>
          </rPr>
          <t>Tabatabai, Arman:</t>
        </r>
        <r>
          <rPr>
            <sz val="8"/>
            <color indexed="81"/>
            <rFont val="Tahoma"/>
            <family val="2"/>
          </rPr>
          <t xml:space="preserve">
Winter 14/15 Strip Auction results</t>
        </r>
      </text>
    </comment>
    <comment ref="Z136" authorId="2" shapeId="0" xr:uid="{E9184067-E417-4F42-8D41-D92AC0BEDC44}">
      <text>
        <r>
          <rPr>
            <b/>
            <sz val="8"/>
            <color indexed="81"/>
            <rFont val="Tahoma"/>
            <family val="2"/>
          </rPr>
          <t>Tabatabai, Arman:</t>
        </r>
        <r>
          <rPr>
            <sz val="8"/>
            <color indexed="81"/>
            <rFont val="Tahoma"/>
            <family val="2"/>
          </rPr>
          <t xml:space="preserve">
Summer 2015 Strip Auction results</t>
        </r>
      </text>
    </comment>
    <comment ref="AB136" authorId="2" shapeId="0" xr:uid="{12BE6E51-BEEE-4942-BF59-2CB4B75EAC21}">
      <text>
        <r>
          <rPr>
            <b/>
            <sz val="8"/>
            <color indexed="81"/>
            <rFont val="Tahoma"/>
            <family val="2"/>
          </rPr>
          <t>Tabatabai, Arman:</t>
        </r>
        <r>
          <rPr>
            <sz val="8"/>
            <color indexed="81"/>
            <rFont val="Tahoma"/>
            <family val="2"/>
          </rPr>
          <t xml:space="preserve">
Winter 15/16 Strip Auction results</t>
        </r>
      </text>
    </comment>
    <comment ref="AD136" authorId="2" shapeId="0" xr:uid="{9DA5D0B3-D996-41D1-9FA8-905F2F326127}">
      <text>
        <r>
          <rPr>
            <b/>
            <sz val="8"/>
            <color indexed="81"/>
            <rFont val="Tahoma"/>
            <family val="2"/>
          </rPr>
          <t>Tabatabai, Arman:</t>
        </r>
        <r>
          <rPr>
            <sz val="8"/>
            <color indexed="81"/>
            <rFont val="Tahoma"/>
            <family val="2"/>
          </rPr>
          <t xml:space="preserve">
Summer 2016 Strip Auction results</t>
        </r>
      </text>
    </comment>
    <comment ref="AF136" authorId="2" shapeId="0" xr:uid="{DE4B4FFD-415A-4F8D-98F0-9BEEF1847F03}">
      <text>
        <r>
          <rPr>
            <b/>
            <sz val="8"/>
            <color indexed="81"/>
            <rFont val="Tahoma"/>
            <family val="2"/>
          </rPr>
          <t>Tabatabai, Arman:</t>
        </r>
        <r>
          <rPr>
            <sz val="8"/>
            <color indexed="81"/>
            <rFont val="Tahoma"/>
            <family val="2"/>
          </rPr>
          <t xml:space="preserve">
Winter 16/17 Strip Auction results</t>
        </r>
      </text>
    </comment>
    <comment ref="AH136" authorId="3" shapeId="0" xr:uid="{13551993-837A-407F-ADA0-1345DA23AF7B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flat pricing with most recent auctions</t>
        </r>
      </text>
    </comment>
    <comment ref="AD137" authorId="2" shapeId="0" xr:uid="{58DDC238-2F50-45E3-A50E-D0BD4B6F80F7}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H137" authorId="3" shapeId="0" xr:uid="{57774E10-3196-4F8C-898A-D81BB1537452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2017/18 Auction</t>
        </r>
      </text>
    </comment>
    <comment ref="AL137" authorId="3" shapeId="0" xr:uid="{36E3885B-547C-41E2-9627-85F7F4E5E59A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2018/19 Auction</t>
        </r>
      </text>
    </comment>
    <comment ref="AP137" authorId="3" shapeId="0" xr:uid="{80B9103F-6F9C-4616-9120-22B69FB0A268}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2019/20 Auction</t>
        </r>
      </text>
    </comment>
    <comment ref="AT137" authorId="3" shapeId="0" xr:uid="{C65E2826-C624-4364-99DE-4ACE672F71F5}">
      <text>
        <r>
          <rPr>
            <b/>
            <sz val="9"/>
            <color indexed="81"/>
            <rFont val="Tahoma"/>
            <family val="2"/>
          </rPr>
          <t>Tabatabai, Arman (Research):</t>
        </r>
        <r>
          <rPr>
            <sz val="9"/>
            <color indexed="81"/>
            <rFont val="Tahoma"/>
            <family val="2"/>
          </rPr>
          <t xml:space="preserve">
Updated for 2020/21 Auction</t>
        </r>
      </text>
    </comment>
    <comment ref="AX137" authorId="4" shapeId="0" xr:uid="{D4E5449D-99E9-4A17-8BA4-22EAA62751C7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2021-2022 FCA</t>
        </r>
      </text>
    </comment>
    <comment ref="BB137" authorId="4" shapeId="0" xr:uid="{7E99476B-3C7F-4911-9644-F036966951DF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2022-2023 FCA</t>
        </r>
      </text>
    </comment>
    <comment ref="BF137" authorId="4" shapeId="0" xr:uid="{ED04BA4A-938D-41C8-A308-3D6869730CD0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Updated w 2023-2024 FCA</t>
        </r>
      </text>
    </comment>
    <comment ref="BJ137" authorId="4" shapeId="0" xr:uid="{B6F9C3CD-9F20-4EB9-B3D2-A43FB560D54E}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Results for Southeast New England (SENE), including Southeastern Massachusetts, Rhode Island, Northeastern Massachusetts, and Greater Boston
https://www.iso-ne.com/static-assets/documents/2021/02/20210226_pr_fca15_final_results.pdf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Francisco Monteiro</author>
    <author>Tammannavar, Sunil (Research)</author>
  </authors>
  <commentList>
    <comment ref="C3" authorId="0" shapeId="0" xr:uid="{B7C72B96-C1B6-4990-81BD-26DB5E222AA3}">
      <text>
        <r>
          <rPr>
            <b/>
            <sz val="9"/>
            <color indexed="81"/>
            <rFont val="Tahoma"/>
            <family val="2"/>
          </rPr>
          <t>Francisco Monteiro:</t>
        </r>
        <r>
          <rPr>
            <sz val="9"/>
            <color indexed="81"/>
            <rFont val="Tahoma"/>
            <family val="2"/>
          </rPr>
          <t xml:space="preserve">
Henry Hub Natural Gas</t>
        </r>
      </text>
    </comment>
    <comment ref="AF43" authorId="1" shapeId="0" xr:uid="{3D8A2C10-FA23-47C0-A089-EB489A21AC62}">
      <text>
        <r>
          <rPr>
            <sz val="9"/>
            <color indexed="81"/>
            <rFont val="Tahoma"/>
            <family val="2"/>
          </rPr>
          <t>Equated to previous period as the data is not available in SNL</t>
        </r>
      </text>
    </comment>
    <comment ref="C98" authorId="0" shapeId="0" xr:uid="{2D788BFE-BF6B-49BB-93FD-3CD684C207BD}">
      <text>
        <r>
          <rPr>
            <b/>
            <sz val="9"/>
            <color indexed="81"/>
            <rFont val="Tahoma"/>
            <family val="2"/>
          </rPr>
          <t>Francisco Monteiro:</t>
        </r>
        <r>
          <rPr>
            <sz val="9"/>
            <color indexed="81"/>
            <rFont val="Tahoma"/>
            <family val="2"/>
          </rPr>
          <t xml:space="preserve">
Henry Hub Natural Gas</t>
        </r>
      </text>
    </comment>
  </commentList>
</comments>
</file>

<file path=xl/sharedStrings.xml><?xml version="1.0" encoding="utf-8"?>
<sst xmlns="http://schemas.openxmlformats.org/spreadsheetml/2006/main" count="1255" uniqueCount="225">
  <si>
    <t>Fuel Prices</t>
  </si>
  <si>
    <t>NYMEX Natural Gas - HH</t>
  </si>
  <si>
    <t>CAPP Coal</t>
  </si>
  <si>
    <t>PRB Coal</t>
  </si>
  <si>
    <t>NAPP</t>
  </si>
  <si>
    <t>ILB</t>
  </si>
  <si>
    <t>On-Peak Regional Power Prices ($/MWh)</t>
  </si>
  <si>
    <t>Mass Hub</t>
  </si>
  <si>
    <t>NY Zone A</t>
  </si>
  <si>
    <t>NY Zone G</t>
  </si>
  <si>
    <t>NY Zone J</t>
  </si>
  <si>
    <t>PJM West</t>
  </si>
  <si>
    <t>PJM East</t>
  </si>
  <si>
    <t>AEP Dayton</t>
  </si>
  <si>
    <t>Cinergy</t>
  </si>
  <si>
    <t>NI Hub</t>
  </si>
  <si>
    <t>ERCOT Houston</t>
  </si>
  <si>
    <t>ERCOT North</t>
  </si>
  <si>
    <t>ERCOT South</t>
  </si>
  <si>
    <t>Palo Verde</t>
  </si>
  <si>
    <t>SP 15</t>
  </si>
  <si>
    <t>NP 15</t>
  </si>
  <si>
    <t>Mid C</t>
  </si>
  <si>
    <t>ERCOT West</t>
  </si>
  <si>
    <t>Off-Peak Regional Power Prices ($/MWh)</t>
  </si>
  <si>
    <t>Natural Gas Basis/Coal Delivery Cost Assumptions</t>
  </si>
  <si>
    <t>Coal Delivery Costs</t>
  </si>
  <si>
    <t>Coal (Delivery Cost $/t)</t>
  </si>
  <si>
    <t>CAPP Coal (Delivery Cost $/t)</t>
  </si>
  <si>
    <t>PRB Coal (Delivery Cost $/t)</t>
  </si>
  <si>
    <t>On-Peak Regional Heat Rates (btu/kWh)</t>
  </si>
  <si>
    <t>Off-Peak Regional Heat Rates (btu/kWh)</t>
  </si>
  <si>
    <t>Capacity Prices ($/MW-day)</t>
  </si>
  <si>
    <t>ISO-NE Maine</t>
  </si>
  <si>
    <t>ISO-NE</t>
  </si>
  <si>
    <t>PJM RTO</t>
  </si>
  <si>
    <t>PJM MAAC</t>
  </si>
  <si>
    <t>PJM SW MAAC</t>
  </si>
  <si>
    <t>PJM EMAAC</t>
  </si>
  <si>
    <t>PJM DPL-South</t>
  </si>
  <si>
    <t>ComEd</t>
  </si>
  <si>
    <t>PSEG North</t>
  </si>
  <si>
    <t>NY ROS</t>
  </si>
  <si>
    <t>NYC</t>
  </si>
  <si>
    <t>ATSI</t>
  </si>
  <si>
    <t>MISO</t>
  </si>
  <si>
    <t>ISO-NE Connecticut</t>
  </si>
  <si>
    <t>ISO-NE NEMA</t>
  </si>
  <si>
    <t>NY LHV</t>
  </si>
  <si>
    <t>ISO-NE SEMA-RI</t>
  </si>
  <si>
    <t>Emissions Prices ($/ton)</t>
  </si>
  <si>
    <t>CO2</t>
  </si>
  <si>
    <t>RGGI CO2</t>
  </si>
  <si>
    <t>CSAPR 1 SOX</t>
  </si>
  <si>
    <t>CSAPR 2 SOX</t>
  </si>
  <si>
    <t>CSAPR 1 NOX</t>
  </si>
  <si>
    <t>CSAPR 2 NOX</t>
  </si>
  <si>
    <t>NOX SEASONAL</t>
  </si>
  <si>
    <t>1Q21</t>
  </si>
  <si>
    <t>2Q21</t>
  </si>
  <si>
    <t>3Q21</t>
  </si>
  <si>
    <t>4Q21</t>
  </si>
  <si>
    <t>1Q22</t>
  </si>
  <si>
    <t>2Q22</t>
  </si>
  <si>
    <t>3Q22</t>
  </si>
  <si>
    <t>4Q22</t>
  </si>
  <si>
    <t>1Q23</t>
  </si>
  <si>
    <t>2Q23</t>
  </si>
  <si>
    <t>3Q23</t>
  </si>
  <si>
    <t>4Q23</t>
  </si>
  <si>
    <t>1Q24</t>
  </si>
  <si>
    <t>Morgan Stanley Price Deck</t>
  </si>
  <si>
    <t>Updated as of</t>
  </si>
  <si>
    <t/>
  </si>
  <si>
    <r>
      <t>Weekly Price Deck</t>
    </r>
    <r>
      <rPr>
        <b/>
        <vertAlign val="superscript"/>
        <sz val="9.6"/>
        <color theme="0"/>
        <rFont val="Arial"/>
        <family val="2"/>
      </rPr>
      <t>1</t>
    </r>
  </si>
  <si>
    <t>ERDNHBHO Index</t>
  </si>
  <si>
    <t>ERDNHBNT Index</t>
  </si>
  <si>
    <t>ERDNHBST Index</t>
  </si>
  <si>
    <t>ERDNHBWT Index</t>
  </si>
  <si>
    <t>MJDNWSTN Index</t>
  </si>
  <si>
    <t>MJDNESTN Index</t>
  </si>
  <si>
    <t>MJDNNILL Index</t>
  </si>
  <si>
    <t>ERDFHBHO Index</t>
  </si>
  <si>
    <t>ERDFHBNT Index</t>
  </si>
  <si>
    <t>ERDFHBST Index</t>
  </si>
  <si>
    <t>ERDFHBWT Index</t>
  </si>
  <si>
    <t>MJDFWSTN Index</t>
  </si>
  <si>
    <t>MJDFESTN Index</t>
  </si>
  <si>
    <t>MJDFNILL Index</t>
  </si>
  <si>
    <t>BBG Ticker Spot</t>
  </si>
  <si>
    <t>BBG Ticker Foward</t>
  </si>
  <si>
    <t>NSDFWEST Index</t>
  </si>
  <si>
    <t>NSDFNYCZ Index</t>
  </si>
  <si>
    <t>ELGFPVOF Index</t>
  </si>
  <si>
    <t>ELGFMWOF Index</t>
  </si>
  <si>
    <t>ELGFNPOF Index</t>
  </si>
  <si>
    <t>ELGFMCOF Index</t>
  </si>
  <si>
    <t>ELGFMWON Index</t>
  </si>
  <si>
    <t>ELGFNPON Index</t>
  </si>
  <si>
    <t>ELGFMCON Index</t>
  </si>
  <si>
    <t>NSDNWEST Index</t>
  </si>
  <si>
    <t>NSDNHUDZ Index</t>
  </si>
  <si>
    <t>NSDNNYCZ Index</t>
  </si>
  <si>
    <t>1Q19</t>
  </si>
  <si>
    <t>2Q19</t>
  </si>
  <si>
    <t>3Q19</t>
  </si>
  <si>
    <t>4Q19</t>
  </si>
  <si>
    <t>1Q20</t>
  </si>
  <si>
    <t>2Q20</t>
  </si>
  <si>
    <t>3Q20</t>
  </si>
  <si>
    <t>4Q20</t>
  </si>
  <si>
    <t>2Q24</t>
  </si>
  <si>
    <t>NSDFHUDZ Index</t>
  </si>
  <si>
    <t>1Q11</t>
  </si>
  <si>
    <t>2Q11</t>
  </si>
  <si>
    <t>3Q11</t>
  </si>
  <si>
    <t>4Q11</t>
  </si>
  <si>
    <t>1Q12</t>
  </si>
  <si>
    <t>2Q12</t>
  </si>
  <si>
    <t>3Q12</t>
  </si>
  <si>
    <t>4Q12</t>
  </si>
  <si>
    <t>1Q13</t>
  </si>
  <si>
    <t>2Q13</t>
  </si>
  <si>
    <t>3Q13</t>
  </si>
  <si>
    <t>4Q13</t>
  </si>
  <si>
    <t>1Q14</t>
  </si>
  <si>
    <t>2Q14</t>
  </si>
  <si>
    <t>3Q14</t>
  </si>
  <si>
    <t>4Q14</t>
  </si>
  <si>
    <t>1Q15</t>
  </si>
  <si>
    <t>2Q15</t>
  </si>
  <si>
    <t>3Q15</t>
  </si>
  <si>
    <t>4Q15</t>
  </si>
  <si>
    <t>1Q16</t>
  </si>
  <si>
    <t>2Q16</t>
  </si>
  <si>
    <t>3Q16</t>
  </si>
  <si>
    <t>4Q16</t>
  </si>
  <si>
    <t>1Q17</t>
  </si>
  <si>
    <t>2Q17</t>
  </si>
  <si>
    <t>3Q17</t>
  </si>
  <si>
    <t>4Q17</t>
  </si>
  <si>
    <t>1Q18</t>
  </si>
  <si>
    <t>2Q18</t>
  </si>
  <si>
    <t>3Q18</t>
  </si>
  <si>
    <t>4Q18</t>
  </si>
  <si>
    <t>3Q24</t>
  </si>
  <si>
    <t>4Q24</t>
  </si>
  <si>
    <t>1Q25</t>
  </si>
  <si>
    <t>2Q25</t>
  </si>
  <si>
    <t>3Q25</t>
  </si>
  <si>
    <t>1Q26</t>
  </si>
  <si>
    <t>2Q26</t>
  </si>
  <si>
    <t>3Q26</t>
  </si>
  <si>
    <t>4Q26</t>
  </si>
  <si>
    <t>NERNINHB Index</t>
  </si>
  <si>
    <t>MJRNAEPD Index</t>
  </si>
  <si>
    <t>MJRNOHIH Index</t>
  </si>
  <si>
    <t>ELGFPVON Index</t>
  </si>
  <si>
    <t>NERFINHB Index</t>
  </si>
  <si>
    <t>MJRFAEPD Index</t>
  </si>
  <si>
    <t>MJRFOHIH Index</t>
  </si>
  <si>
    <t>NGUSHHUB Index</t>
  </si>
  <si>
    <t>COALBGSD Comdty</t>
  </si>
  <si>
    <t>COALPWDR Comdty</t>
  </si>
  <si>
    <t>COALPENN Index</t>
  </si>
  <si>
    <t>FNJGM0 Index</t>
  </si>
  <si>
    <t>FNJPM0 Index</t>
  </si>
  <si>
    <t>FPJMM0 Index</t>
  </si>
  <si>
    <t>FH3PM0 Index</t>
  </si>
  <si>
    <t>FN3PM0 Index</t>
  </si>
  <si>
    <t>FS3PM0 Index</t>
  </si>
  <si>
    <t>FSPPM0 Index</t>
  </si>
  <si>
    <t>FN15M0 Index</t>
  </si>
  <si>
    <t>FMCPM0 Index</t>
  </si>
  <si>
    <t>FW3PM0 Index</t>
  </si>
  <si>
    <t>FNGFM0 Index</t>
  </si>
  <si>
    <t>FNJOM0 Index</t>
  </si>
  <si>
    <t>FPJOM0 Index</t>
  </si>
  <si>
    <t>FEHOM0 Index</t>
  </si>
  <si>
    <t>FNIOM0 Index</t>
  </si>
  <si>
    <t>FPVOM0 Index</t>
  </si>
  <si>
    <t>FOSPM0 Index</t>
  </si>
  <si>
    <t>FNPOM0 Index</t>
  </si>
  <si>
    <t>FMCOM0 Index</t>
  </si>
  <si>
    <t>4Q25</t>
  </si>
  <si>
    <t>1Q27</t>
  </si>
  <si>
    <t>FPVPM0 Index</t>
  </si>
  <si>
    <t>FFHHM0 Index</t>
  </si>
  <si>
    <t>COALIBMD BGAP Index</t>
  </si>
  <si>
    <t>(SoCall Citygate)</t>
  </si>
  <si>
    <t>NAPP Coal</t>
  </si>
  <si>
    <t>ILB Coal</t>
  </si>
  <si>
    <t>(III Mid)</t>
  </si>
  <si>
    <t>NGCGNYNY Index</t>
  </si>
  <si>
    <t>NGWCSCCG Index</t>
  </si>
  <si>
    <t>FFT6M0 Index</t>
  </si>
  <si>
    <t>NGTXOASI Index</t>
  </si>
  <si>
    <t>FADPM0 Index</t>
  </si>
  <si>
    <t>FADOM0 Index</t>
  </si>
  <si>
    <t>FNEOM0 Index</t>
  </si>
  <si>
    <t>NGNETRNZ Index</t>
  </si>
  <si>
    <t>FFTMM0 Index</t>
  </si>
  <si>
    <t>FFSCM0 Index</t>
  </si>
  <si>
    <t>FFWAM0 Index</t>
  </si>
  <si>
    <t>FNEPM0 Index</t>
  </si>
  <si>
    <t xml:space="preserve"> /</t>
  </si>
  <si>
    <t>Transco Z6</t>
  </si>
  <si>
    <t>Tetco M3</t>
  </si>
  <si>
    <t>HH</t>
  </si>
  <si>
    <t>SCAL</t>
  </si>
  <si>
    <t>NYMEX Natural Gas</t>
  </si>
  <si>
    <t>Natural Gas</t>
  </si>
  <si>
    <t>Coal</t>
  </si>
  <si>
    <t>=</t>
  </si>
  <si>
    <t>Waha</t>
  </si>
  <si>
    <t>FH3OM0 Index</t>
  </si>
  <si>
    <t>FN3OM0 Index</t>
  </si>
  <si>
    <t>FS3OM0 Index</t>
  </si>
  <si>
    <t>FW3OM0 Index</t>
  </si>
  <si>
    <t>PBFSM0 EVON Index</t>
  </si>
  <si>
    <t>FEHPM0 Index</t>
  </si>
  <si>
    <t>FNIPM0 Index</t>
  </si>
  <si>
    <t>Prices from</t>
  </si>
  <si>
    <t>Weekly Price Deck1</t>
  </si>
  <si>
    <t>$ / mmbtu (Basis Differential to HH)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</si>
</sst>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&quot;E&quot;"/>
    <numFmt numFmtId="165" formatCode="[$-F400]h:mm:ss\ AM/PM"/>
    <numFmt numFmtId="166" formatCode="mmm\ yy"/>
    <numFmt numFmtId="167" formatCode="#,##0.0"/>
  </numFmts>
  <fonts count="27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indexed="16"/>
      <name val="Arial"/>
      <family val="2"/>
    </font>
    <font>
      <b/>
      <sz val="14"/>
      <color indexed="9"/>
      <name val="Arial"/>
      <family val="2"/>
    </font>
    <font>
      <sz val="10"/>
      <color indexed="9"/>
      <name val="Arial"/>
      <family val="2"/>
    </font>
    <font>
      <sz val="10"/>
      <color indexed="16"/>
      <name val="Arial"/>
      <family val="2"/>
    </font>
    <font>
      <sz val="10"/>
      <color indexed="10"/>
      <name val="Arial"/>
      <family val="2"/>
    </font>
    <font>
      <sz val="10"/>
      <color indexed="11"/>
      <name val="Arial"/>
      <family val="2"/>
    </font>
    <font>
      <sz val="10"/>
      <color indexed="63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63"/>
      <name val="Arial"/>
      <family val="2"/>
    </font>
    <font>
      <b/>
      <sz val="10"/>
      <color theme="1"/>
      <name val="Arial"/>
      <family val="2"/>
    </font>
    <font>
      <b/>
      <sz val="7"/>
      <color indexed="16"/>
      <name val="Arial"/>
      <family val="2"/>
    </font>
    <font>
      <sz val="10"/>
      <color indexed="52"/>
      <name val="Arial"/>
      <family val="2"/>
    </font>
    <font>
      <sz val="10"/>
      <color rgb="FF008000"/>
      <name val="Arial"/>
      <family val="2"/>
    </font>
    <font>
      <sz val="10"/>
      <color indexed="8"/>
      <name val="MS Sans Serif"/>
      <family val="2"/>
    </font>
    <font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0"/>
      <name val="Arial"/>
      <family val="2"/>
    </font>
    <font>
      <b/>
      <vertAlign val="superscript"/>
      <sz val="9.6"/>
      <color theme="0"/>
      <name val="Arial"/>
      <family val="2"/>
    </font>
    <font>
      <b/>
      <sz val="14"/>
      <color theme="0"/>
      <name val="Arial"/>
      <family val="2"/>
    </font>
    <font>
      <b/>
      <i/>
      <sz val="10"/>
      <color theme="0"/>
      <name val="Arial"/>
      <family val="2"/>
    </font>
    <font>
      <b/>
      <sz val="11"/>
      <color rgb="FF8E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9"/>
      </top>
      <bottom style="thin">
        <color indexed="16"/>
      </bottom>
      <diagonal/>
    </border>
    <border>
      <left/>
      <right/>
      <top/>
      <bottom style="medium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dashDot">
        <color indexed="16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0" fontId="1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</cellStyleXfs>
  <cellXfs count="135">
    <xf numFmtId="0" fontId="0" fillId="0" borderId="0" xfId="0"/>
    <xf numFmtId="0" fontId="2" fillId="2" borderId="0" xfId="1" applyFont="1" applyFill="1"/>
    <xf numFmtId="0" fontId="3" fillId="0" borderId="0" xfId="1" applyFont="1"/>
    <xf numFmtId="0" fontId="1" fillId="0" borderId="0" xfId="1"/>
    <xf numFmtId="0" fontId="2" fillId="2" borderId="1" xfId="1" applyFont="1" applyFill="1" applyBorder="1"/>
    <xf numFmtId="0" fontId="3" fillId="0" borderId="0" xfId="1" applyFont="1" applyAlignment="1">
      <alignment horizontal="left"/>
    </xf>
    <xf numFmtId="165" fontId="4" fillId="4" borderId="0" xfId="2" applyNumberFormat="1" applyFont="1" applyFill="1"/>
    <xf numFmtId="1" fontId="3" fillId="0" borderId="0" xfId="2" applyNumberFormat="1" applyFont="1" applyAlignment="1">
      <alignment horizontal="center"/>
    </xf>
    <xf numFmtId="164" fontId="3" fillId="0" borderId="0" xfId="2" applyNumberFormat="1" applyFont="1" applyAlignment="1">
      <alignment horizontal="center"/>
    </xf>
    <xf numFmtId="0" fontId="1" fillId="0" borderId="0" xfId="2"/>
    <xf numFmtId="0" fontId="1" fillId="3" borderId="2" xfId="2" applyFill="1" applyBorder="1"/>
    <xf numFmtId="0" fontId="1" fillId="3" borderId="0" xfId="2" applyFill="1"/>
    <xf numFmtId="0" fontId="1" fillId="3" borderId="3" xfId="2" applyFill="1" applyBorder="1"/>
    <xf numFmtId="167" fontId="1" fillId="0" borderId="0" xfId="1" applyNumberFormat="1" applyAlignment="1">
      <alignment horizontal="center"/>
    </xf>
    <xf numFmtId="0" fontId="3" fillId="3" borderId="3" xfId="2" applyFont="1" applyFill="1" applyBorder="1" applyAlignment="1">
      <alignment horizontal="centerContinuous"/>
    </xf>
    <xf numFmtId="0" fontId="6" fillId="0" borderId="0" xfId="2" applyFont="1" applyAlignment="1">
      <alignment horizontal="centerContinuous"/>
    </xf>
    <xf numFmtId="0" fontId="5" fillId="2" borderId="0" xfId="1" applyFont="1" applyFill="1"/>
    <xf numFmtId="0" fontId="5" fillId="2" borderId="0" xfId="1" applyFont="1" applyFill="1" applyAlignment="1">
      <alignment horizontal="center"/>
    </xf>
    <xf numFmtId="4" fontId="8" fillId="3" borderId="3" xfId="2" applyNumberFormat="1" applyFont="1" applyFill="1" applyBorder="1" applyAlignment="1">
      <alignment horizontal="right"/>
    </xf>
    <xf numFmtId="4" fontId="8" fillId="0" borderId="0" xfId="2" applyNumberFormat="1" applyFont="1" applyAlignment="1">
      <alignment horizontal="right"/>
    </xf>
    <xf numFmtId="3" fontId="9" fillId="0" borderId="0" xfId="1" applyNumberFormat="1" applyFont="1" applyAlignment="1">
      <alignment horizontal="center"/>
    </xf>
    <xf numFmtId="4" fontId="1" fillId="3" borderId="2" xfId="2" applyNumberFormat="1" applyFill="1" applyBorder="1" applyAlignment="1">
      <alignment horizontal="right"/>
    </xf>
    <xf numFmtId="4" fontId="1" fillId="3" borderId="0" xfId="2" applyNumberFormat="1" applyFill="1" applyAlignment="1">
      <alignment horizontal="right"/>
    </xf>
    <xf numFmtId="4" fontId="1" fillId="3" borderId="3" xfId="2" applyNumberFormat="1" applyFill="1" applyBorder="1" applyAlignment="1">
      <alignment horizontal="right"/>
    </xf>
    <xf numFmtId="4" fontId="10" fillId="3" borderId="3" xfId="2" applyNumberFormat="1" applyFont="1" applyFill="1" applyBorder="1" applyAlignment="1">
      <alignment horizontal="right"/>
    </xf>
    <xf numFmtId="4" fontId="9" fillId="3" borderId="0" xfId="2" applyNumberFormat="1" applyFont="1" applyFill="1" applyAlignment="1">
      <alignment horizontal="right"/>
    </xf>
    <xf numFmtId="4" fontId="9" fillId="3" borderId="3" xfId="2" applyNumberFormat="1" applyFont="1" applyFill="1" applyBorder="1" applyAlignment="1">
      <alignment horizontal="right"/>
    </xf>
    <xf numFmtId="4" fontId="11" fillId="0" borderId="0" xfId="3" applyNumberFormat="1" applyFont="1" applyFill="1" applyBorder="1" applyAlignment="1">
      <alignment horizontal="right"/>
    </xf>
    <xf numFmtId="4" fontId="9" fillId="3" borderId="2" xfId="2" applyNumberFormat="1" applyFont="1" applyFill="1" applyBorder="1" applyAlignment="1">
      <alignment horizontal="right"/>
    </xf>
    <xf numFmtId="4" fontId="1" fillId="0" borderId="0" xfId="3" applyNumberFormat="1" applyFont="1" applyFill="1" applyBorder="1" applyAlignment="1">
      <alignment horizontal="right"/>
    </xf>
    <xf numFmtId="0" fontId="11" fillId="3" borderId="2" xfId="2" applyFont="1" applyFill="1" applyBorder="1" applyAlignment="1">
      <alignment horizontal="centerContinuous"/>
    </xf>
    <xf numFmtId="0" fontId="1" fillId="3" borderId="0" xfId="2" applyFill="1" applyAlignment="1">
      <alignment horizontal="centerContinuous"/>
    </xf>
    <xf numFmtId="0" fontId="1" fillId="3" borderId="3" xfId="2" applyFill="1" applyBorder="1" applyAlignment="1">
      <alignment horizontal="centerContinuous"/>
    </xf>
    <xf numFmtId="0" fontId="9" fillId="3" borderId="0" xfId="2" applyFont="1" applyFill="1" applyAlignment="1">
      <alignment horizontal="centerContinuous"/>
    </xf>
    <xf numFmtId="0" fontId="9" fillId="3" borderId="3" xfId="2" applyFont="1" applyFill="1" applyBorder="1" applyAlignment="1">
      <alignment horizontal="centerContinuous"/>
    </xf>
    <xf numFmtId="0" fontId="12" fillId="3" borderId="0" xfId="2" applyFont="1" applyFill="1" applyAlignment="1">
      <alignment horizontal="centerContinuous"/>
    </xf>
    <xf numFmtId="0" fontId="12" fillId="3" borderId="3" xfId="2" applyFont="1" applyFill="1" applyBorder="1" applyAlignment="1">
      <alignment horizontal="centerContinuous"/>
    </xf>
    <xf numFmtId="0" fontId="13" fillId="3" borderId="3" xfId="2" applyFont="1" applyFill="1" applyBorder="1" applyAlignment="1">
      <alignment horizontal="centerContinuous"/>
    </xf>
    <xf numFmtId="0" fontId="11" fillId="3" borderId="0" xfId="2" applyFont="1" applyFill="1" applyAlignment="1">
      <alignment horizontal="centerContinuous"/>
    </xf>
    <xf numFmtId="0" fontId="11" fillId="3" borderId="3" xfId="2" applyFont="1" applyFill="1" applyBorder="1" applyAlignment="1">
      <alignment horizontal="centerContinuous"/>
    </xf>
    <xf numFmtId="0" fontId="1" fillId="0" borderId="0" xfId="3" applyFont="1" applyFill="1" applyBorder="1" applyAlignment="1">
      <alignment horizontal="centerContinuous"/>
    </xf>
    <xf numFmtId="0" fontId="6" fillId="2" borderId="0" xfId="1" applyFont="1" applyFill="1"/>
    <xf numFmtId="4" fontId="1" fillId="0" borderId="0" xfId="3" applyNumberFormat="1" applyFont="1" applyBorder="1" applyAlignment="1">
      <alignment horizontal="right"/>
    </xf>
    <xf numFmtId="0" fontId="11" fillId="0" borderId="0" xfId="1" applyFont="1" applyAlignment="1">
      <alignment horizontal="right"/>
    </xf>
    <xf numFmtId="0" fontId="14" fillId="0" borderId="0" xfId="2" applyFont="1"/>
    <xf numFmtId="0" fontId="11" fillId="0" borderId="0" xfId="1" applyFont="1"/>
    <xf numFmtId="0" fontId="3" fillId="2" borderId="0" xfId="1" applyFont="1" applyFill="1" applyAlignment="1">
      <alignment horizontal="centerContinuous"/>
    </xf>
    <xf numFmtId="0" fontId="1" fillId="3" borderId="2" xfId="2" applyFill="1" applyBorder="1" applyAlignment="1">
      <alignment horizontal="centerContinuous"/>
    </xf>
    <xf numFmtId="2" fontId="1" fillId="3" borderId="2" xfId="2" applyNumberFormat="1" applyFill="1" applyBorder="1" applyAlignment="1">
      <alignment horizontal="right"/>
    </xf>
    <xf numFmtId="2" fontId="1" fillId="3" borderId="0" xfId="2" applyNumberFormat="1" applyFill="1" applyAlignment="1">
      <alignment horizontal="right"/>
    </xf>
    <xf numFmtId="2" fontId="1" fillId="3" borderId="3" xfId="2" applyNumberFormat="1" applyFill="1" applyBorder="1" applyAlignment="1">
      <alignment horizontal="right"/>
    </xf>
    <xf numFmtId="2" fontId="9" fillId="3" borderId="3" xfId="2" applyNumberFormat="1" applyFont="1" applyFill="1" applyBorder="1" applyAlignment="1">
      <alignment horizontal="right"/>
    </xf>
    <xf numFmtId="3" fontId="1" fillId="3" borderId="2" xfId="2" applyNumberFormat="1" applyFill="1" applyBorder="1" applyAlignment="1">
      <alignment horizontal="right"/>
    </xf>
    <xf numFmtId="3" fontId="1" fillId="3" borderId="0" xfId="2" applyNumberFormat="1" applyFill="1" applyAlignment="1">
      <alignment horizontal="right"/>
    </xf>
    <xf numFmtId="3" fontId="1" fillId="3" borderId="3" xfId="2" applyNumberFormat="1" applyFill="1" applyBorder="1" applyAlignment="1">
      <alignment horizontal="right"/>
    </xf>
    <xf numFmtId="3" fontId="10" fillId="3" borderId="0" xfId="2" applyNumberFormat="1" applyFont="1" applyFill="1" applyAlignment="1">
      <alignment horizontal="right"/>
    </xf>
    <xf numFmtId="3" fontId="10" fillId="3" borderId="3" xfId="2" applyNumberFormat="1" applyFont="1" applyFill="1" applyBorder="1" applyAlignment="1">
      <alignment horizontal="right"/>
    </xf>
    <xf numFmtId="3" fontId="9" fillId="3" borderId="0" xfId="2" applyNumberFormat="1" applyFont="1" applyFill="1" applyAlignment="1">
      <alignment horizontal="right"/>
    </xf>
    <xf numFmtId="3" fontId="9" fillId="3" borderId="3" xfId="2" applyNumberFormat="1" applyFont="1" applyFill="1" applyBorder="1" applyAlignment="1">
      <alignment horizontal="right"/>
    </xf>
    <xf numFmtId="3" fontId="1" fillId="0" borderId="0" xfId="3" applyNumberFormat="1" applyFont="1" applyFill="1" applyBorder="1" applyAlignment="1">
      <alignment horizontal="right"/>
    </xf>
    <xf numFmtId="0" fontId="13" fillId="3" borderId="0" xfId="2" applyFont="1" applyFill="1" applyAlignment="1">
      <alignment horizontal="centerContinuous"/>
    </xf>
    <xf numFmtId="0" fontId="12" fillId="3" borderId="2" xfId="2" applyFont="1" applyFill="1" applyBorder="1" applyAlignment="1">
      <alignment horizontal="centerContinuous"/>
    </xf>
    <xf numFmtId="3" fontId="15" fillId="3" borderId="2" xfId="2" applyNumberFormat="1" applyFont="1" applyFill="1" applyBorder="1" applyAlignment="1">
      <alignment horizontal="right"/>
    </xf>
    <xf numFmtId="3" fontId="15" fillId="3" borderId="0" xfId="2" applyNumberFormat="1" applyFont="1" applyFill="1" applyAlignment="1">
      <alignment horizontal="right"/>
    </xf>
    <xf numFmtId="3" fontId="15" fillId="3" borderId="3" xfId="2" applyNumberFormat="1" applyFont="1" applyFill="1" applyBorder="1" applyAlignment="1">
      <alignment horizontal="right"/>
    </xf>
    <xf numFmtId="3" fontId="15" fillId="3" borderId="0" xfId="4" applyNumberFormat="1" applyFont="1" applyFill="1" applyAlignment="1">
      <alignment horizontal="right"/>
    </xf>
    <xf numFmtId="3" fontId="15" fillId="3" borderId="3" xfId="4" applyNumberFormat="1" applyFont="1" applyFill="1" applyBorder="1" applyAlignment="1">
      <alignment horizontal="right"/>
    </xf>
    <xf numFmtId="3" fontId="1" fillId="3" borderId="0" xfId="4" applyNumberFormat="1" applyFill="1" applyAlignment="1">
      <alignment horizontal="right"/>
    </xf>
    <xf numFmtId="3" fontId="1" fillId="3" borderId="3" xfId="4" applyNumberFormat="1" applyFill="1" applyBorder="1" applyAlignment="1">
      <alignment horizontal="right"/>
    </xf>
    <xf numFmtId="3" fontId="16" fillId="3" borderId="0" xfId="4" applyNumberFormat="1" applyFont="1" applyFill="1" applyAlignment="1">
      <alignment horizontal="right"/>
    </xf>
    <xf numFmtId="3" fontId="7" fillId="3" borderId="0" xfId="2" applyNumberFormat="1" applyFont="1" applyFill="1" applyAlignment="1">
      <alignment horizontal="right"/>
    </xf>
    <xf numFmtId="3" fontId="9" fillId="3" borderId="2" xfId="2" applyNumberFormat="1" applyFont="1" applyFill="1" applyBorder="1" applyAlignment="1">
      <alignment horizontal="right"/>
    </xf>
    <xf numFmtId="3" fontId="7" fillId="3" borderId="3" xfId="2" applyNumberFormat="1" applyFont="1" applyFill="1" applyBorder="1" applyAlignment="1">
      <alignment horizontal="right"/>
    </xf>
    <xf numFmtId="3" fontId="1" fillId="0" borderId="0" xfId="2" applyNumberFormat="1" applyAlignment="1">
      <alignment horizontal="right"/>
    </xf>
    <xf numFmtId="4" fontId="1" fillId="0" borderId="0" xfId="2" applyNumberFormat="1" applyAlignment="1">
      <alignment horizontal="right"/>
    </xf>
    <xf numFmtId="0" fontId="1" fillId="0" borderId="5" xfId="2" applyBorder="1"/>
    <xf numFmtId="0" fontId="1" fillId="0" borderId="0" xfId="5" applyNumberFormat="1" applyFont="1" applyFill="1" applyBorder="1" applyAlignment="1"/>
    <xf numFmtId="0" fontId="1" fillId="2" borderId="6" xfId="2" applyFill="1" applyBorder="1"/>
    <xf numFmtId="0" fontId="1" fillId="2" borderId="7" xfId="2" applyFill="1" applyBorder="1"/>
    <xf numFmtId="0" fontId="1" fillId="2" borderId="0" xfId="2" applyFill="1"/>
    <xf numFmtId="165" fontId="22" fillId="5" borderId="0" xfId="2" applyNumberFormat="1" applyFont="1" applyFill="1"/>
    <xf numFmtId="165" fontId="24" fillId="5" borderId="0" xfId="2" applyNumberFormat="1" applyFont="1" applyFill="1"/>
    <xf numFmtId="165" fontId="25" fillId="5" borderId="0" xfId="2" applyNumberFormat="1" applyFont="1" applyFill="1"/>
    <xf numFmtId="14" fontId="22" fillId="5" borderId="0" xfId="2" applyNumberFormat="1" applyFont="1" applyFill="1"/>
    <xf numFmtId="166" fontId="3" fillId="6" borderId="4" xfId="2" applyNumberFormat="1" applyFont="1" applyFill="1" applyBorder="1"/>
    <xf numFmtId="166" fontId="3" fillId="6" borderId="4" xfId="2" quotePrefix="1" applyNumberFormat="1" applyFont="1" applyFill="1" applyBorder="1"/>
    <xf numFmtId="166" fontId="2" fillId="6" borderId="4" xfId="2" applyNumberFormat="1" applyFont="1" applyFill="1" applyBorder="1"/>
    <xf numFmtId="166" fontId="5" fillId="6" borderId="4" xfId="2" applyNumberFormat="1" applyFont="1" applyFill="1" applyBorder="1"/>
    <xf numFmtId="0" fontId="26" fillId="6" borderId="0" xfId="0" applyFont="1" applyFill="1"/>
    <xf numFmtId="166" fontId="5" fillId="6" borderId="0" xfId="2" applyNumberFormat="1" applyFont="1" applyFill="1"/>
    <xf numFmtId="4" fontId="0" fillId="0" borderId="0" xfId="0" applyNumberFormat="1"/>
    <xf numFmtId="0" fontId="26" fillId="6" borderId="0" xfId="0" applyFont="1" applyFill="1" applyAlignment="1">
      <alignment horizontal="center" vertical="center"/>
    </xf>
    <xf numFmtId="0" fontId="1" fillId="3" borderId="2" xfId="2" applyFill="1" applyBorder="1" applyAlignment="1">
      <alignment horizontal="center" vertical="center"/>
    </xf>
    <xf numFmtId="0" fontId="1" fillId="3" borderId="0" xfId="2" applyFill="1" applyAlignment="1">
      <alignment horizontal="center" vertical="center"/>
    </xf>
    <xf numFmtId="0" fontId="1" fillId="3" borderId="3" xfId="2" applyFill="1" applyBorder="1" applyAlignment="1">
      <alignment horizontal="center" vertical="center"/>
    </xf>
    <xf numFmtId="0" fontId="3" fillId="3" borderId="2" xfId="2" applyFont="1" applyFill="1" applyBorder="1" applyAlignment="1">
      <alignment horizontal="center" vertical="center"/>
    </xf>
    <xf numFmtId="0" fontId="6" fillId="3" borderId="0" xfId="2" applyFont="1" applyFill="1" applyAlignment="1">
      <alignment horizontal="center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0" xfId="2" applyFont="1" applyFill="1" applyAlignment="1">
      <alignment horizontal="center" vertical="center"/>
    </xf>
    <xf numFmtId="9" fontId="3" fillId="3" borderId="0" xfId="2" applyNumberFormat="1" applyFont="1" applyFill="1" applyAlignment="1">
      <alignment horizontal="center" vertical="center"/>
    </xf>
    <xf numFmtId="4" fontId="7" fillId="3" borderId="2" xfId="2" applyNumberFormat="1" applyFont="1" applyFill="1" applyBorder="1" applyAlignment="1">
      <alignment horizontal="center" vertical="center"/>
    </xf>
    <xf numFmtId="4" fontId="7" fillId="3" borderId="0" xfId="2" applyNumberFormat="1" applyFont="1" applyFill="1" applyAlignment="1">
      <alignment horizontal="center" vertical="center"/>
    </xf>
    <xf numFmtId="4" fontId="7" fillId="3" borderId="3" xfId="2" applyNumberFormat="1" applyFont="1" applyFill="1" applyBorder="1" applyAlignment="1">
      <alignment horizontal="center" vertical="center"/>
    </xf>
    <xf numFmtId="4" fontId="8" fillId="3" borderId="3" xfId="2" applyNumberFormat="1" applyFont="1" applyFill="1" applyBorder="1" applyAlignment="1">
      <alignment horizontal="center" vertical="center"/>
    </xf>
    <xf numFmtId="4" fontId="8" fillId="3" borderId="2" xfId="2" applyNumberFormat="1" applyFont="1" applyFill="1" applyBorder="1" applyAlignment="1">
      <alignment horizontal="center" vertical="center"/>
    </xf>
    <xf numFmtId="4" fontId="8" fillId="3" borderId="0" xfId="2" applyNumberFormat="1" applyFont="1" applyFill="1" applyAlignment="1">
      <alignment horizontal="center" vertical="center"/>
    </xf>
    <xf numFmtId="4" fontId="1" fillId="3" borderId="2" xfId="2" applyNumberFormat="1" applyFill="1" applyBorder="1" applyAlignment="1">
      <alignment horizontal="center" vertical="center"/>
    </xf>
    <xf numFmtId="4" fontId="1" fillId="3" borderId="0" xfId="2" applyNumberFormat="1" applyFill="1" applyAlignment="1">
      <alignment horizontal="center" vertical="center"/>
    </xf>
    <xf numFmtId="4" fontId="1" fillId="3" borderId="3" xfId="2" applyNumberFormat="1" applyFill="1" applyBorder="1" applyAlignment="1">
      <alignment horizontal="center" vertical="center"/>
    </xf>
    <xf numFmtId="4" fontId="10" fillId="3" borderId="3" xfId="2" applyNumberFormat="1" applyFont="1" applyFill="1" applyBorder="1" applyAlignment="1">
      <alignment horizontal="center" vertical="center"/>
    </xf>
    <xf numFmtId="4" fontId="9" fillId="3" borderId="0" xfId="2" applyNumberFormat="1" applyFont="1" applyFill="1" applyAlignment="1">
      <alignment horizontal="center" vertical="center"/>
    </xf>
    <xf numFmtId="4" fontId="9" fillId="3" borderId="3" xfId="2" applyNumberFormat="1" applyFont="1" applyFill="1" applyBorder="1" applyAlignment="1">
      <alignment horizontal="center" vertical="center"/>
    </xf>
    <xf numFmtId="4" fontId="9" fillId="3" borderId="2" xfId="2" applyNumberFormat="1" applyFont="1" applyFill="1" applyBorder="1" applyAlignment="1">
      <alignment horizontal="center" vertical="center"/>
    </xf>
    <xf numFmtId="0" fontId="11" fillId="3" borderId="2" xfId="2" applyFont="1" applyFill="1" applyBorder="1" applyAlignment="1">
      <alignment horizontal="center" vertical="center"/>
    </xf>
    <xf numFmtId="0" fontId="9" fillId="3" borderId="0" xfId="2" applyFont="1" applyFill="1" applyAlignment="1">
      <alignment horizontal="center" vertical="center"/>
    </xf>
    <xf numFmtId="0" fontId="9" fillId="3" borderId="2" xfId="2" applyFont="1" applyFill="1" applyBorder="1" applyAlignment="1">
      <alignment horizontal="center" vertical="center"/>
    </xf>
    <xf numFmtId="0" fontId="9" fillId="3" borderId="3" xfId="2" applyFont="1" applyFill="1" applyBorder="1" applyAlignment="1">
      <alignment horizontal="center" vertical="center"/>
    </xf>
    <xf numFmtId="0" fontId="12" fillId="3" borderId="0" xfId="2" applyFont="1" applyFill="1" applyAlignment="1">
      <alignment horizontal="center" vertical="center"/>
    </xf>
    <xf numFmtId="0" fontId="12" fillId="3" borderId="3" xfId="2" applyFont="1" applyFill="1" applyBorder="1" applyAlignment="1">
      <alignment horizontal="center" vertical="center"/>
    </xf>
    <xf numFmtId="0" fontId="13" fillId="3" borderId="3" xfId="2" applyFont="1" applyFill="1" applyBorder="1" applyAlignment="1">
      <alignment horizontal="center" vertical="center"/>
    </xf>
    <xf numFmtId="0" fontId="11" fillId="3" borderId="0" xfId="2" applyFont="1" applyFill="1" applyAlignment="1">
      <alignment horizontal="center" vertical="center"/>
    </xf>
    <xf numFmtId="0" fontId="11" fillId="3" borderId="3" xfId="2" applyFont="1" applyFill="1" applyBorder="1" applyAlignment="1">
      <alignment horizontal="center" vertical="center"/>
    </xf>
    <xf numFmtId="2" fontId="1" fillId="3" borderId="2" xfId="2" applyNumberFormat="1" applyFill="1" applyBorder="1" applyAlignment="1">
      <alignment horizontal="center" vertical="center"/>
    </xf>
    <xf numFmtId="2" fontId="1" fillId="3" borderId="0" xfId="2" applyNumberFormat="1" applyFill="1" applyAlignment="1">
      <alignment horizontal="center" vertical="center"/>
    </xf>
    <xf numFmtId="2" fontId="1" fillId="3" borderId="3" xfId="2" applyNumberFormat="1" applyFill="1" applyBorder="1" applyAlignment="1">
      <alignment horizontal="center" vertical="center"/>
    </xf>
    <xf numFmtId="2" fontId="10" fillId="3" borderId="3" xfId="2" applyNumberFormat="1" applyFont="1" applyFill="1" applyBorder="1" applyAlignment="1">
      <alignment horizontal="center" vertical="center"/>
    </xf>
    <xf numFmtId="2" fontId="9" fillId="3" borderId="0" xfId="2" applyNumberFormat="1" applyFont="1" applyFill="1" applyAlignment="1">
      <alignment horizontal="center" vertical="center"/>
    </xf>
    <xf numFmtId="2" fontId="9" fillId="3" borderId="3" xfId="2" applyNumberFormat="1" applyFont="1" applyFill="1" applyBorder="1" applyAlignment="1">
      <alignment horizontal="center" vertical="center"/>
    </xf>
    <xf numFmtId="3" fontId="9" fillId="7" borderId="0" xfId="1" applyNumberFormat="1" applyFont="1" applyFill="1" applyAlignment="1">
      <alignment horizontal="center"/>
    </xf>
    <xf numFmtId="0" fontId="1" fillId="0" borderId="0" xfId="1" applyAlignment="1">
      <alignment horizontal="center" vertical="center"/>
    </xf>
    <xf numFmtId="0" fontId="1" fillId="8" borderId="8" xfId="1" applyFill="1" applyBorder="1"/>
    <xf numFmtId="3" fontId="1" fillId="3" borderId="2" xfId="2" applyNumberFormat="1" applyFill="1" applyBorder="1" applyAlignment="1">
      <alignment horizontal="center" vertical="center"/>
    </xf>
    <xf numFmtId="3" fontId="1" fillId="3" borderId="0" xfId="2" applyNumberFormat="1" applyFill="1" applyAlignment="1">
      <alignment horizontal="center" vertical="center"/>
    </xf>
    <xf numFmtId="3" fontId="1" fillId="3" borderId="3" xfId="2" applyNumberFormat="1" applyFill="1" applyBorder="1" applyAlignment="1">
      <alignment horizontal="center" vertical="center"/>
    </xf>
  </cellXfs>
  <cellStyles count="6">
    <cellStyle name="******************************************" xfId="3" xr:uid="{CA34C593-0EB8-43A7-9FFA-56B390FBA3AE}"/>
    <cellStyle name="Normal" xfId="0" builtinId="0"/>
    <cellStyle name="Normal_AEP Model WIP 02.01.13" xfId="5" xr:uid="{EAE33723-99B9-4793-A6E6-3B42FCDEFF1D}"/>
    <cellStyle name="Normal_NEE Model 1.10.12" xfId="2" xr:uid="{5E3CF75A-8DC1-4056-AA19-22D1FC3378F6}"/>
    <cellStyle name="Normal_NEE Model 1.10.12 2" xfId="4" xr:uid="{D20A993E-C546-442C-9C5C-EE399F92D724}"/>
    <cellStyle name="Normal_NEE Model 1.10.12_FE Model 02.01.13 WIP" xfId="1" xr:uid="{BEB38EEF-22A5-4450-9D47-8516B8D0268C}"/>
  </cellStyles>
  <dxfs count="0"/>
  <tableStyles count="0" defaultTableStyle="TableStyleMedium2" defaultPivotStyle="PivotStyleLight16"/>
  <colors>
    <mruColors>
      <color rgb="FF8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Fuel Nosso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Sheet1!$C$3</c:f>
              <c:strCache>
                <c:ptCount val="1"/>
                <c:pt idx="0">
                  <c:v>HH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Sheet1!$D$3:$BE$3</c:f>
              <c:numCache>
                <c:formatCode>#,##0.00</c:formatCode>
                <c:ptCount val="54"/>
                <c:pt idx="0">
                  <c:v>4.1854263920671242</c:v>
                </c:pt>
                <c:pt idx="1">
                  <c:v>4.362231962481963</c:v>
                </c:pt>
                <c:pt idx="2">
                  <c:v>4.1221376811594199</c:v>
                </c:pt>
                <c:pt idx="3">
                  <c:v>3.330222222222222</c:v>
                </c:pt>
                <c:pt idx="4">
                  <c:v>2.4485887878787875</c:v>
                </c:pt>
                <c:pt idx="5">
                  <c:v>2.2800162337662333</c:v>
                </c:pt>
                <c:pt idx="6">
                  <c:v>2.8822192837165375</c:v>
                </c:pt>
                <c:pt idx="7">
                  <c:v>3.3989551449275361</c:v>
                </c:pt>
                <c:pt idx="8">
                  <c:v>3.4906637593984962</c:v>
                </c:pt>
                <c:pt idx="9">
                  <c:v>4.0114354545454542</c:v>
                </c:pt>
                <c:pt idx="10">
                  <c:v>3.5545437878787873</c:v>
                </c:pt>
                <c:pt idx="11">
                  <c:v>3.8435529730122409</c:v>
                </c:pt>
                <c:pt idx="12">
                  <c:v>5.1891878028404337</c:v>
                </c:pt>
                <c:pt idx="13">
                  <c:v>4.5901507936507935</c:v>
                </c:pt>
                <c:pt idx="14">
                  <c:v>3.9380506493506497</c:v>
                </c:pt>
                <c:pt idx="15">
                  <c:v>3.7585817303469473</c:v>
                </c:pt>
                <c:pt idx="16">
                  <c:v>2.8741988995215308</c:v>
                </c:pt>
                <c:pt idx="17">
                  <c:v>2.7290144155844156</c:v>
                </c:pt>
                <c:pt idx="18">
                  <c:v>2.7463978354978358</c:v>
                </c:pt>
                <c:pt idx="19">
                  <c:v>2.105159409888357</c:v>
                </c:pt>
                <c:pt idx="20">
                  <c:v>1.978674465709729</c:v>
                </c:pt>
                <c:pt idx="21">
                  <c:v>2.1303479797979796</c:v>
                </c:pt>
                <c:pt idx="22">
                  <c:v>2.8493559834368529</c:v>
                </c:pt>
                <c:pt idx="23">
                  <c:v>3.0111138888888882</c:v>
                </c:pt>
                <c:pt idx="24">
                  <c:v>2.9905230701754384</c:v>
                </c:pt>
                <c:pt idx="25">
                  <c:v>3.0492774322169058</c:v>
                </c:pt>
                <c:pt idx="26">
                  <c:v>2.9322194202898557</c:v>
                </c:pt>
                <c:pt idx="27">
                  <c:v>2.8857771212121208</c:v>
                </c:pt>
                <c:pt idx="28">
                  <c:v>3.0814461988304096</c:v>
                </c:pt>
                <c:pt idx="29">
                  <c:v>2.8283399711399713</c:v>
                </c:pt>
                <c:pt idx="30">
                  <c:v>2.9181150739166757</c:v>
                </c:pt>
                <c:pt idx="31">
                  <c:v>3.7924869565217389</c:v>
                </c:pt>
                <c:pt idx="32">
                  <c:v>2.9105275443510741</c:v>
                </c:pt>
                <c:pt idx="33">
                  <c:v>2.5567878787878784</c:v>
                </c:pt>
                <c:pt idx="34">
                  <c:v>2.388107575757576</c:v>
                </c:pt>
                <c:pt idx="35">
                  <c:v>2.4081102212051868</c:v>
                </c:pt>
                <c:pt idx="36">
                  <c:v>1.9129976456292246</c:v>
                </c:pt>
                <c:pt idx="37">
                  <c:v>1.7012965367965365</c:v>
                </c:pt>
                <c:pt idx="38">
                  <c:v>1.9851603835978835</c:v>
                </c:pt>
                <c:pt idx="39">
                  <c:v>2.4580262215997508</c:v>
                </c:pt>
                <c:pt idx="40">
                  <c:v>3.4317002288329519</c:v>
                </c:pt>
                <c:pt idx="41">
                  <c:v>2.910056060606061</c:v>
                </c:pt>
                <c:pt idx="42">
                  <c:v>4.3211406926406921</c:v>
                </c:pt>
                <c:pt idx="43">
                  <c:v>4.7427555555555552</c:v>
                </c:pt>
                <c:pt idx="44">
                  <c:v>4.6238920671243324</c:v>
                </c:pt>
                <c:pt idx="45">
                  <c:v>7.4570265873015869</c:v>
                </c:pt>
                <c:pt idx="46">
                  <c:v>7.9442499309868877</c:v>
                </c:pt>
                <c:pt idx="47">
                  <c:v>5.493869674185464</c:v>
                </c:pt>
                <c:pt idx="48">
                  <c:v>2.65581353928299</c:v>
                </c:pt>
                <c:pt idx="49">
                  <c:v>2.1636149464570518</c:v>
                </c:pt>
                <c:pt idx="50">
                  <c:v>2.5927442028985506</c:v>
                </c:pt>
                <c:pt idx="51">
                  <c:v>2.7412515948963319</c:v>
                </c:pt>
                <c:pt idx="52">
                  <c:v>2.1338488095238097</c:v>
                </c:pt>
                <c:pt idx="53">
                  <c:v>2.0781291866028706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C4-4771-BB7F-A25A4E132BE4}"/>
            </c:ext>
          </c:extLst>
        </c:ser>
        <c:ser>
          <c:idx val="1"/>
          <c:order val="1"/>
          <c:tx>
            <c:strRef>
              <c:f>Sheet1!$C$4</c:f>
              <c:strCache>
                <c:ptCount val="1"/>
                <c:pt idx="0">
                  <c:v>CAPP Coal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Sheet1!$D$4:$BE$4</c:f>
              <c:numCache>
                <c:formatCode>#,##0.00</c:formatCode>
                <c:ptCount val="54"/>
                <c:pt idx="0">
                  <c:v>77.077018633540391</c:v>
                </c:pt>
                <c:pt idx="1">
                  <c:v>78.73015873015872</c:v>
                </c:pt>
                <c:pt idx="2">
                  <c:v>80.015079365079359</c:v>
                </c:pt>
                <c:pt idx="3">
                  <c:v>78.942352092352095</c:v>
                </c:pt>
                <c:pt idx="4">
                  <c:v>70.245851370851369</c:v>
                </c:pt>
                <c:pt idx="5">
                  <c:v>60.088888888888896</c:v>
                </c:pt>
                <c:pt idx="6">
                  <c:v>61.177803030303032</c:v>
                </c:pt>
                <c:pt idx="7">
                  <c:v>66.800289855072478</c:v>
                </c:pt>
                <c:pt idx="8">
                  <c:v>66.590066889632112</c:v>
                </c:pt>
                <c:pt idx="9">
                  <c:v>67.077499999999986</c:v>
                </c:pt>
                <c:pt idx="10">
                  <c:v>63.95545454545455</c:v>
                </c:pt>
                <c:pt idx="11">
                  <c:v>63.614598997493736</c:v>
                </c:pt>
                <c:pt idx="12">
                  <c:v>62.406299081035918</c:v>
                </c:pt>
                <c:pt idx="13">
                  <c:v>60.672539682539686</c:v>
                </c:pt>
                <c:pt idx="14">
                  <c:v>57.210923520923522</c:v>
                </c:pt>
                <c:pt idx="15">
                  <c:v>56.158973063973065</c:v>
                </c:pt>
                <c:pt idx="16">
                  <c:v>53.348999999999997</c:v>
                </c:pt>
                <c:pt idx="17">
                  <c:v>52.877469696969705</c:v>
                </c:pt>
                <c:pt idx="18">
                  <c:v>50.631782106782111</c:v>
                </c:pt>
                <c:pt idx="19">
                  <c:v>46.069214703425224</c:v>
                </c:pt>
                <c:pt idx="20">
                  <c:v>42.296734259892155</c:v>
                </c:pt>
                <c:pt idx="21">
                  <c:v>41.1</c:v>
                </c:pt>
                <c:pt idx="22">
                  <c:v>40.947142857142858</c:v>
                </c:pt>
                <c:pt idx="23">
                  <c:v>44.935000000000002</c:v>
                </c:pt>
                <c:pt idx="24">
                  <c:v>50.054649122807014</c:v>
                </c:pt>
                <c:pt idx="25">
                  <c:v>52.445055821371618</c:v>
                </c:pt>
                <c:pt idx="26">
                  <c:v>53.009963768115945</c:v>
                </c:pt>
                <c:pt idx="27">
                  <c:v>58.280158730158725</c:v>
                </c:pt>
                <c:pt idx="28">
                  <c:v>60.864821143768516</c:v>
                </c:pt>
                <c:pt idx="29">
                  <c:v>62.132815734989641</c:v>
                </c:pt>
                <c:pt idx="30">
                  <c:v>71.949918521600438</c:v>
                </c:pt>
                <c:pt idx="31">
                  <c:v>78.711742424242416</c:v>
                </c:pt>
                <c:pt idx="32">
                  <c:v>81.10167084377612</c:v>
                </c:pt>
                <c:pt idx="33">
                  <c:v>70.440001725327804</c:v>
                </c:pt>
                <c:pt idx="34">
                  <c:v>62.420378787878782</c:v>
                </c:pt>
                <c:pt idx="35">
                  <c:v>63.709833295359623</c:v>
                </c:pt>
                <c:pt idx="36">
                  <c:v>58.04545454545454</c:v>
                </c:pt>
                <c:pt idx="37">
                  <c:v>55.236655844155841</c:v>
                </c:pt>
                <c:pt idx="38">
                  <c:v>55.069805194805191</c:v>
                </c:pt>
                <c:pt idx="39">
                  <c:v>55.178030303030305</c:v>
                </c:pt>
                <c:pt idx="40">
                  <c:v>56.569603356216625</c:v>
                </c:pt>
                <c:pt idx="41">
                  <c:v>60.498268398268401</c:v>
                </c:pt>
                <c:pt idx="42">
                  <c:v>64.141197691197689</c:v>
                </c:pt>
                <c:pt idx="43">
                  <c:v>83.808333333333337</c:v>
                </c:pt>
                <c:pt idx="44">
                  <c:v>91.112206331045002</c:v>
                </c:pt>
                <c:pt idx="45">
                  <c:v>123.11769841269842</c:v>
                </c:pt>
                <c:pt idx="46">
                  <c:v>182.89487577639753</c:v>
                </c:pt>
                <c:pt idx="47">
                  <c:v>191.02654761904762</c:v>
                </c:pt>
                <c:pt idx="48">
                  <c:v>134.10812356979406</c:v>
                </c:pt>
                <c:pt idx="49">
                  <c:v>79.893628009417483</c:v>
                </c:pt>
                <c:pt idx="50">
                  <c:v>66.890579710144934</c:v>
                </c:pt>
                <c:pt idx="51">
                  <c:v>73.460652958152949</c:v>
                </c:pt>
                <c:pt idx="52">
                  <c:v>75.521626984126982</c:v>
                </c:pt>
                <c:pt idx="53">
                  <c:v>76.936084529505578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C4-4771-BB7F-A25A4E132BE4}"/>
            </c:ext>
          </c:extLst>
        </c:ser>
        <c:ser>
          <c:idx val="2"/>
          <c:order val="2"/>
          <c:tx>
            <c:strRef>
              <c:f>Sheet1!$C$5</c:f>
              <c:strCache>
                <c:ptCount val="1"/>
                <c:pt idx="0">
                  <c:v>PRB Coal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Sheet1!$D$5:$BE$5</c:f>
              <c:numCache>
                <c:formatCode>#,##0.00</c:formatCode>
                <c:ptCount val="54"/>
                <c:pt idx="0">
                  <c:v>13.891242236024842</c:v>
                </c:pt>
                <c:pt idx="1">
                  <c:v>12.697619047619048</c:v>
                </c:pt>
                <c:pt idx="2">
                  <c:v>14.270746282702804</c:v>
                </c:pt>
                <c:pt idx="3">
                  <c:v>13.634054834054835</c:v>
                </c:pt>
                <c:pt idx="4">
                  <c:v>9.8515151515151516</c:v>
                </c:pt>
                <c:pt idx="5">
                  <c:v>9.0608264320220844</c:v>
                </c:pt>
                <c:pt idx="6">
                  <c:v>8.855681818181818</c:v>
                </c:pt>
                <c:pt idx="7">
                  <c:v>10.088478260869564</c:v>
                </c:pt>
                <c:pt idx="8">
                  <c:v>10.223634336677815</c:v>
                </c:pt>
                <c:pt idx="9">
                  <c:v>10.510833333333334</c:v>
                </c:pt>
                <c:pt idx="10">
                  <c:v>10.380303030303031</c:v>
                </c:pt>
                <c:pt idx="11">
                  <c:v>10.975844155844156</c:v>
                </c:pt>
                <c:pt idx="12">
                  <c:v>12.360192147034255</c:v>
                </c:pt>
                <c:pt idx="13">
                  <c:v>12.972063492063491</c:v>
                </c:pt>
                <c:pt idx="14">
                  <c:v>11.941702741702741</c:v>
                </c:pt>
                <c:pt idx="15">
                  <c:v>11.536363636363637</c:v>
                </c:pt>
                <c:pt idx="16">
                  <c:v>11.595833333333333</c:v>
                </c:pt>
                <c:pt idx="17">
                  <c:v>11.550000000000002</c:v>
                </c:pt>
                <c:pt idx="18">
                  <c:v>11.591666666666669</c:v>
                </c:pt>
                <c:pt idx="19">
                  <c:v>11.21733500417711</c:v>
                </c:pt>
                <c:pt idx="20">
                  <c:v>9.6898951925267713</c:v>
                </c:pt>
                <c:pt idx="21">
                  <c:v>9.1579365079365083</c:v>
                </c:pt>
                <c:pt idx="22">
                  <c:v>8.6302380952380968</c:v>
                </c:pt>
                <c:pt idx="23">
                  <c:v>9.3319444444444457</c:v>
                </c:pt>
                <c:pt idx="24">
                  <c:v>11.491718154080855</c:v>
                </c:pt>
                <c:pt idx="25">
                  <c:v>11.601881977671454</c:v>
                </c:pt>
                <c:pt idx="26">
                  <c:v>11.516514492753624</c:v>
                </c:pt>
                <c:pt idx="27">
                  <c:v>11.923015873015872</c:v>
                </c:pt>
                <c:pt idx="28">
                  <c:v>12.298803827751195</c:v>
                </c:pt>
                <c:pt idx="29">
                  <c:v>12.407349896480332</c:v>
                </c:pt>
                <c:pt idx="30">
                  <c:v>12.531407322654461</c:v>
                </c:pt>
                <c:pt idx="31">
                  <c:v>12.012500000000001</c:v>
                </c:pt>
                <c:pt idx="32">
                  <c:v>12.349832915622388</c:v>
                </c:pt>
                <c:pt idx="33">
                  <c:v>12.498205659075225</c:v>
                </c:pt>
                <c:pt idx="34">
                  <c:v>12.137727272727274</c:v>
                </c:pt>
                <c:pt idx="35">
                  <c:v>12.001015797068428</c:v>
                </c:pt>
                <c:pt idx="36">
                  <c:v>11.676953748006381</c:v>
                </c:pt>
                <c:pt idx="37">
                  <c:v>11.563820346320348</c:v>
                </c:pt>
                <c:pt idx="38">
                  <c:v>11.78676046176046</c:v>
                </c:pt>
                <c:pt idx="39">
                  <c:v>11.643109668109668</c:v>
                </c:pt>
                <c:pt idx="40">
                  <c:v>11.621510297482837</c:v>
                </c:pt>
                <c:pt idx="41">
                  <c:v>12.031854256854258</c:v>
                </c:pt>
                <c:pt idx="42">
                  <c:v>12.326443001443002</c:v>
                </c:pt>
                <c:pt idx="43">
                  <c:v>22.175108225108222</c:v>
                </c:pt>
                <c:pt idx="44">
                  <c:v>23.171689549961865</c:v>
                </c:pt>
                <c:pt idx="45">
                  <c:v>15.889920634920633</c:v>
                </c:pt>
                <c:pt idx="46">
                  <c:v>16.339302967563835</c:v>
                </c:pt>
                <c:pt idx="47">
                  <c:v>16.587063492063493</c:v>
                </c:pt>
                <c:pt idx="48">
                  <c:v>15.369541607642295</c:v>
                </c:pt>
                <c:pt idx="49">
                  <c:v>14.912660438976227</c:v>
                </c:pt>
                <c:pt idx="50">
                  <c:v>14.314166666666667</c:v>
                </c:pt>
                <c:pt idx="51">
                  <c:v>14.027665945165944</c:v>
                </c:pt>
                <c:pt idx="52">
                  <c:v>13.910039682539681</c:v>
                </c:pt>
                <c:pt idx="53">
                  <c:v>13.653708133971291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C4-4771-BB7F-A25A4E132BE4}"/>
            </c:ext>
          </c:extLst>
        </c:ser>
        <c:ser>
          <c:idx val="3"/>
          <c:order val="3"/>
          <c:tx>
            <c:strRef>
              <c:f>Sheet1!$C$6</c:f>
              <c:strCache>
                <c:ptCount val="1"/>
                <c:pt idx="0">
                  <c:v>NAPP Coal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Sheet1!$D$6:$BE$6</c:f>
              <c:numCache>
                <c:formatCode>#,##0.00</c:formatCode>
                <c:ptCount val="54"/>
                <c:pt idx="0">
                  <c:v>73.256169772256726</c:v>
                </c:pt>
                <c:pt idx="1">
                  <c:v>77.485714285714295</c:v>
                </c:pt>
                <c:pt idx="2">
                  <c:v>77.186660079051379</c:v>
                </c:pt>
                <c:pt idx="3">
                  <c:v>76.44967532467534</c:v>
                </c:pt>
                <c:pt idx="4">
                  <c:v>70.222950089126556</c:v>
                </c:pt>
                <c:pt idx="5">
                  <c:v>65.007142857142853</c:v>
                </c:pt>
                <c:pt idx="6">
                  <c:v>64.983333333333334</c:v>
                </c:pt>
                <c:pt idx="7">
                  <c:v>64.317520703933738</c:v>
                </c:pt>
                <c:pt idx="8">
                  <c:v>62.22318840579711</c:v>
                </c:pt>
                <c:pt idx="9">
                  <c:v>65.00333333333333</c:v>
                </c:pt>
                <c:pt idx="10">
                  <c:v>68.147727272727266</c:v>
                </c:pt>
                <c:pt idx="11">
                  <c:v>68.561403508771932</c:v>
                </c:pt>
                <c:pt idx="12">
                  <c:v>68.482414369256475</c:v>
                </c:pt>
                <c:pt idx="13">
                  <c:v>67.247460317460323</c:v>
                </c:pt>
                <c:pt idx="14">
                  <c:v>63.535714285714278</c:v>
                </c:pt>
                <c:pt idx="15">
                  <c:v>64.892171717171706</c:v>
                </c:pt>
                <c:pt idx="16">
                  <c:v>62.627061403508769</c:v>
                </c:pt>
                <c:pt idx="17">
                  <c:v>59.859828282828289</c:v>
                </c:pt>
                <c:pt idx="18">
                  <c:v>52.836147186147194</c:v>
                </c:pt>
                <c:pt idx="19">
                  <c:v>50.318086883876354</c:v>
                </c:pt>
                <c:pt idx="20">
                  <c:v>48.567786891471108</c:v>
                </c:pt>
                <c:pt idx="21">
                  <c:v>44.060317460317457</c:v>
                </c:pt>
                <c:pt idx="22">
                  <c:v>42.592106625258801</c:v>
                </c:pt>
                <c:pt idx="23">
                  <c:v>42.849444444444451</c:v>
                </c:pt>
                <c:pt idx="24">
                  <c:v>45.487953852021356</c:v>
                </c:pt>
                <c:pt idx="25">
                  <c:v>45.599641148325361</c:v>
                </c:pt>
                <c:pt idx="26">
                  <c:v>45.855797101449276</c:v>
                </c:pt>
                <c:pt idx="27">
                  <c:v>45.895238095238106</c:v>
                </c:pt>
                <c:pt idx="28">
                  <c:v>45.828639781271363</c:v>
                </c:pt>
                <c:pt idx="29">
                  <c:v>45.606314699792961</c:v>
                </c:pt>
                <c:pt idx="30">
                  <c:v>54.810921572706469</c:v>
                </c:pt>
                <c:pt idx="31">
                  <c:v>61.427272727272729</c:v>
                </c:pt>
                <c:pt idx="32">
                  <c:v>67.979532163742689</c:v>
                </c:pt>
                <c:pt idx="33">
                  <c:v>61.583799171842657</c:v>
                </c:pt>
                <c:pt idx="34">
                  <c:v>50.614696969696972</c:v>
                </c:pt>
                <c:pt idx="35">
                  <c:v>55.159814308498518</c:v>
                </c:pt>
                <c:pt idx="36">
                  <c:v>48.625558213716111</c:v>
                </c:pt>
                <c:pt idx="37">
                  <c:v>44.13075396825397</c:v>
                </c:pt>
                <c:pt idx="38">
                  <c:v>42.561363636363637</c:v>
                </c:pt>
                <c:pt idx="39">
                  <c:v>43.50151515151515</c:v>
                </c:pt>
                <c:pt idx="40">
                  <c:v>49.018039664378342</c:v>
                </c:pt>
                <c:pt idx="41">
                  <c:v>53.959812409812407</c:v>
                </c:pt>
                <c:pt idx="42">
                  <c:v>56.760461760461759</c:v>
                </c:pt>
                <c:pt idx="43">
                  <c:v>69.089682539682542</c:v>
                </c:pt>
                <c:pt idx="44">
                  <c:v>75.039057971014486</c:v>
                </c:pt>
                <c:pt idx="45">
                  <c:v>99.120714285714271</c:v>
                </c:pt>
                <c:pt idx="46">
                  <c:v>152.8199982746722</c:v>
                </c:pt>
                <c:pt idx="47">
                  <c:v>191.31313492063495</c:v>
                </c:pt>
                <c:pt idx="48">
                  <c:v>110.28405252261088</c:v>
                </c:pt>
                <c:pt idx="49">
                  <c:v>71.085649730386578</c:v>
                </c:pt>
                <c:pt idx="50">
                  <c:v>53.614130434782616</c:v>
                </c:pt>
                <c:pt idx="51">
                  <c:v>52.005818903318904</c:v>
                </c:pt>
                <c:pt idx="52">
                  <c:v>49.963134920634921</c:v>
                </c:pt>
                <c:pt idx="53">
                  <c:v>53.30163476874003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C4-4771-BB7F-A25A4E132BE4}"/>
            </c:ext>
          </c:extLst>
        </c:ser>
        <c:ser>
          <c:idx val="4"/>
          <c:order val="4"/>
          <c:tx>
            <c:strRef>
              <c:f>Sheet1!$C$7</c:f>
              <c:strCache>
                <c:ptCount val="1"/>
                <c:pt idx="0">
                  <c:v>ILB Coal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Sheet1!$D$7:$BE$7</c:f>
              <c:numCache>
                <c:formatCode>#,##0.00</c:formatCode>
                <c:ptCount val="54"/>
                <c:pt idx="0">
                  <c:v>47.5</c:v>
                </c:pt>
                <c:pt idx="1">
                  <c:v>47.7484126984127</c:v>
                </c:pt>
                <c:pt idx="2">
                  <c:v>47.79999999999999</c:v>
                </c:pt>
                <c:pt idx="3">
                  <c:v>48.315079365079363</c:v>
                </c:pt>
                <c:pt idx="4">
                  <c:v>52.354437229437231</c:v>
                </c:pt>
                <c:pt idx="5">
                  <c:v>48.653554175293301</c:v>
                </c:pt>
                <c:pt idx="6">
                  <c:v>47.409090909090907</c:v>
                </c:pt>
                <c:pt idx="7">
                  <c:v>47.884782608695652</c:v>
                </c:pt>
                <c:pt idx="8">
                  <c:v>46.91282051282051</c:v>
                </c:pt>
                <c:pt idx="9">
                  <c:v>45.15</c:v>
                </c:pt>
                <c:pt idx="10">
                  <c:v>45.540151515151514</c:v>
                </c:pt>
                <c:pt idx="11">
                  <c:v>46.127272727272725</c:v>
                </c:pt>
                <c:pt idx="12">
                  <c:v>46.564394319131161</c:v>
                </c:pt>
                <c:pt idx="13">
                  <c:v>46.333809523809528</c:v>
                </c:pt>
                <c:pt idx="14">
                  <c:v>44.175324675324674</c:v>
                </c:pt>
                <c:pt idx="15">
                  <c:v>44.593434343434346</c:v>
                </c:pt>
                <c:pt idx="16">
                  <c:v>43.128307017543854</c:v>
                </c:pt>
                <c:pt idx="17">
                  <c:v>40.512000000000008</c:v>
                </c:pt>
                <c:pt idx="18">
                  <c:v>35.027272727272731</c:v>
                </c:pt>
                <c:pt idx="19">
                  <c:v>32.724477861319968</c:v>
                </c:pt>
                <c:pt idx="20">
                  <c:v>32.235087719298249</c:v>
                </c:pt>
                <c:pt idx="21">
                  <c:v>31.7</c:v>
                </c:pt>
                <c:pt idx="22">
                  <c:v>31.995000000000001</c:v>
                </c:pt>
                <c:pt idx="23">
                  <c:v>33.44444444444445</c:v>
                </c:pt>
                <c:pt idx="24">
                  <c:v>32.984210526315792</c:v>
                </c:pt>
                <c:pt idx="25">
                  <c:v>31.011403508771931</c:v>
                </c:pt>
                <c:pt idx="26">
                  <c:v>30.741666666666664</c:v>
                </c:pt>
                <c:pt idx="27">
                  <c:v>32.461111111111109</c:v>
                </c:pt>
                <c:pt idx="28">
                  <c:v>32.86532999164578</c:v>
                </c:pt>
                <c:pt idx="29">
                  <c:v>32.739682539682541</c:v>
                </c:pt>
                <c:pt idx="30">
                  <c:v>33.065881353581581</c:v>
                </c:pt>
                <c:pt idx="31">
                  <c:v>38.171590909090909</c:v>
                </c:pt>
                <c:pt idx="32">
                  <c:v>38.594736842105263</c:v>
                </c:pt>
                <c:pt idx="33">
                  <c:v>39.488492063492068</c:v>
                </c:pt>
                <c:pt idx="34">
                  <c:v>39.081666666666671</c:v>
                </c:pt>
                <c:pt idx="35">
                  <c:v>37.721855775803142</c:v>
                </c:pt>
                <c:pt idx="36">
                  <c:v>33.840151515151518</c:v>
                </c:pt>
                <c:pt idx="37">
                  <c:v>33.137499999999996</c:v>
                </c:pt>
                <c:pt idx="38">
                  <c:v>34.044696969696965</c:v>
                </c:pt>
                <c:pt idx="39">
                  <c:v>34.083333333333336</c:v>
                </c:pt>
                <c:pt idx="40">
                  <c:v>34.302059496567509</c:v>
                </c:pt>
                <c:pt idx="41">
                  <c:v>34.5</c:v>
                </c:pt>
                <c:pt idx="42">
                  <c:v>35.334956709956707</c:v>
                </c:pt>
                <c:pt idx="43">
                  <c:v>40.752489177489174</c:v>
                </c:pt>
                <c:pt idx="44">
                  <c:v>80.879782608695663</c:v>
                </c:pt>
                <c:pt idx="45">
                  <c:v>119.44198412698414</c:v>
                </c:pt>
                <c:pt idx="46">
                  <c:v>187.71969461697722</c:v>
                </c:pt>
                <c:pt idx="47">
                  <c:v>182.70436507936506</c:v>
                </c:pt>
                <c:pt idx="48">
                  <c:v>119.84266826486505</c:v>
                </c:pt>
                <c:pt idx="49">
                  <c:v>67.439473684210526</c:v>
                </c:pt>
                <c:pt idx="50">
                  <c:v>50.245833333333337</c:v>
                </c:pt>
                <c:pt idx="51">
                  <c:v>47.624585137085141</c:v>
                </c:pt>
                <c:pt idx="52">
                  <c:v>43.337301587301589</c:v>
                </c:pt>
                <c:pt idx="53">
                  <c:v>44.54545454545454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7C4-4771-BB7F-A25A4E132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9391487"/>
        <c:axId val="1439396767"/>
      </c:scatterChart>
      <c:valAx>
        <c:axId val="1439391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396767"/>
        <c:crosses val="autoZero"/>
        <c:crossBetween val="midCat"/>
      </c:valAx>
      <c:valAx>
        <c:axId val="143939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391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Fuel JP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Sheet1!$C$50</c:f>
              <c:strCache>
                <c:ptCount val="1"/>
                <c:pt idx="0">
                  <c:v>NYMEX Natural Gas - HH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Sheet1!$E$2:$BF$2</c:f>
              <c:strCache>
                <c:ptCount val="54"/>
                <c:pt idx="0">
                  <c:v>2Q11</c:v>
                </c:pt>
                <c:pt idx="1">
                  <c:v>3Q11</c:v>
                </c:pt>
                <c:pt idx="2">
                  <c:v>4Q11</c:v>
                </c:pt>
                <c:pt idx="3">
                  <c:v>1Q12</c:v>
                </c:pt>
                <c:pt idx="4">
                  <c:v>2Q12</c:v>
                </c:pt>
                <c:pt idx="5">
                  <c:v>3Q12</c:v>
                </c:pt>
                <c:pt idx="6">
                  <c:v>4Q12</c:v>
                </c:pt>
                <c:pt idx="7">
                  <c:v>1Q13</c:v>
                </c:pt>
                <c:pt idx="8">
                  <c:v>2Q13</c:v>
                </c:pt>
                <c:pt idx="9">
                  <c:v>3Q13</c:v>
                </c:pt>
                <c:pt idx="10">
                  <c:v>4Q13</c:v>
                </c:pt>
                <c:pt idx="11">
                  <c:v>1Q14</c:v>
                </c:pt>
                <c:pt idx="12">
                  <c:v>2Q14</c:v>
                </c:pt>
                <c:pt idx="13">
                  <c:v>3Q14</c:v>
                </c:pt>
                <c:pt idx="14">
                  <c:v>4Q14</c:v>
                </c:pt>
                <c:pt idx="15">
                  <c:v>1Q15</c:v>
                </c:pt>
                <c:pt idx="16">
                  <c:v>2Q15</c:v>
                </c:pt>
                <c:pt idx="17">
                  <c:v>3Q15</c:v>
                </c:pt>
                <c:pt idx="18">
                  <c:v>4Q15</c:v>
                </c:pt>
                <c:pt idx="19">
                  <c:v>1Q16</c:v>
                </c:pt>
                <c:pt idx="20">
                  <c:v>2Q16</c:v>
                </c:pt>
                <c:pt idx="21">
                  <c:v>3Q16</c:v>
                </c:pt>
                <c:pt idx="22">
                  <c:v>4Q16</c:v>
                </c:pt>
                <c:pt idx="23">
                  <c:v>1Q17</c:v>
                </c:pt>
                <c:pt idx="24">
                  <c:v>2Q17</c:v>
                </c:pt>
                <c:pt idx="25">
                  <c:v>3Q17</c:v>
                </c:pt>
                <c:pt idx="26">
                  <c:v>4Q17</c:v>
                </c:pt>
                <c:pt idx="27">
                  <c:v>1Q18</c:v>
                </c:pt>
                <c:pt idx="28">
                  <c:v>2Q18</c:v>
                </c:pt>
                <c:pt idx="29">
                  <c:v>3Q18</c:v>
                </c:pt>
                <c:pt idx="30">
                  <c:v>4Q18</c:v>
                </c:pt>
                <c:pt idx="31">
                  <c:v>1Q19</c:v>
                </c:pt>
                <c:pt idx="32">
                  <c:v>2Q19</c:v>
                </c:pt>
                <c:pt idx="33">
                  <c:v>3Q19</c:v>
                </c:pt>
                <c:pt idx="34">
                  <c:v>4Q19</c:v>
                </c:pt>
                <c:pt idx="35">
                  <c:v>1Q20</c:v>
                </c:pt>
                <c:pt idx="36">
                  <c:v>2Q20</c:v>
                </c:pt>
                <c:pt idx="37">
                  <c:v>3Q20</c:v>
                </c:pt>
                <c:pt idx="38">
                  <c:v>4Q20</c:v>
                </c:pt>
                <c:pt idx="39">
                  <c:v>1Q21</c:v>
                </c:pt>
                <c:pt idx="40">
                  <c:v>2Q21</c:v>
                </c:pt>
                <c:pt idx="41">
                  <c:v>3Q21</c:v>
                </c:pt>
                <c:pt idx="42">
                  <c:v>4Q21</c:v>
                </c:pt>
                <c:pt idx="43">
                  <c:v>1Q22</c:v>
                </c:pt>
                <c:pt idx="44">
                  <c:v>2Q22</c:v>
                </c:pt>
                <c:pt idx="45">
                  <c:v>3Q22</c:v>
                </c:pt>
                <c:pt idx="46">
                  <c:v>4Q22</c:v>
                </c:pt>
                <c:pt idx="47">
                  <c:v>1Q23</c:v>
                </c:pt>
                <c:pt idx="48">
                  <c:v>2Q23</c:v>
                </c:pt>
                <c:pt idx="49">
                  <c:v>3Q23</c:v>
                </c:pt>
                <c:pt idx="50">
                  <c:v>4Q23</c:v>
                </c:pt>
                <c:pt idx="51">
                  <c:v>1Q24</c:v>
                </c:pt>
                <c:pt idx="52">
                  <c:v>2Q24</c:v>
                </c:pt>
                <c:pt idx="53">
                  <c:v>3Q24</c:v>
                </c:pt>
              </c:strCache>
            </c:strRef>
          </c:xVal>
          <c:yVal>
            <c:numRef>
              <c:f>Sheet1!$E$50:$BF$50</c:f>
              <c:numCache>
                <c:formatCode>#,##0.00</c:formatCode>
                <c:ptCount val="54"/>
                <c:pt idx="0">
                  <c:v>4.3679218749999995</c:v>
                </c:pt>
                <c:pt idx="1">
                  <c:v>4.1250937499999987</c:v>
                </c:pt>
                <c:pt idx="2">
                  <c:v>3.3347142857142864</c:v>
                </c:pt>
                <c:pt idx="3">
                  <c:v>2.4596984126984123</c:v>
                </c:pt>
                <c:pt idx="4">
                  <c:v>2.2776984126984123</c:v>
                </c:pt>
                <c:pt idx="5">
                  <c:v>2.8780317460317462</c:v>
                </c:pt>
                <c:pt idx="6">
                  <c:v>3.3929375000000004</c:v>
                </c:pt>
                <c:pt idx="7">
                  <c:v>3.4791000000000003</c:v>
                </c:pt>
                <c:pt idx="8">
                  <c:v>4.0243281250000011</c:v>
                </c:pt>
                <c:pt idx="9">
                  <c:v>3.5578281250000003</c:v>
                </c:pt>
                <c:pt idx="10">
                  <c:v>5.1762950819672131</c:v>
                </c:pt>
                <c:pt idx="11">
                  <c:v>3.8364218749999996</c:v>
                </c:pt>
                <c:pt idx="12">
                  <c:v>4.6069687499999992</c:v>
                </c:pt>
                <c:pt idx="13">
                  <c:v>3.9690625000000006</c:v>
                </c:pt>
                <c:pt idx="14">
                  <c:v>3.7758906249999988</c:v>
                </c:pt>
                <c:pt idx="15">
                  <c:v>2.8932580645161292</c:v>
                </c:pt>
                <c:pt idx="16">
                  <c:v>2.7407301587301576</c:v>
                </c:pt>
                <c:pt idx="17">
                  <c:v>2.7644218749999996</c:v>
                </c:pt>
                <c:pt idx="18">
                  <c:v>2.1331111111111114</c:v>
                </c:pt>
                <c:pt idx="19">
                  <c:v>1.9876885245901643</c:v>
                </c:pt>
                <c:pt idx="20">
                  <c:v>2.135984375</c:v>
                </c:pt>
                <c:pt idx="21">
                  <c:v>2.8751562499999994</c:v>
                </c:pt>
                <c:pt idx="22">
                  <c:v>3.0312419354838709</c:v>
                </c:pt>
                <c:pt idx="23">
                  <c:v>3.0098387096774188</c:v>
                </c:pt>
                <c:pt idx="24">
                  <c:v>3.076171875</c:v>
                </c:pt>
                <c:pt idx="25">
                  <c:v>2.9540158730158725</c:v>
                </c:pt>
                <c:pt idx="26">
                  <c:v>2.8899677419354837</c:v>
                </c:pt>
                <c:pt idx="27">
                  <c:v>3.1108032786885249</c:v>
                </c:pt>
                <c:pt idx="28">
                  <c:v>2.8491874999999998</c:v>
                </c:pt>
                <c:pt idx="29">
                  <c:v>2.9273333333333329</c:v>
                </c:pt>
                <c:pt idx="30">
                  <c:v>3.7737377049180312</c:v>
                </c:pt>
                <c:pt idx="31">
                  <c:v>2.9192786885245896</c:v>
                </c:pt>
                <c:pt idx="32">
                  <c:v>2.56753125</c:v>
                </c:pt>
                <c:pt idx="33">
                  <c:v>2.3805396825396823</c:v>
                </c:pt>
                <c:pt idx="34">
                  <c:v>2.3886451612903232</c:v>
                </c:pt>
                <c:pt idx="35">
                  <c:v>1.9105967741935488</c:v>
                </c:pt>
                <c:pt idx="36">
                  <c:v>1.7036875</c:v>
                </c:pt>
                <c:pt idx="37">
                  <c:v>1.9918593750000002</c:v>
                </c:pt>
                <c:pt idx="38">
                  <c:v>2.505349206349206</c:v>
                </c:pt>
                <c:pt idx="39">
                  <c:v>3.4972950819672133</c:v>
                </c:pt>
                <c:pt idx="40">
                  <c:v>2.9291746031746024</c:v>
                </c:pt>
                <c:pt idx="41">
                  <c:v>4.3259692307692301</c:v>
                </c:pt>
                <c:pt idx="42">
                  <c:v>4.8006290322580636</c:v>
                </c:pt>
                <c:pt idx="43">
                  <c:v>4.6413870967741939</c:v>
                </c:pt>
                <c:pt idx="44">
                  <c:v>7.4767741935483878</c:v>
                </c:pt>
                <c:pt idx="45">
                  <c:v>8.0281249999999975</c:v>
                </c:pt>
                <c:pt idx="46">
                  <c:v>5.5991967213114755</c:v>
                </c:pt>
                <c:pt idx="47">
                  <c:v>2.663338709677419</c:v>
                </c:pt>
                <c:pt idx="48">
                  <c:v>2.1546349206349205</c:v>
                </c:pt>
                <c:pt idx="49">
                  <c:v>2.5882741935483855</c:v>
                </c:pt>
                <c:pt idx="50">
                  <c:v>2.7488852459016395</c:v>
                </c:pt>
                <c:pt idx="51">
                  <c:v>2.16444262295082</c:v>
                </c:pt>
                <c:pt idx="52">
                  <c:v>1.9087424242424245</c:v>
                </c:pt>
                <c:pt idx="53">
                  <c:v>2.7940000000000005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DF-43BA-AECB-554166AF5028}"/>
            </c:ext>
          </c:extLst>
        </c:ser>
        <c:ser>
          <c:idx val="1"/>
          <c:order val="1"/>
          <c:tx>
            <c:strRef>
              <c:f>Sheet1!$C$51</c:f>
              <c:strCache>
                <c:ptCount val="1"/>
                <c:pt idx="0">
                  <c:v>CAPP Coal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Sheet1!$E$2:$BF$2</c:f>
              <c:strCache>
                <c:ptCount val="54"/>
                <c:pt idx="0">
                  <c:v>2Q11</c:v>
                </c:pt>
                <c:pt idx="1">
                  <c:v>3Q11</c:v>
                </c:pt>
                <c:pt idx="2">
                  <c:v>4Q11</c:v>
                </c:pt>
                <c:pt idx="3">
                  <c:v>1Q12</c:v>
                </c:pt>
                <c:pt idx="4">
                  <c:v>2Q12</c:v>
                </c:pt>
                <c:pt idx="5">
                  <c:v>3Q12</c:v>
                </c:pt>
                <c:pt idx="6">
                  <c:v>4Q12</c:v>
                </c:pt>
                <c:pt idx="7">
                  <c:v>1Q13</c:v>
                </c:pt>
                <c:pt idx="8">
                  <c:v>2Q13</c:v>
                </c:pt>
                <c:pt idx="9">
                  <c:v>3Q13</c:v>
                </c:pt>
                <c:pt idx="10">
                  <c:v>4Q13</c:v>
                </c:pt>
                <c:pt idx="11">
                  <c:v>1Q14</c:v>
                </c:pt>
                <c:pt idx="12">
                  <c:v>2Q14</c:v>
                </c:pt>
                <c:pt idx="13">
                  <c:v>3Q14</c:v>
                </c:pt>
                <c:pt idx="14">
                  <c:v>4Q14</c:v>
                </c:pt>
                <c:pt idx="15">
                  <c:v>1Q15</c:v>
                </c:pt>
                <c:pt idx="16">
                  <c:v>2Q15</c:v>
                </c:pt>
                <c:pt idx="17">
                  <c:v>3Q15</c:v>
                </c:pt>
                <c:pt idx="18">
                  <c:v>4Q15</c:v>
                </c:pt>
                <c:pt idx="19">
                  <c:v>1Q16</c:v>
                </c:pt>
                <c:pt idx="20">
                  <c:v>2Q16</c:v>
                </c:pt>
                <c:pt idx="21">
                  <c:v>3Q16</c:v>
                </c:pt>
                <c:pt idx="22">
                  <c:v>4Q16</c:v>
                </c:pt>
                <c:pt idx="23">
                  <c:v>1Q17</c:v>
                </c:pt>
                <c:pt idx="24">
                  <c:v>2Q17</c:v>
                </c:pt>
                <c:pt idx="25">
                  <c:v>3Q17</c:v>
                </c:pt>
                <c:pt idx="26">
                  <c:v>4Q17</c:v>
                </c:pt>
                <c:pt idx="27">
                  <c:v>1Q18</c:v>
                </c:pt>
                <c:pt idx="28">
                  <c:v>2Q18</c:v>
                </c:pt>
                <c:pt idx="29">
                  <c:v>3Q18</c:v>
                </c:pt>
                <c:pt idx="30">
                  <c:v>4Q18</c:v>
                </c:pt>
                <c:pt idx="31">
                  <c:v>1Q19</c:v>
                </c:pt>
                <c:pt idx="32">
                  <c:v>2Q19</c:v>
                </c:pt>
                <c:pt idx="33">
                  <c:v>3Q19</c:v>
                </c:pt>
                <c:pt idx="34">
                  <c:v>4Q19</c:v>
                </c:pt>
                <c:pt idx="35">
                  <c:v>1Q20</c:v>
                </c:pt>
                <c:pt idx="36">
                  <c:v>2Q20</c:v>
                </c:pt>
                <c:pt idx="37">
                  <c:v>3Q20</c:v>
                </c:pt>
                <c:pt idx="38">
                  <c:v>4Q20</c:v>
                </c:pt>
                <c:pt idx="39">
                  <c:v>1Q21</c:v>
                </c:pt>
                <c:pt idx="40">
                  <c:v>2Q21</c:v>
                </c:pt>
                <c:pt idx="41">
                  <c:v>3Q21</c:v>
                </c:pt>
                <c:pt idx="42">
                  <c:v>4Q21</c:v>
                </c:pt>
                <c:pt idx="43">
                  <c:v>1Q22</c:v>
                </c:pt>
                <c:pt idx="44">
                  <c:v>2Q22</c:v>
                </c:pt>
                <c:pt idx="45">
                  <c:v>3Q22</c:v>
                </c:pt>
                <c:pt idx="46">
                  <c:v>4Q22</c:v>
                </c:pt>
                <c:pt idx="47">
                  <c:v>1Q23</c:v>
                </c:pt>
                <c:pt idx="48">
                  <c:v>2Q23</c:v>
                </c:pt>
                <c:pt idx="49">
                  <c:v>3Q23</c:v>
                </c:pt>
                <c:pt idx="50">
                  <c:v>4Q23</c:v>
                </c:pt>
                <c:pt idx="51">
                  <c:v>1Q24</c:v>
                </c:pt>
                <c:pt idx="52">
                  <c:v>2Q24</c:v>
                </c:pt>
                <c:pt idx="53">
                  <c:v>3Q24</c:v>
                </c:pt>
              </c:strCache>
            </c:strRef>
          </c:xVal>
          <c:yVal>
            <c:numRef>
              <c:f>Sheet1!$E$51:$BF$51</c:f>
              <c:numCache>
                <c:formatCode>#,##0.00</c:formatCode>
                <c:ptCount val="54"/>
                <c:pt idx="0">
                  <c:v>78.430769230769243</c:v>
                </c:pt>
                <c:pt idx="1">
                  <c:v>80.007142857142853</c:v>
                </c:pt>
                <c:pt idx="2">
                  <c:v>78.934615384615398</c:v>
                </c:pt>
                <c:pt idx="3">
                  <c:v>70.069230769230771</c:v>
                </c:pt>
                <c:pt idx="4">
                  <c:v>59.92307692307692</c:v>
                </c:pt>
                <c:pt idx="5">
                  <c:v>61.334615384615397</c:v>
                </c:pt>
                <c:pt idx="6">
                  <c:v>66.634615384615373</c:v>
                </c:pt>
                <c:pt idx="7">
                  <c:v>66.511538461538478</c:v>
                </c:pt>
                <c:pt idx="8">
                  <c:v>66.914615384615374</c:v>
                </c:pt>
                <c:pt idx="9">
                  <c:v>64.0053846153846</c:v>
                </c:pt>
                <c:pt idx="10">
                  <c:v>63.813846153846164</c:v>
                </c:pt>
                <c:pt idx="11">
                  <c:v>62.446153846153841</c:v>
                </c:pt>
                <c:pt idx="12">
                  <c:v>60.582307692307708</c:v>
                </c:pt>
                <c:pt idx="13">
                  <c:v>57.336923076923085</c:v>
                </c:pt>
                <c:pt idx="14">
                  <c:v>56.106923076923081</c:v>
                </c:pt>
                <c:pt idx="15">
                  <c:v>53.513846153846139</c:v>
                </c:pt>
                <c:pt idx="16">
                  <c:v>52.858461538461547</c:v>
                </c:pt>
                <c:pt idx="17">
                  <c:v>50.784615384615385</c:v>
                </c:pt>
                <c:pt idx="18">
                  <c:v>46.303846153846159</c:v>
                </c:pt>
                <c:pt idx="19">
                  <c:v>42.380769230769232</c:v>
                </c:pt>
                <c:pt idx="20">
                  <c:v>41.192307692307693</c:v>
                </c:pt>
                <c:pt idx="21">
                  <c:v>40.928571428571438</c:v>
                </c:pt>
                <c:pt idx="22">
                  <c:v>44.896153846153844</c:v>
                </c:pt>
                <c:pt idx="23">
                  <c:v>50.057692307692314</c:v>
                </c:pt>
                <c:pt idx="24">
                  <c:v>52.46153846153846</c:v>
                </c:pt>
                <c:pt idx="25">
                  <c:v>52.98846153846155</c:v>
                </c:pt>
                <c:pt idx="26">
                  <c:v>58.261538461538478</c:v>
                </c:pt>
                <c:pt idx="27">
                  <c:v>60.850000000000009</c:v>
                </c:pt>
                <c:pt idx="28">
                  <c:v>62.115384615384606</c:v>
                </c:pt>
                <c:pt idx="29">
                  <c:v>71.8</c:v>
                </c:pt>
                <c:pt idx="30">
                  <c:v>78.615384615384613</c:v>
                </c:pt>
                <c:pt idx="31">
                  <c:v>81.107692307692332</c:v>
                </c:pt>
                <c:pt idx="32">
                  <c:v>70.788461538461533</c:v>
                </c:pt>
                <c:pt idx="33">
                  <c:v>62.142307692307682</c:v>
                </c:pt>
                <c:pt idx="34">
                  <c:v>63.776923076923062</c:v>
                </c:pt>
                <c:pt idx="35">
                  <c:v>58.253846153846141</c:v>
                </c:pt>
                <c:pt idx="36">
                  <c:v>55.203846153846143</c:v>
                </c:pt>
                <c:pt idx="37">
                  <c:v>56.123076923076923</c:v>
                </c:pt>
                <c:pt idx="38">
                  <c:v>55.476923076923079</c:v>
                </c:pt>
                <c:pt idx="39">
                  <c:v>56.434615384615384</c:v>
                </c:pt>
                <c:pt idx="40">
                  <c:v>60.453846153846136</c:v>
                </c:pt>
                <c:pt idx="41">
                  <c:v>63.623076923076908</c:v>
                </c:pt>
                <c:pt idx="42">
                  <c:v>83.439285714285717</c:v>
                </c:pt>
                <c:pt idx="43">
                  <c:v>90.30416666666666</c:v>
                </c:pt>
                <c:pt idx="44">
                  <c:v>121.53461538461536</c:v>
                </c:pt>
                <c:pt idx="45">
                  <c:v>184.76785714285714</c:v>
                </c:pt>
                <c:pt idx="46">
                  <c:v>191.02307692307699</c:v>
                </c:pt>
                <c:pt idx="47">
                  <c:v>124.73461538461537</c:v>
                </c:pt>
                <c:pt idx="48">
                  <c:v>77.515384615384619</c:v>
                </c:pt>
                <c:pt idx="49">
                  <c:v>67.41538461538461</c:v>
                </c:pt>
                <c:pt idx="50">
                  <c:v>73.3</c:v>
                </c:pt>
                <c:pt idx="51">
                  <c:v>74</c:v>
                </c:pt>
                <c:pt idx="52">
                  <c:v>79.360000000000014</c:v>
                </c:pt>
                <c:pt idx="53">
                  <c:v>82.04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DF-43BA-AECB-554166AF5028}"/>
            </c:ext>
          </c:extLst>
        </c:ser>
        <c:ser>
          <c:idx val="2"/>
          <c:order val="2"/>
          <c:tx>
            <c:strRef>
              <c:f>Sheet1!$C$52</c:f>
              <c:strCache>
                <c:ptCount val="1"/>
                <c:pt idx="0">
                  <c:v>PRB Coal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Sheet1!$E$2:$BF$2</c:f>
              <c:strCache>
                <c:ptCount val="54"/>
                <c:pt idx="0">
                  <c:v>2Q11</c:v>
                </c:pt>
                <c:pt idx="1">
                  <c:v>3Q11</c:v>
                </c:pt>
                <c:pt idx="2">
                  <c:v>4Q11</c:v>
                </c:pt>
                <c:pt idx="3">
                  <c:v>1Q12</c:v>
                </c:pt>
                <c:pt idx="4">
                  <c:v>2Q12</c:v>
                </c:pt>
                <c:pt idx="5">
                  <c:v>3Q12</c:v>
                </c:pt>
                <c:pt idx="6">
                  <c:v>4Q12</c:v>
                </c:pt>
                <c:pt idx="7">
                  <c:v>1Q13</c:v>
                </c:pt>
                <c:pt idx="8">
                  <c:v>2Q13</c:v>
                </c:pt>
                <c:pt idx="9">
                  <c:v>3Q13</c:v>
                </c:pt>
                <c:pt idx="10">
                  <c:v>4Q13</c:v>
                </c:pt>
                <c:pt idx="11">
                  <c:v>1Q14</c:v>
                </c:pt>
                <c:pt idx="12">
                  <c:v>2Q14</c:v>
                </c:pt>
                <c:pt idx="13">
                  <c:v>3Q14</c:v>
                </c:pt>
                <c:pt idx="14">
                  <c:v>4Q14</c:v>
                </c:pt>
                <c:pt idx="15">
                  <c:v>1Q15</c:v>
                </c:pt>
                <c:pt idx="16">
                  <c:v>2Q15</c:v>
                </c:pt>
                <c:pt idx="17">
                  <c:v>3Q15</c:v>
                </c:pt>
                <c:pt idx="18">
                  <c:v>4Q15</c:v>
                </c:pt>
                <c:pt idx="19">
                  <c:v>1Q16</c:v>
                </c:pt>
                <c:pt idx="20">
                  <c:v>2Q16</c:v>
                </c:pt>
                <c:pt idx="21">
                  <c:v>3Q16</c:v>
                </c:pt>
                <c:pt idx="22">
                  <c:v>4Q16</c:v>
                </c:pt>
                <c:pt idx="23">
                  <c:v>1Q17</c:v>
                </c:pt>
                <c:pt idx="24">
                  <c:v>2Q17</c:v>
                </c:pt>
                <c:pt idx="25">
                  <c:v>3Q17</c:v>
                </c:pt>
                <c:pt idx="26">
                  <c:v>4Q17</c:v>
                </c:pt>
                <c:pt idx="27">
                  <c:v>1Q18</c:v>
                </c:pt>
                <c:pt idx="28">
                  <c:v>2Q18</c:v>
                </c:pt>
                <c:pt idx="29">
                  <c:v>3Q18</c:v>
                </c:pt>
                <c:pt idx="30">
                  <c:v>4Q18</c:v>
                </c:pt>
                <c:pt idx="31">
                  <c:v>1Q19</c:v>
                </c:pt>
                <c:pt idx="32">
                  <c:v>2Q19</c:v>
                </c:pt>
                <c:pt idx="33">
                  <c:v>3Q19</c:v>
                </c:pt>
                <c:pt idx="34">
                  <c:v>4Q19</c:v>
                </c:pt>
                <c:pt idx="35">
                  <c:v>1Q20</c:v>
                </c:pt>
                <c:pt idx="36">
                  <c:v>2Q20</c:v>
                </c:pt>
                <c:pt idx="37">
                  <c:v>3Q20</c:v>
                </c:pt>
                <c:pt idx="38">
                  <c:v>4Q20</c:v>
                </c:pt>
                <c:pt idx="39">
                  <c:v>1Q21</c:v>
                </c:pt>
                <c:pt idx="40">
                  <c:v>2Q21</c:v>
                </c:pt>
                <c:pt idx="41">
                  <c:v>3Q21</c:v>
                </c:pt>
                <c:pt idx="42">
                  <c:v>4Q21</c:v>
                </c:pt>
                <c:pt idx="43">
                  <c:v>1Q22</c:v>
                </c:pt>
                <c:pt idx="44">
                  <c:v>2Q22</c:v>
                </c:pt>
                <c:pt idx="45">
                  <c:v>3Q22</c:v>
                </c:pt>
                <c:pt idx="46">
                  <c:v>4Q22</c:v>
                </c:pt>
                <c:pt idx="47">
                  <c:v>1Q23</c:v>
                </c:pt>
                <c:pt idx="48">
                  <c:v>2Q23</c:v>
                </c:pt>
                <c:pt idx="49">
                  <c:v>3Q23</c:v>
                </c:pt>
                <c:pt idx="50">
                  <c:v>4Q23</c:v>
                </c:pt>
                <c:pt idx="51">
                  <c:v>1Q24</c:v>
                </c:pt>
                <c:pt idx="52">
                  <c:v>2Q24</c:v>
                </c:pt>
                <c:pt idx="53">
                  <c:v>3Q24</c:v>
                </c:pt>
              </c:strCache>
            </c:strRef>
          </c:xVal>
          <c:yVal>
            <c:numRef>
              <c:f>Sheet1!$E$52:$BF$52</c:f>
              <c:numCache>
                <c:formatCode>#,##0.00</c:formatCode>
                <c:ptCount val="54"/>
                <c:pt idx="0">
                  <c:v>12.738461538461538</c:v>
                </c:pt>
                <c:pt idx="1">
                  <c:v>14.228571428571428</c:v>
                </c:pt>
                <c:pt idx="2">
                  <c:v>13.626923076923076</c:v>
                </c:pt>
                <c:pt idx="3">
                  <c:v>9.8423076923076955</c:v>
                </c:pt>
                <c:pt idx="4">
                  <c:v>9.1000000000000014</c:v>
                </c:pt>
                <c:pt idx="5">
                  <c:v>8.8346153846153861</c:v>
                </c:pt>
                <c:pt idx="6">
                  <c:v>10.123076923076923</c:v>
                </c:pt>
                <c:pt idx="7">
                  <c:v>10.238461538461538</c:v>
                </c:pt>
                <c:pt idx="8">
                  <c:v>10.513846153846153</c:v>
                </c:pt>
                <c:pt idx="9">
                  <c:v>10.403846153846152</c:v>
                </c:pt>
                <c:pt idx="10">
                  <c:v>10.982307692307691</c:v>
                </c:pt>
                <c:pt idx="11">
                  <c:v>12.356153846153846</c:v>
                </c:pt>
                <c:pt idx="12">
                  <c:v>12.986153846153845</c:v>
                </c:pt>
                <c:pt idx="13">
                  <c:v>11.965384615384615</c:v>
                </c:pt>
                <c:pt idx="14">
                  <c:v>11.526923076923076</c:v>
                </c:pt>
                <c:pt idx="15">
                  <c:v>11.592307692307692</c:v>
                </c:pt>
                <c:pt idx="16">
                  <c:v>11.55</c:v>
                </c:pt>
                <c:pt idx="17">
                  <c:v>11.592307692307692</c:v>
                </c:pt>
                <c:pt idx="18">
                  <c:v>11.342307692307694</c:v>
                </c:pt>
                <c:pt idx="19">
                  <c:v>9.7807692307692307</c:v>
                </c:pt>
                <c:pt idx="20">
                  <c:v>9.1807692307692292</c:v>
                </c:pt>
                <c:pt idx="21">
                  <c:v>8.6428571428571441</c:v>
                </c:pt>
                <c:pt idx="22">
                  <c:v>9.3461538461538467</c:v>
                </c:pt>
                <c:pt idx="23">
                  <c:v>11.473076923076921</c:v>
                </c:pt>
                <c:pt idx="24">
                  <c:v>11.597692307692309</c:v>
                </c:pt>
                <c:pt idx="25">
                  <c:v>11.516153846153847</c:v>
                </c:pt>
                <c:pt idx="26">
                  <c:v>11.923076923076922</c:v>
                </c:pt>
                <c:pt idx="27">
                  <c:v>12.296153846153848</c:v>
                </c:pt>
                <c:pt idx="28">
                  <c:v>12.407692307692308</c:v>
                </c:pt>
                <c:pt idx="29">
                  <c:v>12.546153846153848</c:v>
                </c:pt>
                <c:pt idx="30">
                  <c:v>12.007692307692306</c:v>
                </c:pt>
                <c:pt idx="31">
                  <c:v>12.334615384615384</c:v>
                </c:pt>
                <c:pt idx="32">
                  <c:v>12.507692307692309</c:v>
                </c:pt>
                <c:pt idx="33">
                  <c:v>12.146153846153844</c:v>
                </c:pt>
                <c:pt idx="34">
                  <c:v>12.007692307692309</c:v>
                </c:pt>
                <c:pt idx="35">
                  <c:v>11.684615384615386</c:v>
                </c:pt>
                <c:pt idx="36">
                  <c:v>11.553846153846154</c:v>
                </c:pt>
                <c:pt idx="37">
                  <c:v>11.730769230769226</c:v>
                </c:pt>
                <c:pt idx="38">
                  <c:v>11.650000000000002</c:v>
                </c:pt>
                <c:pt idx="39">
                  <c:v>11.61153846153846</c:v>
                </c:pt>
                <c:pt idx="40">
                  <c:v>12.023076923076925</c:v>
                </c:pt>
                <c:pt idx="41">
                  <c:v>12.246153846153847</c:v>
                </c:pt>
                <c:pt idx="42">
                  <c:v>22.021428571428572</c:v>
                </c:pt>
                <c:pt idx="43">
                  <c:v>23.204166666666669</c:v>
                </c:pt>
                <c:pt idx="44">
                  <c:v>15.965384615384616</c:v>
                </c:pt>
                <c:pt idx="45">
                  <c:v>16.332142857142852</c:v>
                </c:pt>
                <c:pt idx="46">
                  <c:v>16.526923076923076</c:v>
                </c:pt>
                <c:pt idx="47">
                  <c:v>15.315384615384618</c:v>
                </c:pt>
                <c:pt idx="48">
                  <c:v>14.900000000000004</c:v>
                </c:pt>
                <c:pt idx="49">
                  <c:v>14.303846153846154</c:v>
                </c:pt>
                <c:pt idx="50">
                  <c:v>14.003846153846155</c:v>
                </c:pt>
                <c:pt idx="51">
                  <c:v>14</c:v>
                </c:pt>
                <c:pt idx="52">
                  <c:v>12.433333333333332</c:v>
                </c:pt>
                <c:pt idx="53">
                  <c:v>11.65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DF-43BA-AECB-554166AF5028}"/>
            </c:ext>
          </c:extLst>
        </c:ser>
        <c:ser>
          <c:idx val="3"/>
          <c:order val="3"/>
          <c:tx>
            <c:strRef>
              <c:f>Sheet1!$C$53</c:f>
              <c:strCache>
                <c:ptCount val="1"/>
                <c:pt idx="0">
                  <c:v>NAPP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Sheet1!$E$2:$BF$2</c:f>
              <c:strCache>
                <c:ptCount val="54"/>
                <c:pt idx="0">
                  <c:v>2Q11</c:v>
                </c:pt>
                <c:pt idx="1">
                  <c:v>3Q11</c:v>
                </c:pt>
                <c:pt idx="2">
                  <c:v>4Q11</c:v>
                </c:pt>
                <c:pt idx="3">
                  <c:v>1Q12</c:v>
                </c:pt>
                <c:pt idx="4">
                  <c:v>2Q12</c:v>
                </c:pt>
                <c:pt idx="5">
                  <c:v>3Q12</c:v>
                </c:pt>
                <c:pt idx="6">
                  <c:v>4Q12</c:v>
                </c:pt>
                <c:pt idx="7">
                  <c:v>1Q13</c:v>
                </c:pt>
                <c:pt idx="8">
                  <c:v>2Q13</c:v>
                </c:pt>
                <c:pt idx="9">
                  <c:v>3Q13</c:v>
                </c:pt>
                <c:pt idx="10">
                  <c:v>4Q13</c:v>
                </c:pt>
                <c:pt idx="11">
                  <c:v>1Q14</c:v>
                </c:pt>
                <c:pt idx="12">
                  <c:v>2Q14</c:v>
                </c:pt>
                <c:pt idx="13">
                  <c:v>3Q14</c:v>
                </c:pt>
                <c:pt idx="14">
                  <c:v>4Q14</c:v>
                </c:pt>
                <c:pt idx="15">
                  <c:v>1Q15</c:v>
                </c:pt>
                <c:pt idx="16">
                  <c:v>2Q15</c:v>
                </c:pt>
                <c:pt idx="17">
                  <c:v>3Q15</c:v>
                </c:pt>
                <c:pt idx="18">
                  <c:v>4Q15</c:v>
                </c:pt>
                <c:pt idx="19">
                  <c:v>1Q16</c:v>
                </c:pt>
                <c:pt idx="20">
                  <c:v>2Q16</c:v>
                </c:pt>
                <c:pt idx="21">
                  <c:v>3Q16</c:v>
                </c:pt>
                <c:pt idx="22">
                  <c:v>4Q16</c:v>
                </c:pt>
                <c:pt idx="23">
                  <c:v>1Q17</c:v>
                </c:pt>
                <c:pt idx="24">
                  <c:v>2Q17</c:v>
                </c:pt>
                <c:pt idx="25">
                  <c:v>3Q17</c:v>
                </c:pt>
                <c:pt idx="26">
                  <c:v>4Q17</c:v>
                </c:pt>
                <c:pt idx="27">
                  <c:v>1Q18</c:v>
                </c:pt>
                <c:pt idx="28">
                  <c:v>2Q18</c:v>
                </c:pt>
                <c:pt idx="29">
                  <c:v>3Q18</c:v>
                </c:pt>
                <c:pt idx="30">
                  <c:v>4Q18</c:v>
                </c:pt>
                <c:pt idx="31">
                  <c:v>1Q19</c:v>
                </c:pt>
                <c:pt idx="32">
                  <c:v>2Q19</c:v>
                </c:pt>
                <c:pt idx="33">
                  <c:v>3Q19</c:v>
                </c:pt>
                <c:pt idx="34">
                  <c:v>4Q19</c:v>
                </c:pt>
                <c:pt idx="35">
                  <c:v>1Q20</c:v>
                </c:pt>
                <c:pt idx="36">
                  <c:v>2Q20</c:v>
                </c:pt>
                <c:pt idx="37">
                  <c:v>3Q20</c:v>
                </c:pt>
                <c:pt idx="38">
                  <c:v>4Q20</c:v>
                </c:pt>
                <c:pt idx="39">
                  <c:v>1Q21</c:v>
                </c:pt>
                <c:pt idx="40">
                  <c:v>2Q21</c:v>
                </c:pt>
                <c:pt idx="41">
                  <c:v>3Q21</c:v>
                </c:pt>
                <c:pt idx="42">
                  <c:v>4Q21</c:v>
                </c:pt>
                <c:pt idx="43">
                  <c:v>1Q22</c:v>
                </c:pt>
                <c:pt idx="44">
                  <c:v>2Q22</c:v>
                </c:pt>
                <c:pt idx="45">
                  <c:v>3Q22</c:v>
                </c:pt>
                <c:pt idx="46">
                  <c:v>4Q22</c:v>
                </c:pt>
                <c:pt idx="47">
                  <c:v>1Q23</c:v>
                </c:pt>
                <c:pt idx="48">
                  <c:v>2Q23</c:v>
                </c:pt>
                <c:pt idx="49">
                  <c:v>3Q23</c:v>
                </c:pt>
                <c:pt idx="50">
                  <c:v>4Q23</c:v>
                </c:pt>
                <c:pt idx="51">
                  <c:v>1Q24</c:v>
                </c:pt>
                <c:pt idx="52">
                  <c:v>2Q24</c:v>
                </c:pt>
                <c:pt idx="53">
                  <c:v>3Q24</c:v>
                </c:pt>
              </c:strCache>
            </c:strRef>
          </c:xVal>
          <c:yVal>
            <c:numRef>
              <c:f>Sheet1!$E$53:$BF$53</c:f>
              <c:numCache>
                <c:formatCode>#,##0.00</c:formatCode>
                <c:ptCount val="54"/>
                <c:pt idx="0">
                  <c:v>77.380769230769218</c:v>
                </c:pt>
                <c:pt idx="1">
                  <c:v>77.203571428571422</c:v>
                </c:pt>
                <c:pt idx="2">
                  <c:v>76.461538461538453</c:v>
                </c:pt>
                <c:pt idx="3">
                  <c:v>66.565769230769234</c:v>
                </c:pt>
                <c:pt idx="4">
                  <c:v>56.926923076923075</c:v>
                </c:pt>
                <c:pt idx="5">
                  <c:v>58.267884615384624</c:v>
                </c:pt>
                <c:pt idx="6">
                  <c:v>63.302884615384599</c:v>
                </c:pt>
                <c:pt idx="7">
                  <c:v>63.185961538461548</c:v>
                </c:pt>
                <c:pt idx="8">
                  <c:v>63.568884615384604</c:v>
                </c:pt>
                <c:pt idx="9">
                  <c:v>60.80511538461537</c:v>
                </c:pt>
                <c:pt idx="10">
                  <c:v>60.623153846153855</c:v>
                </c:pt>
                <c:pt idx="11">
                  <c:v>59.323846153846148</c:v>
                </c:pt>
                <c:pt idx="12">
                  <c:v>57.553192307692321</c:v>
                </c:pt>
                <c:pt idx="13">
                  <c:v>54.470076923076931</c:v>
                </c:pt>
                <c:pt idx="14">
                  <c:v>53.301576923076922</c:v>
                </c:pt>
                <c:pt idx="15">
                  <c:v>50.83815384615383</c:v>
                </c:pt>
                <c:pt idx="16">
                  <c:v>50.215538461538465</c:v>
                </c:pt>
                <c:pt idx="17">
                  <c:v>48.245384615384616</c:v>
                </c:pt>
                <c:pt idx="18">
                  <c:v>43.988653846153852</c:v>
                </c:pt>
                <c:pt idx="19">
                  <c:v>40.261730769230766</c:v>
                </c:pt>
                <c:pt idx="20">
                  <c:v>39.132692307692309</c:v>
                </c:pt>
                <c:pt idx="21">
                  <c:v>38.882142857142867</c:v>
                </c:pt>
                <c:pt idx="22">
                  <c:v>42.651346153846148</c:v>
                </c:pt>
                <c:pt idx="23">
                  <c:v>47.554807692307698</c:v>
                </c:pt>
                <c:pt idx="24">
                  <c:v>49.838461538461537</c:v>
                </c:pt>
                <c:pt idx="25">
                  <c:v>50.339038461538472</c:v>
                </c:pt>
                <c:pt idx="26">
                  <c:v>55.348461538461549</c:v>
                </c:pt>
                <c:pt idx="27">
                  <c:v>57.807500000000005</c:v>
                </c:pt>
                <c:pt idx="28">
                  <c:v>59.009615384615373</c:v>
                </c:pt>
                <c:pt idx="29">
                  <c:v>68.209999999999994</c:v>
                </c:pt>
                <c:pt idx="30">
                  <c:v>74.684615384615384</c:v>
                </c:pt>
                <c:pt idx="31">
                  <c:v>77.052307692307707</c:v>
                </c:pt>
                <c:pt idx="32">
                  <c:v>67.249038461538447</c:v>
                </c:pt>
                <c:pt idx="33">
                  <c:v>59.035192307692299</c:v>
                </c:pt>
                <c:pt idx="34">
                  <c:v>60.588076923076905</c:v>
                </c:pt>
                <c:pt idx="35">
                  <c:v>55.34115384615383</c:v>
                </c:pt>
                <c:pt idx="36">
                  <c:v>52.443653846153836</c:v>
                </c:pt>
                <c:pt idx="37">
                  <c:v>53.316923076923075</c:v>
                </c:pt>
                <c:pt idx="38">
                  <c:v>52.703076923076921</c:v>
                </c:pt>
                <c:pt idx="39">
                  <c:v>53.612884615384615</c:v>
                </c:pt>
                <c:pt idx="40">
                  <c:v>57.431153846153826</c:v>
                </c:pt>
                <c:pt idx="41">
                  <c:v>60.441923076923061</c:v>
                </c:pt>
                <c:pt idx="42">
                  <c:v>79.267321428571421</c:v>
                </c:pt>
                <c:pt idx="43">
                  <c:v>85.788958333333326</c:v>
                </c:pt>
                <c:pt idx="44">
                  <c:v>115.45788461538459</c:v>
                </c:pt>
                <c:pt idx="45">
                  <c:v>175.52946428571428</c:v>
                </c:pt>
                <c:pt idx="46">
                  <c:v>181.47192307692313</c:v>
                </c:pt>
                <c:pt idx="47">
                  <c:v>118.49788461538459</c:v>
                </c:pt>
                <c:pt idx="48">
                  <c:v>73.639615384615382</c:v>
                </c:pt>
                <c:pt idx="49">
                  <c:v>64.044615384615383</c:v>
                </c:pt>
                <c:pt idx="50">
                  <c:v>69.634999999999991</c:v>
                </c:pt>
                <c:pt idx="51">
                  <c:v>70.3</c:v>
                </c:pt>
                <c:pt idx="52">
                  <c:v>75.39200000000001</c:v>
                </c:pt>
                <c:pt idx="53">
                  <c:v>77.938000000000002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DF-43BA-AECB-554166AF5028}"/>
            </c:ext>
          </c:extLst>
        </c:ser>
        <c:ser>
          <c:idx val="4"/>
          <c:order val="4"/>
          <c:tx>
            <c:strRef>
              <c:f>Sheet1!$C$54</c:f>
              <c:strCache>
                <c:ptCount val="1"/>
                <c:pt idx="0">
                  <c:v>ILB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Sheet1!$E$2:$BF$2</c:f>
              <c:strCache>
                <c:ptCount val="54"/>
                <c:pt idx="0">
                  <c:v>2Q11</c:v>
                </c:pt>
                <c:pt idx="1">
                  <c:v>3Q11</c:v>
                </c:pt>
                <c:pt idx="2">
                  <c:v>4Q11</c:v>
                </c:pt>
                <c:pt idx="3">
                  <c:v>1Q12</c:v>
                </c:pt>
                <c:pt idx="4">
                  <c:v>2Q12</c:v>
                </c:pt>
                <c:pt idx="5">
                  <c:v>3Q12</c:v>
                </c:pt>
                <c:pt idx="6">
                  <c:v>4Q12</c:v>
                </c:pt>
                <c:pt idx="7">
                  <c:v>1Q13</c:v>
                </c:pt>
                <c:pt idx="8">
                  <c:v>2Q13</c:v>
                </c:pt>
                <c:pt idx="9">
                  <c:v>3Q13</c:v>
                </c:pt>
                <c:pt idx="10">
                  <c:v>4Q13</c:v>
                </c:pt>
                <c:pt idx="11">
                  <c:v>1Q14</c:v>
                </c:pt>
                <c:pt idx="12">
                  <c:v>2Q14</c:v>
                </c:pt>
                <c:pt idx="13">
                  <c:v>3Q14</c:v>
                </c:pt>
                <c:pt idx="14">
                  <c:v>4Q14</c:v>
                </c:pt>
                <c:pt idx="15">
                  <c:v>1Q15</c:v>
                </c:pt>
                <c:pt idx="16">
                  <c:v>2Q15</c:v>
                </c:pt>
                <c:pt idx="17">
                  <c:v>3Q15</c:v>
                </c:pt>
                <c:pt idx="18">
                  <c:v>4Q15</c:v>
                </c:pt>
                <c:pt idx="19">
                  <c:v>1Q16</c:v>
                </c:pt>
                <c:pt idx="20">
                  <c:v>2Q16</c:v>
                </c:pt>
                <c:pt idx="21">
                  <c:v>3Q16</c:v>
                </c:pt>
                <c:pt idx="22">
                  <c:v>4Q16</c:v>
                </c:pt>
                <c:pt idx="23">
                  <c:v>1Q17</c:v>
                </c:pt>
                <c:pt idx="24">
                  <c:v>2Q17</c:v>
                </c:pt>
                <c:pt idx="25">
                  <c:v>3Q17</c:v>
                </c:pt>
                <c:pt idx="26">
                  <c:v>4Q17</c:v>
                </c:pt>
                <c:pt idx="27">
                  <c:v>1Q18</c:v>
                </c:pt>
                <c:pt idx="28">
                  <c:v>2Q18</c:v>
                </c:pt>
                <c:pt idx="29">
                  <c:v>3Q18</c:v>
                </c:pt>
                <c:pt idx="30">
                  <c:v>4Q18</c:v>
                </c:pt>
                <c:pt idx="31">
                  <c:v>1Q19</c:v>
                </c:pt>
                <c:pt idx="32">
                  <c:v>2Q19</c:v>
                </c:pt>
                <c:pt idx="33">
                  <c:v>3Q19</c:v>
                </c:pt>
                <c:pt idx="34">
                  <c:v>4Q19</c:v>
                </c:pt>
                <c:pt idx="35">
                  <c:v>1Q20</c:v>
                </c:pt>
                <c:pt idx="36">
                  <c:v>2Q20</c:v>
                </c:pt>
                <c:pt idx="37">
                  <c:v>3Q20</c:v>
                </c:pt>
                <c:pt idx="38">
                  <c:v>4Q20</c:v>
                </c:pt>
                <c:pt idx="39">
                  <c:v>1Q21</c:v>
                </c:pt>
                <c:pt idx="40">
                  <c:v>2Q21</c:v>
                </c:pt>
                <c:pt idx="41">
                  <c:v>3Q21</c:v>
                </c:pt>
                <c:pt idx="42">
                  <c:v>4Q21</c:v>
                </c:pt>
                <c:pt idx="43">
                  <c:v>1Q22</c:v>
                </c:pt>
                <c:pt idx="44">
                  <c:v>2Q22</c:v>
                </c:pt>
                <c:pt idx="45">
                  <c:v>3Q22</c:v>
                </c:pt>
                <c:pt idx="46">
                  <c:v>4Q22</c:v>
                </c:pt>
                <c:pt idx="47">
                  <c:v>1Q23</c:v>
                </c:pt>
                <c:pt idx="48">
                  <c:v>2Q23</c:v>
                </c:pt>
                <c:pt idx="49">
                  <c:v>3Q23</c:v>
                </c:pt>
                <c:pt idx="50">
                  <c:v>4Q23</c:v>
                </c:pt>
                <c:pt idx="51">
                  <c:v>1Q24</c:v>
                </c:pt>
                <c:pt idx="52">
                  <c:v>2Q24</c:v>
                </c:pt>
                <c:pt idx="53">
                  <c:v>3Q24</c:v>
                </c:pt>
              </c:strCache>
            </c:strRef>
          </c:xVal>
          <c:yVal>
            <c:numRef>
              <c:f>Sheet1!$E$54:$BF$54</c:f>
              <c:numCache>
                <c:formatCode>#,##0.00</c:formatCode>
                <c:ptCount val="54"/>
                <c:pt idx="0">
                  <c:v>47.730769230769234</c:v>
                </c:pt>
                <c:pt idx="1">
                  <c:v>47.8</c:v>
                </c:pt>
                <c:pt idx="2">
                  <c:v>48.323076923076918</c:v>
                </c:pt>
                <c:pt idx="3">
                  <c:v>49.048461538461538</c:v>
                </c:pt>
                <c:pt idx="4">
                  <c:v>41.946153846153841</c:v>
                </c:pt>
                <c:pt idx="5">
                  <c:v>42.934230769230773</c:v>
                </c:pt>
                <c:pt idx="6">
                  <c:v>46.644230769230759</c:v>
                </c:pt>
                <c:pt idx="7">
                  <c:v>46.558076923076932</c:v>
                </c:pt>
                <c:pt idx="8">
                  <c:v>46.840230769230757</c:v>
                </c:pt>
                <c:pt idx="9">
                  <c:v>44.80376923076922</c:v>
                </c:pt>
                <c:pt idx="10">
                  <c:v>44.669692307692316</c:v>
                </c:pt>
                <c:pt idx="11">
                  <c:v>43.712307692307689</c:v>
                </c:pt>
                <c:pt idx="12">
                  <c:v>42.40761538461539</c:v>
                </c:pt>
                <c:pt idx="13">
                  <c:v>40.13584615384616</c:v>
                </c:pt>
                <c:pt idx="14">
                  <c:v>39.274846153846156</c:v>
                </c:pt>
                <c:pt idx="15">
                  <c:v>37.459692307692293</c:v>
                </c:pt>
                <c:pt idx="16">
                  <c:v>37.00092307692308</c:v>
                </c:pt>
                <c:pt idx="17">
                  <c:v>35.549230769230768</c:v>
                </c:pt>
                <c:pt idx="18">
                  <c:v>32.412692307692311</c:v>
                </c:pt>
                <c:pt idx="19">
                  <c:v>29.666538461538462</c:v>
                </c:pt>
                <c:pt idx="20">
                  <c:v>28.834615384615383</c:v>
                </c:pt>
                <c:pt idx="21">
                  <c:v>28.650000000000006</c:v>
                </c:pt>
                <c:pt idx="22">
                  <c:v>31.427307692307689</c:v>
                </c:pt>
                <c:pt idx="23">
                  <c:v>35.040384615384617</c:v>
                </c:pt>
                <c:pt idx="24">
                  <c:v>36.723076923076917</c:v>
                </c:pt>
                <c:pt idx="25">
                  <c:v>37.091923076923081</c:v>
                </c:pt>
                <c:pt idx="26">
                  <c:v>40.783076923076933</c:v>
                </c:pt>
                <c:pt idx="27">
                  <c:v>42.595000000000006</c:v>
                </c:pt>
                <c:pt idx="28">
                  <c:v>43.480769230769219</c:v>
                </c:pt>
                <c:pt idx="29">
                  <c:v>50.26</c:v>
                </c:pt>
                <c:pt idx="30">
                  <c:v>55.030769230769224</c:v>
                </c:pt>
                <c:pt idx="31">
                  <c:v>56.775384615384631</c:v>
                </c:pt>
                <c:pt idx="32">
                  <c:v>49.551923076923067</c:v>
                </c:pt>
                <c:pt idx="33">
                  <c:v>43.499615384615375</c:v>
                </c:pt>
                <c:pt idx="34">
                  <c:v>44.643846153846141</c:v>
                </c:pt>
                <c:pt idx="35">
                  <c:v>40.777692307692298</c:v>
                </c:pt>
                <c:pt idx="36">
                  <c:v>38.6426923076923</c:v>
                </c:pt>
                <c:pt idx="37">
                  <c:v>39.286153846153844</c:v>
                </c:pt>
                <c:pt idx="38">
                  <c:v>38.833846153846153</c:v>
                </c:pt>
                <c:pt idx="39">
                  <c:v>39.504230769230766</c:v>
                </c:pt>
                <c:pt idx="40">
                  <c:v>42.31769230769229</c:v>
                </c:pt>
                <c:pt idx="41">
                  <c:v>44.53615384615383</c:v>
                </c:pt>
                <c:pt idx="42">
                  <c:v>58.407499999999999</c:v>
                </c:pt>
                <c:pt idx="43">
                  <c:v>63.212916666666658</c:v>
                </c:pt>
                <c:pt idx="44">
                  <c:v>85.074230769230752</c:v>
                </c:pt>
                <c:pt idx="45">
                  <c:v>129.33749999999998</c:v>
                </c:pt>
                <c:pt idx="46">
                  <c:v>133.71615384615387</c:v>
                </c:pt>
                <c:pt idx="47">
                  <c:v>87.314230769230747</c:v>
                </c:pt>
                <c:pt idx="48">
                  <c:v>54.260769230769228</c:v>
                </c:pt>
                <c:pt idx="49">
                  <c:v>47.190769230769227</c:v>
                </c:pt>
                <c:pt idx="50">
                  <c:v>51.309999999999995</c:v>
                </c:pt>
                <c:pt idx="51">
                  <c:v>51.8</c:v>
                </c:pt>
                <c:pt idx="52">
                  <c:v>55.552000000000007</c:v>
                </c:pt>
                <c:pt idx="53">
                  <c:v>57.427999999999997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FDF-43BA-AECB-554166AF5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9391487"/>
        <c:axId val="1439396767"/>
      </c:scatterChart>
      <c:valAx>
        <c:axId val="1439391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396767"/>
        <c:crosses val="autoZero"/>
        <c:crossBetween val="midCat"/>
      </c:valAx>
      <c:valAx>
        <c:axId val="143939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391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OnPeak Nosso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Sheet1!$C$13</c:f>
              <c:strCache>
                <c:ptCount val="1"/>
                <c:pt idx="0">
                  <c:v>Mass Hub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Sheet1!$D$13:$BE$13</c:f>
              <c:numCache>
                <c:formatCode>#,##0.00</c:formatCode>
                <c:ptCount val="54"/>
                <c:pt idx="0">
                  <c:v>64.261814699792964</c:v>
                </c:pt>
                <c:pt idx="1">
                  <c:v>48.451399711399709</c:v>
                </c:pt>
                <c:pt idx="2">
                  <c:v>55.682447204968945</c:v>
                </c:pt>
                <c:pt idx="3">
                  <c:v>41.802698412698412</c:v>
                </c:pt>
                <c:pt idx="4">
                  <c:v>33.436450216450211</c:v>
                </c:pt>
                <c:pt idx="5">
                  <c:v>34.683167388167391</c:v>
                </c:pt>
                <c:pt idx="6">
                  <c:v>45.859403218190401</c:v>
                </c:pt>
                <c:pt idx="7">
                  <c:v>51.190541062801934</c:v>
                </c:pt>
                <c:pt idx="8">
                  <c:v>90.262124098124104</c:v>
                </c:pt>
                <c:pt idx="9">
                  <c:v>45.042560606060611</c:v>
                </c:pt>
                <c:pt idx="10">
                  <c:v>53.595606060606059</c:v>
                </c:pt>
                <c:pt idx="11">
                  <c:v>68.111500345065565</c:v>
                </c:pt>
                <c:pt idx="12">
                  <c:v>167.26323448773448</c:v>
                </c:pt>
                <c:pt idx="13">
                  <c:v>44.322907647907648</c:v>
                </c:pt>
                <c:pt idx="14">
                  <c:v>41.34440836940837</c:v>
                </c:pt>
                <c:pt idx="15">
                  <c:v>48.108688024408849</c:v>
                </c:pt>
                <c:pt idx="16">
                  <c:v>88.852404761904765</c:v>
                </c:pt>
                <c:pt idx="17">
                  <c:v>28.405696969696972</c:v>
                </c:pt>
                <c:pt idx="18">
                  <c:v>42.609185645272596</c:v>
                </c:pt>
                <c:pt idx="19">
                  <c:v>33.076696969696968</c:v>
                </c:pt>
                <c:pt idx="20">
                  <c:v>30.818684265010351</c:v>
                </c:pt>
                <c:pt idx="21">
                  <c:v>28.310930735930736</c:v>
                </c:pt>
                <c:pt idx="22">
                  <c:v>42.546305037957218</c:v>
                </c:pt>
                <c:pt idx="23">
                  <c:v>38.683650793650791</c:v>
                </c:pt>
                <c:pt idx="24">
                  <c:v>33.988750988142293</c:v>
                </c:pt>
                <c:pt idx="25">
                  <c:v>33.052062582345194</c:v>
                </c:pt>
                <c:pt idx="26">
                  <c:v>31.319427191166323</c:v>
                </c:pt>
                <c:pt idx="27">
                  <c:v>53.59228715728716</c:v>
                </c:pt>
                <c:pt idx="28">
                  <c:v>62.105878787878787</c:v>
                </c:pt>
                <c:pt idx="29">
                  <c:v>35.200129870129864</c:v>
                </c:pt>
                <c:pt idx="30">
                  <c:v>42.777876212269803</c:v>
                </c:pt>
                <c:pt idx="31">
                  <c:v>50.515543478260874</c:v>
                </c:pt>
                <c:pt idx="32">
                  <c:v>45.139128427128433</c:v>
                </c:pt>
                <c:pt idx="33">
                  <c:v>26.265075757575762</c:v>
                </c:pt>
                <c:pt idx="34">
                  <c:v>26.538530303030303</c:v>
                </c:pt>
                <c:pt idx="35">
                  <c:v>37.906817115251904</c:v>
                </c:pt>
                <c:pt idx="36">
                  <c:v>22.767363636363637</c:v>
                </c:pt>
                <c:pt idx="37">
                  <c:v>20.5855</c:v>
                </c:pt>
                <c:pt idx="38">
                  <c:v>26.245106970324361</c:v>
                </c:pt>
                <c:pt idx="39">
                  <c:v>35.536651515151512</c:v>
                </c:pt>
                <c:pt idx="40">
                  <c:v>54.786072463768114</c:v>
                </c:pt>
                <c:pt idx="41">
                  <c:v>32.200803030303028</c:v>
                </c:pt>
                <c:pt idx="42">
                  <c:v>51.16104617604617</c:v>
                </c:pt>
                <c:pt idx="43">
                  <c:v>63.215341614906833</c:v>
                </c:pt>
                <c:pt idx="44">
                  <c:v>113.85523498964803</c:v>
                </c:pt>
                <c:pt idx="45">
                  <c:v>72.479617604617602</c:v>
                </c:pt>
                <c:pt idx="46">
                  <c:v>92.74165010351966</c:v>
                </c:pt>
                <c:pt idx="47">
                  <c:v>83.254920634920637</c:v>
                </c:pt>
                <c:pt idx="48">
                  <c:v>47.368714285714283</c:v>
                </c:pt>
                <c:pt idx="49">
                  <c:v>31.953181818181822</c:v>
                </c:pt>
                <c:pt idx="50">
                  <c:v>46.396876811594204</c:v>
                </c:pt>
                <c:pt idx="51">
                  <c:v>36.510706349206352</c:v>
                </c:pt>
                <c:pt idx="52">
                  <c:v>42.869077200577202</c:v>
                </c:pt>
                <c:pt idx="53">
                  <c:v>30.965649122807019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08-4686-9610-EA04B21E2A36}"/>
            </c:ext>
          </c:extLst>
        </c:ser>
        <c:ser>
          <c:idx val="1"/>
          <c:order val="1"/>
          <c:tx>
            <c:strRef>
              <c:f>Sheet1!$C$14</c:f>
              <c:strCache>
                <c:ptCount val="1"/>
                <c:pt idx="0">
                  <c:v>NY Zone 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Sheet1!$D$14:$BE$14</c:f>
              <c:numCache>
                <c:formatCode>#,##0.00</c:formatCode>
                <c:ptCount val="54"/>
                <c:pt idx="0">
                  <c:v>41.980467908902689</c:v>
                </c:pt>
                <c:pt idx="1">
                  <c:v>41.576847041847039</c:v>
                </c:pt>
                <c:pt idx="2">
                  <c:v>46.669384057971023</c:v>
                </c:pt>
                <c:pt idx="3">
                  <c:v>36.746666666666663</c:v>
                </c:pt>
                <c:pt idx="4">
                  <c:v>30.723773448773446</c:v>
                </c:pt>
                <c:pt idx="5">
                  <c:v>32.439307359307357</c:v>
                </c:pt>
                <c:pt idx="6">
                  <c:v>41.355761505212307</c:v>
                </c:pt>
                <c:pt idx="7">
                  <c:v>38.472494133885441</c:v>
                </c:pt>
                <c:pt idx="8">
                  <c:v>43.285911255411257</c:v>
                </c:pt>
                <c:pt idx="9">
                  <c:v>41.646909090909098</c:v>
                </c:pt>
                <c:pt idx="10">
                  <c:v>45.858848484848487</c:v>
                </c:pt>
                <c:pt idx="11">
                  <c:v>47.910261214630786</c:v>
                </c:pt>
                <c:pt idx="12">
                  <c:v>108.08499422799423</c:v>
                </c:pt>
                <c:pt idx="13">
                  <c:v>43.684112554112552</c:v>
                </c:pt>
                <c:pt idx="14">
                  <c:v>40.412388167388166</c:v>
                </c:pt>
                <c:pt idx="15">
                  <c:v>38.023039664378338</c:v>
                </c:pt>
                <c:pt idx="16">
                  <c:v>54.109582251082252</c:v>
                </c:pt>
                <c:pt idx="17">
                  <c:v>35.111696969696972</c:v>
                </c:pt>
                <c:pt idx="18">
                  <c:v>36.689744651483785</c:v>
                </c:pt>
                <c:pt idx="19">
                  <c:v>31.554500000000001</c:v>
                </c:pt>
                <c:pt idx="20">
                  <c:v>25.671248102139412</c:v>
                </c:pt>
                <c:pt idx="21">
                  <c:v>34.141831890331893</c:v>
                </c:pt>
                <c:pt idx="22">
                  <c:v>48.019042443064187</c:v>
                </c:pt>
                <c:pt idx="23">
                  <c:v>30.496482873851292</c:v>
                </c:pt>
                <c:pt idx="24">
                  <c:v>29.667526350461131</c:v>
                </c:pt>
                <c:pt idx="25">
                  <c:v>30.653499999999998</c:v>
                </c:pt>
                <c:pt idx="26">
                  <c:v>36.28124913733609</c:v>
                </c:pt>
                <c:pt idx="27">
                  <c:v>30.404813852813856</c:v>
                </c:pt>
                <c:pt idx="28">
                  <c:v>39.282909090909094</c:v>
                </c:pt>
                <c:pt idx="29">
                  <c:v>38.294617604617599</c:v>
                </c:pt>
                <c:pt idx="30">
                  <c:v>44.524998365478915</c:v>
                </c:pt>
                <c:pt idx="31">
                  <c:v>37.936888888888888</c:v>
                </c:pt>
                <c:pt idx="32">
                  <c:v>35.267098124098119</c:v>
                </c:pt>
                <c:pt idx="33">
                  <c:v>33.407333333333334</c:v>
                </c:pt>
                <c:pt idx="34">
                  <c:v>34.137363636363638</c:v>
                </c:pt>
                <c:pt idx="35">
                  <c:v>26.557402691511385</c:v>
                </c:pt>
                <c:pt idx="36">
                  <c:v>18.637530303030303</c:v>
                </c:pt>
                <c:pt idx="37">
                  <c:v>21.947348484848487</c:v>
                </c:pt>
                <c:pt idx="38">
                  <c:v>28.154285714285717</c:v>
                </c:pt>
                <c:pt idx="39">
                  <c:v>20.103060606060605</c:v>
                </c:pt>
                <c:pt idx="40">
                  <c:v>29.21854347826087</c:v>
                </c:pt>
                <c:pt idx="41">
                  <c:v>23.365075757575756</c:v>
                </c:pt>
                <c:pt idx="42">
                  <c:v>53.420360028860024</c:v>
                </c:pt>
                <c:pt idx="43">
                  <c:v>47.745741890959287</c:v>
                </c:pt>
                <c:pt idx="44">
                  <c:v>75.29974775707386</c:v>
                </c:pt>
                <c:pt idx="45">
                  <c:v>51.240404040404037</c:v>
                </c:pt>
                <c:pt idx="46">
                  <c:v>86.642260524499648</c:v>
                </c:pt>
                <c:pt idx="47">
                  <c:v>50.297907407407401</c:v>
                </c:pt>
                <c:pt idx="48">
                  <c:v>25.528353070175438</c:v>
                </c:pt>
                <c:pt idx="49">
                  <c:v>22.730370370370366</c:v>
                </c:pt>
                <c:pt idx="50">
                  <c:v>36.234925925925928</c:v>
                </c:pt>
                <c:pt idx="51">
                  <c:v>30.04837977296182</c:v>
                </c:pt>
                <c:pt idx="52">
                  <c:v>35.5804014939309</c:v>
                </c:pt>
                <c:pt idx="53">
                  <c:v>31.552528138528135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08-4686-9610-EA04B21E2A36}"/>
            </c:ext>
          </c:extLst>
        </c:ser>
        <c:ser>
          <c:idx val="2"/>
          <c:order val="2"/>
          <c:tx>
            <c:strRef>
              <c:f>Sheet1!$C$15</c:f>
              <c:strCache>
                <c:ptCount val="1"/>
                <c:pt idx="0">
                  <c:v>NY Zone 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Sheet1!$D$15:$BE$15</c:f>
              <c:numCache>
                <c:formatCode>#,##0.00</c:formatCode>
                <c:ptCount val="54"/>
                <c:pt idx="0">
                  <c:v>64.48140303657695</c:v>
                </c:pt>
                <c:pt idx="1">
                  <c:v>56.089668109668111</c:v>
                </c:pt>
                <c:pt idx="2">
                  <c:v>62.900405797101456</c:v>
                </c:pt>
                <c:pt idx="3">
                  <c:v>43.0368253968254</c:v>
                </c:pt>
                <c:pt idx="4">
                  <c:v>37.28948051948052</c:v>
                </c:pt>
                <c:pt idx="5">
                  <c:v>40.025764790764789</c:v>
                </c:pt>
                <c:pt idx="6">
                  <c:v>50.224281355562823</c:v>
                </c:pt>
                <c:pt idx="7">
                  <c:v>49.23673636991029</c:v>
                </c:pt>
                <c:pt idx="8">
                  <c:v>77.433966810966808</c:v>
                </c:pt>
                <c:pt idx="9">
                  <c:v>49.74404545454545</c:v>
                </c:pt>
                <c:pt idx="10">
                  <c:v>54.198681818181818</c:v>
                </c:pt>
                <c:pt idx="11">
                  <c:v>54.763788819875778</c:v>
                </c:pt>
                <c:pt idx="12">
                  <c:v>159.00977922077922</c:v>
                </c:pt>
                <c:pt idx="13">
                  <c:v>48.092409812409812</c:v>
                </c:pt>
                <c:pt idx="14">
                  <c:v>42.024531024531029</c:v>
                </c:pt>
                <c:pt idx="15">
                  <c:v>43.579272935302676</c:v>
                </c:pt>
                <c:pt idx="16">
                  <c:v>85.918012265512274</c:v>
                </c:pt>
                <c:pt idx="17">
                  <c:v>34.137909090909098</c:v>
                </c:pt>
                <c:pt idx="18">
                  <c:v>38.173947550034505</c:v>
                </c:pt>
                <c:pt idx="19">
                  <c:v>28.312515151515154</c:v>
                </c:pt>
                <c:pt idx="20">
                  <c:v>32.586247066942718</c:v>
                </c:pt>
                <c:pt idx="21">
                  <c:v>28.680922799422802</c:v>
                </c:pt>
                <c:pt idx="22">
                  <c:v>39.106844030365771</c:v>
                </c:pt>
                <c:pt idx="23">
                  <c:v>36.104026733500419</c:v>
                </c:pt>
                <c:pt idx="24">
                  <c:v>38.695967720685111</c:v>
                </c:pt>
                <c:pt idx="25">
                  <c:v>34.213312252964421</c:v>
                </c:pt>
                <c:pt idx="26">
                  <c:v>33.235438233264318</c:v>
                </c:pt>
                <c:pt idx="27">
                  <c:v>39.014849206349204</c:v>
                </c:pt>
                <c:pt idx="28">
                  <c:v>51.520893939393943</c:v>
                </c:pt>
                <c:pt idx="29">
                  <c:v>34.242085137085134</c:v>
                </c:pt>
                <c:pt idx="30">
                  <c:v>41.862603247248558</c:v>
                </c:pt>
                <c:pt idx="31">
                  <c:v>41.948980331262938</c:v>
                </c:pt>
                <c:pt idx="32">
                  <c:v>41.769322510822512</c:v>
                </c:pt>
                <c:pt idx="33">
                  <c:v>25.675212121212123</c:v>
                </c:pt>
                <c:pt idx="34">
                  <c:v>27.757590909090908</c:v>
                </c:pt>
                <c:pt idx="35">
                  <c:v>27.041592477570742</c:v>
                </c:pt>
                <c:pt idx="36">
                  <c:v>21.821515151515154</c:v>
                </c:pt>
                <c:pt idx="37">
                  <c:v>18.12709090909091</c:v>
                </c:pt>
                <c:pt idx="38">
                  <c:v>24.384120082815731</c:v>
                </c:pt>
                <c:pt idx="39">
                  <c:v>27.048060606060602</c:v>
                </c:pt>
                <c:pt idx="40">
                  <c:v>44.74026811594203</c:v>
                </c:pt>
                <c:pt idx="41">
                  <c:v>31.852136363636362</c:v>
                </c:pt>
                <c:pt idx="42">
                  <c:v>50.330430014430021</c:v>
                </c:pt>
                <c:pt idx="43">
                  <c:v>57.53588681849552</c:v>
                </c:pt>
                <c:pt idx="44">
                  <c:v>100.09894478951001</c:v>
                </c:pt>
                <c:pt idx="45">
                  <c:v>79.721219336219335</c:v>
                </c:pt>
                <c:pt idx="46">
                  <c:v>104.70613354037266</c:v>
                </c:pt>
                <c:pt idx="47">
                  <c:v>78.342851851851847</c:v>
                </c:pt>
                <c:pt idx="48">
                  <c:v>41.14305921052631</c:v>
                </c:pt>
                <c:pt idx="49">
                  <c:v>31.491984126984125</c:v>
                </c:pt>
                <c:pt idx="50">
                  <c:v>40.641259259259265</c:v>
                </c:pt>
                <c:pt idx="51">
                  <c:v>36.158452012383904</c:v>
                </c:pt>
                <c:pt idx="52">
                  <c:v>44.22421101774043</c:v>
                </c:pt>
                <c:pt idx="53">
                  <c:v>33.801184704184699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08-4686-9610-EA04B21E2A36}"/>
            </c:ext>
          </c:extLst>
        </c:ser>
        <c:ser>
          <c:idx val="3"/>
          <c:order val="3"/>
          <c:tx>
            <c:strRef>
              <c:f>Sheet1!$C$16</c:f>
              <c:strCache>
                <c:ptCount val="1"/>
                <c:pt idx="0">
                  <c:v>NY Zone J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Sheet1!$D$16:$BE$16</c:f>
              <c:numCache>
                <c:formatCode>#,##0.00</c:formatCode>
                <c:ptCount val="54"/>
                <c:pt idx="0">
                  <c:v>73.556140096618364</c:v>
                </c:pt>
                <c:pt idx="1">
                  <c:v>64.667085137085138</c:v>
                </c:pt>
                <c:pt idx="2">
                  <c:v>67.949359558316075</c:v>
                </c:pt>
                <c:pt idx="3">
                  <c:v>46.534761904761901</c:v>
                </c:pt>
                <c:pt idx="4">
                  <c:v>41.882720057720057</c:v>
                </c:pt>
                <c:pt idx="5">
                  <c:v>41.838953823953823</c:v>
                </c:pt>
                <c:pt idx="6">
                  <c:v>53.598488249609524</c:v>
                </c:pt>
                <c:pt idx="7">
                  <c:v>50.661049689440993</c:v>
                </c:pt>
                <c:pt idx="8">
                  <c:v>84.797114718614708</c:v>
                </c:pt>
                <c:pt idx="9">
                  <c:v>52.98268181818181</c:v>
                </c:pt>
                <c:pt idx="10">
                  <c:v>58.230545454545457</c:v>
                </c:pt>
                <c:pt idx="11">
                  <c:v>55.131759489302965</c:v>
                </c:pt>
                <c:pt idx="12">
                  <c:v>164.37607503607504</c:v>
                </c:pt>
                <c:pt idx="13">
                  <c:v>49.636334776334785</c:v>
                </c:pt>
                <c:pt idx="14">
                  <c:v>42.759487734487742</c:v>
                </c:pt>
                <c:pt idx="15">
                  <c:v>44.013627002288331</c:v>
                </c:pt>
                <c:pt idx="16">
                  <c:v>87.407331168831163</c:v>
                </c:pt>
                <c:pt idx="17">
                  <c:v>35.584196969696968</c:v>
                </c:pt>
                <c:pt idx="18">
                  <c:v>40.172988267770876</c:v>
                </c:pt>
                <c:pt idx="19">
                  <c:v>29.109848484848484</c:v>
                </c:pt>
                <c:pt idx="20">
                  <c:v>33.510411663216011</c:v>
                </c:pt>
                <c:pt idx="21">
                  <c:v>30.481922077922079</c:v>
                </c:pt>
                <c:pt idx="22">
                  <c:v>41.280381297446517</c:v>
                </c:pt>
                <c:pt idx="23">
                  <c:v>37.347777777777772</c:v>
                </c:pt>
                <c:pt idx="24">
                  <c:v>39.614621212121214</c:v>
                </c:pt>
                <c:pt idx="25">
                  <c:v>38.564620553359681</c:v>
                </c:pt>
                <c:pt idx="26">
                  <c:v>37.027860593512763</c:v>
                </c:pt>
                <c:pt idx="27">
                  <c:v>41.110870851370855</c:v>
                </c:pt>
                <c:pt idx="28">
                  <c:v>61.968030303030311</c:v>
                </c:pt>
                <c:pt idx="29">
                  <c:v>36.411731601731596</c:v>
                </c:pt>
                <c:pt idx="30">
                  <c:v>46.819680723548004</c:v>
                </c:pt>
                <c:pt idx="31">
                  <c:v>43.554357487922708</c:v>
                </c:pt>
                <c:pt idx="32">
                  <c:v>45.156696248196248</c:v>
                </c:pt>
                <c:pt idx="33">
                  <c:v>29.522515151515154</c:v>
                </c:pt>
                <c:pt idx="34">
                  <c:v>31.131</c:v>
                </c:pt>
                <c:pt idx="35">
                  <c:v>29.108209799861971</c:v>
                </c:pt>
                <c:pt idx="36">
                  <c:v>23.827075757575756</c:v>
                </c:pt>
                <c:pt idx="37">
                  <c:v>19.00539393939394</c:v>
                </c:pt>
                <c:pt idx="38">
                  <c:v>27.317177363699102</c:v>
                </c:pt>
                <c:pt idx="39">
                  <c:v>28.064727272727271</c:v>
                </c:pt>
                <c:pt idx="40">
                  <c:v>47.706318840579712</c:v>
                </c:pt>
                <c:pt idx="41">
                  <c:v>32.653666666666673</c:v>
                </c:pt>
                <c:pt idx="42">
                  <c:v>54.727503607503614</c:v>
                </c:pt>
                <c:pt idx="43">
                  <c:v>59.742104899930986</c:v>
                </c:pt>
                <c:pt idx="44">
                  <c:v>104.26352795031056</c:v>
                </c:pt>
                <c:pt idx="45">
                  <c:v>81.323484848484853</c:v>
                </c:pt>
                <c:pt idx="46">
                  <c:v>109.42810282953762</c:v>
                </c:pt>
                <c:pt idx="47">
                  <c:v>80.573870370370372</c:v>
                </c:pt>
                <c:pt idx="48">
                  <c:v>41.633263157894739</c:v>
                </c:pt>
                <c:pt idx="49">
                  <c:v>32.185793650793649</c:v>
                </c:pt>
                <c:pt idx="50">
                  <c:v>42.12811111111111</c:v>
                </c:pt>
                <c:pt idx="51">
                  <c:v>37.348132094943246</c:v>
                </c:pt>
                <c:pt idx="52">
                  <c:v>49.230323685029568</c:v>
                </c:pt>
                <c:pt idx="53">
                  <c:v>35.921354256854258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508-4686-9610-EA04B21E2A36}"/>
            </c:ext>
          </c:extLst>
        </c:ser>
        <c:ser>
          <c:idx val="4"/>
          <c:order val="4"/>
          <c:tx>
            <c:strRef>
              <c:f>Sheet1!$C$17</c:f>
              <c:strCache>
                <c:ptCount val="1"/>
                <c:pt idx="0">
                  <c:v>PJM West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Sheet1!$D$17:$BE$17</c:f>
              <c:numCache>
                <c:formatCode>#,##0.00</c:formatCode>
                <c:ptCount val="54"/>
                <c:pt idx="0">
                  <c:v>51.27090372670807</c:v>
                </c:pt>
                <c:pt idx="1">
                  <c:v>56.439653679653681</c:v>
                </c:pt>
                <c:pt idx="2">
                  <c:v>58.105723257418909</c:v>
                </c:pt>
                <c:pt idx="3">
                  <c:v>39.969365079365076</c:v>
                </c:pt>
                <c:pt idx="4">
                  <c:v>34.78308802308802</c:v>
                </c:pt>
                <c:pt idx="5">
                  <c:v>38.892777777777773</c:v>
                </c:pt>
                <c:pt idx="6">
                  <c:v>45.374590824888308</c:v>
                </c:pt>
                <c:pt idx="7">
                  <c:v>40.347825741890958</c:v>
                </c:pt>
                <c:pt idx="8">
                  <c:v>41.670032467532465</c:v>
                </c:pt>
                <c:pt idx="9">
                  <c:v>46.203499999999998</c:v>
                </c:pt>
                <c:pt idx="10">
                  <c:v>49.806939393939388</c:v>
                </c:pt>
                <c:pt idx="11">
                  <c:v>42.919132160110422</c:v>
                </c:pt>
                <c:pt idx="12">
                  <c:v>114.74184848484849</c:v>
                </c:pt>
                <c:pt idx="13">
                  <c:v>50.709199134199139</c:v>
                </c:pt>
                <c:pt idx="14">
                  <c:v>43.177561327561328</c:v>
                </c:pt>
                <c:pt idx="15">
                  <c:v>42.197912766104984</c:v>
                </c:pt>
                <c:pt idx="16">
                  <c:v>60.227598845598841</c:v>
                </c:pt>
                <c:pt idx="17">
                  <c:v>40.458393939393943</c:v>
                </c:pt>
                <c:pt idx="18">
                  <c:v>39.136404416839206</c:v>
                </c:pt>
                <c:pt idx="19">
                  <c:v>33.018803030303026</c:v>
                </c:pt>
                <c:pt idx="20">
                  <c:v>31.49476224982747</c:v>
                </c:pt>
                <c:pt idx="21">
                  <c:v>32.066955266955269</c:v>
                </c:pt>
                <c:pt idx="22">
                  <c:v>40.74319875776397</c:v>
                </c:pt>
                <c:pt idx="23">
                  <c:v>34.308095238095241</c:v>
                </c:pt>
                <c:pt idx="24">
                  <c:v>32.455206851119897</c:v>
                </c:pt>
                <c:pt idx="25">
                  <c:v>33.088938076416341</c:v>
                </c:pt>
                <c:pt idx="26">
                  <c:v>34.819861973775012</c:v>
                </c:pt>
                <c:pt idx="27">
                  <c:v>36.268412698412696</c:v>
                </c:pt>
                <c:pt idx="28">
                  <c:v>47.433984848484847</c:v>
                </c:pt>
                <c:pt idx="29">
                  <c:v>39.731782106782106</c:v>
                </c:pt>
                <c:pt idx="30">
                  <c:v>40.059399585921319</c:v>
                </c:pt>
                <c:pt idx="31">
                  <c:v>39.402772946859905</c:v>
                </c:pt>
                <c:pt idx="32">
                  <c:v>33.790931457431462</c:v>
                </c:pt>
                <c:pt idx="33">
                  <c:v>28.541227272727273</c:v>
                </c:pt>
                <c:pt idx="34">
                  <c:v>31.143575757575757</c:v>
                </c:pt>
                <c:pt idx="35">
                  <c:v>29.892982746721874</c:v>
                </c:pt>
                <c:pt idx="36">
                  <c:v>22.47369696969697</c:v>
                </c:pt>
                <c:pt idx="37">
                  <c:v>20.79125757575758</c:v>
                </c:pt>
                <c:pt idx="38">
                  <c:v>28.243802622498276</c:v>
                </c:pt>
                <c:pt idx="39">
                  <c:v>26.435606060606062</c:v>
                </c:pt>
                <c:pt idx="40">
                  <c:v>35.087623188405793</c:v>
                </c:pt>
                <c:pt idx="41">
                  <c:v>33.709833333333336</c:v>
                </c:pt>
                <c:pt idx="42">
                  <c:v>51.324776334776338</c:v>
                </c:pt>
                <c:pt idx="43">
                  <c:v>62.574623878536926</c:v>
                </c:pt>
                <c:pt idx="44">
                  <c:v>58.327188405797102</c:v>
                </c:pt>
                <c:pt idx="45">
                  <c:v>92.998672438672429</c:v>
                </c:pt>
                <c:pt idx="46">
                  <c:v>110.99512870945479</c:v>
                </c:pt>
                <c:pt idx="47">
                  <c:v>71.602380952380955</c:v>
                </c:pt>
                <c:pt idx="48">
                  <c:v>36.491502760524497</c:v>
                </c:pt>
                <c:pt idx="49">
                  <c:v>35.406727272727274</c:v>
                </c:pt>
                <c:pt idx="50">
                  <c:v>43.272579710144925</c:v>
                </c:pt>
                <c:pt idx="51">
                  <c:v>42.170847041847047</c:v>
                </c:pt>
                <c:pt idx="52">
                  <c:v>35.756594516594511</c:v>
                </c:pt>
                <c:pt idx="53">
                  <c:v>37.93309941520468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508-4686-9610-EA04B21E2A36}"/>
            </c:ext>
          </c:extLst>
        </c:ser>
        <c:ser>
          <c:idx val="5"/>
          <c:order val="5"/>
          <c:tx>
            <c:strRef>
              <c:f>Sheet1!$C$18</c:f>
              <c:strCache>
                <c:ptCount val="1"/>
                <c:pt idx="0">
                  <c:v>PJM East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Sheet1!$D$18:$BE$18</c:f>
              <c:numCache>
                <c:formatCode>#,##0.00</c:formatCode>
                <c:ptCount val="54"/>
                <c:pt idx="0">
                  <c:v>60.038860593512766</c:v>
                </c:pt>
                <c:pt idx="1">
                  <c:v>61.076428571428572</c:v>
                </c:pt>
                <c:pt idx="2">
                  <c:v>68.605987922705324</c:v>
                </c:pt>
                <c:pt idx="3">
                  <c:v>42.19</c:v>
                </c:pt>
                <c:pt idx="4">
                  <c:v>38.409927849927847</c:v>
                </c:pt>
                <c:pt idx="5">
                  <c:v>38.276053391053388</c:v>
                </c:pt>
                <c:pt idx="6">
                  <c:v>52.984506556245684</c:v>
                </c:pt>
                <c:pt idx="7">
                  <c:v>44.961078674948247</c:v>
                </c:pt>
                <c:pt idx="8">
                  <c:v>42.943458152958158</c:v>
                </c:pt>
                <c:pt idx="9">
                  <c:v>48.497484848484845</c:v>
                </c:pt>
                <c:pt idx="10">
                  <c:v>56.063818181818171</c:v>
                </c:pt>
                <c:pt idx="11">
                  <c:v>44.350704968944093</c:v>
                </c:pt>
                <c:pt idx="12">
                  <c:v>138.28597763347764</c:v>
                </c:pt>
                <c:pt idx="13">
                  <c:v>54.009357864357867</c:v>
                </c:pt>
                <c:pt idx="14">
                  <c:v>47.299444444444447</c:v>
                </c:pt>
                <c:pt idx="15">
                  <c:v>51.029115872685672</c:v>
                </c:pt>
                <c:pt idx="16">
                  <c:v>75.413528860028862</c:v>
                </c:pt>
                <c:pt idx="17">
                  <c:v>40.366500000000002</c:v>
                </c:pt>
                <c:pt idx="18">
                  <c:v>39.09053830227743</c:v>
                </c:pt>
                <c:pt idx="19">
                  <c:v>32.495030303030298</c:v>
                </c:pt>
                <c:pt idx="20">
                  <c:v>33.267191856452726</c:v>
                </c:pt>
                <c:pt idx="21">
                  <c:v>28.69549062049062</c:v>
                </c:pt>
                <c:pt idx="22">
                  <c:v>44.272330917874392</c:v>
                </c:pt>
                <c:pt idx="23">
                  <c:v>30.098253968253971</c:v>
                </c:pt>
                <c:pt idx="24">
                  <c:v>34.495299077733861</c:v>
                </c:pt>
                <c:pt idx="25">
                  <c:v>32.731915678524373</c:v>
                </c:pt>
                <c:pt idx="26">
                  <c:v>33.801773636991022</c:v>
                </c:pt>
                <c:pt idx="27">
                  <c:v>38.346428571428575</c:v>
                </c:pt>
                <c:pt idx="28">
                  <c:v>50.604560606060609</c:v>
                </c:pt>
                <c:pt idx="29">
                  <c:v>35.204357864357867</c:v>
                </c:pt>
                <c:pt idx="30">
                  <c:v>43.61328756674294</c:v>
                </c:pt>
                <c:pt idx="31">
                  <c:v>45.325698412698415</c:v>
                </c:pt>
                <c:pt idx="32">
                  <c:v>33.259286435786436</c:v>
                </c:pt>
                <c:pt idx="33">
                  <c:v>25.786363636363635</c:v>
                </c:pt>
                <c:pt idx="34">
                  <c:v>31.10201515151515</c:v>
                </c:pt>
                <c:pt idx="35">
                  <c:v>25.176485162180814</c:v>
                </c:pt>
                <c:pt idx="36">
                  <c:v>20.234681818181816</c:v>
                </c:pt>
                <c:pt idx="37">
                  <c:v>18.022409090909093</c:v>
                </c:pt>
                <c:pt idx="38">
                  <c:v>26.865845410628015</c:v>
                </c:pt>
                <c:pt idx="39">
                  <c:v>24.419075757575758</c:v>
                </c:pt>
                <c:pt idx="40">
                  <c:v>36.663985507246373</c:v>
                </c:pt>
                <c:pt idx="41">
                  <c:v>28.912606060606063</c:v>
                </c:pt>
                <c:pt idx="42">
                  <c:v>48.283932178932183</c:v>
                </c:pt>
                <c:pt idx="43">
                  <c:v>51.524962042788133</c:v>
                </c:pt>
                <c:pt idx="44">
                  <c:v>56.801347826086953</c:v>
                </c:pt>
                <c:pt idx="45">
                  <c:v>67.66518037518037</c:v>
                </c:pt>
                <c:pt idx="46">
                  <c:v>106.67130676328503</c:v>
                </c:pt>
                <c:pt idx="47">
                  <c:v>66.262380952380951</c:v>
                </c:pt>
                <c:pt idx="48">
                  <c:v>31.476942374051067</c:v>
                </c:pt>
                <c:pt idx="49">
                  <c:v>23.077818181818184</c:v>
                </c:pt>
                <c:pt idx="50">
                  <c:v>44.252884057971016</c:v>
                </c:pt>
                <c:pt idx="51">
                  <c:v>31.776874458874456</c:v>
                </c:pt>
                <c:pt idx="52">
                  <c:v>30.818838383838379</c:v>
                </c:pt>
                <c:pt idx="53">
                  <c:v>30.048579782790309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508-4686-9610-EA04B21E2A36}"/>
            </c:ext>
          </c:extLst>
        </c:ser>
        <c:ser>
          <c:idx val="6"/>
          <c:order val="6"/>
          <c:tx>
            <c:strRef>
              <c:f>Sheet1!$C$19</c:f>
              <c:strCache>
                <c:ptCount val="1"/>
                <c:pt idx="0">
                  <c:v>AEP Dayton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Sheet1!$D$19:$BE$19</c:f>
              <c:numCache>
                <c:formatCode>#,##0.00</c:formatCode>
                <c:ptCount val="54"/>
                <c:pt idx="0">
                  <c:v>41.477703933747414</c:v>
                </c:pt>
                <c:pt idx="1">
                  <c:v>51.111334776334765</c:v>
                </c:pt>
                <c:pt idx="2">
                  <c:v>50.570670462387852</c:v>
                </c:pt>
                <c:pt idx="3">
                  <c:v>37.411269841269842</c:v>
                </c:pt>
                <c:pt idx="4">
                  <c:v>32.13608225108225</c:v>
                </c:pt>
                <c:pt idx="5">
                  <c:v>34.642936507936504</c:v>
                </c:pt>
                <c:pt idx="6">
                  <c:v>44.680429697431997</c:v>
                </c:pt>
                <c:pt idx="7">
                  <c:v>37.916310904071771</c:v>
                </c:pt>
                <c:pt idx="8">
                  <c:v>37.99457575757576</c:v>
                </c:pt>
                <c:pt idx="9">
                  <c:v>41.748030303030298</c:v>
                </c:pt>
                <c:pt idx="10">
                  <c:v>41.622787878787875</c:v>
                </c:pt>
                <c:pt idx="11">
                  <c:v>35.971644237405108</c:v>
                </c:pt>
                <c:pt idx="12">
                  <c:v>78.824140692640697</c:v>
                </c:pt>
                <c:pt idx="13">
                  <c:v>50.581370851370849</c:v>
                </c:pt>
                <c:pt idx="14">
                  <c:v>38.233787878787879</c:v>
                </c:pt>
                <c:pt idx="15">
                  <c:v>39.960312391651065</c:v>
                </c:pt>
                <c:pt idx="16">
                  <c:v>43.021378787878781</c:v>
                </c:pt>
                <c:pt idx="17">
                  <c:v>36.749893939393935</c:v>
                </c:pt>
                <c:pt idx="18">
                  <c:v>35.821697722567286</c:v>
                </c:pt>
                <c:pt idx="19">
                  <c:v>30.850651515151515</c:v>
                </c:pt>
                <c:pt idx="20">
                  <c:v>27.572697722567288</c:v>
                </c:pt>
                <c:pt idx="21">
                  <c:v>31.32154401154401</c:v>
                </c:pt>
                <c:pt idx="22">
                  <c:v>37.669118357487925</c:v>
                </c:pt>
                <c:pt idx="23">
                  <c:v>32.359158730158732</c:v>
                </c:pt>
                <c:pt idx="24">
                  <c:v>30.8373906455863</c:v>
                </c:pt>
                <c:pt idx="25">
                  <c:v>32.809404479578397</c:v>
                </c:pt>
                <c:pt idx="26">
                  <c:v>36.507957211870256</c:v>
                </c:pt>
                <c:pt idx="27">
                  <c:v>31.797301587301586</c:v>
                </c:pt>
                <c:pt idx="28">
                  <c:v>39.17881818181818</c:v>
                </c:pt>
                <c:pt idx="29">
                  <c:v>41.729451659451662</c:v>
                </c:pt>
                <c:pt idx="30">
                  <c:v>39.543889070502338</c:v>
                </c:pt>
                <c:pt idx="31">
                  <c:v>38.225219461697726</c:v>
                </c:pt>
                <c:pt idx="32">
                  <c:v>31.360538961038959</c:v>
                </c:pt>
                <c:pt idx="33">
                  <c:v>27.77148484848485</c:v>
                </c:pt>
                <c:pt idx="34">
                  <c:v>33.598060606060606</c:v>
                </c:pt>
                <c:pt idx="35">
                  <c:v>30.865942374051073</c:v>
                </c:pt>
                <c:pt idx="36">
                  <c:v>22.04157575757576</c:v>
                </c:pt>
                <c:pt idx="37">
                  <c:v>22.022848484848485</c:v>
                </c:pt>
                <c:pt idx="38">
                  <c:v>28.668129744651484</c:v>
                </c:pt>
                <c:pt idx="39">
                  <c:v>26.331515151515152</c:v>
                </c:pt>
                <c:pt idx="40">
                  <c:v>34.913014492753625</c:v>
                </c:pt>
                <c:pt idx="41">
                  <c:v>35.846378787878784</c:v>
                </c:pt>
                <c:pt idx="42">
                  <c:v>50.685129870129863</c:v>
                </c:pt>
                <c:pt idx="43">
                  <c:v>60.238046928916496</c:v>
                </c:pt>
                <c:pt idx="44">
                  <c:v>47.255189786059354</c:v>
                </c:pt>
                <c:pt idx="45">
                  <c:v>97.48339105339106</c:v>
                </c:pt>
                <c:pt idx="46">
                  <c:v>102.72623119392684</c:v>
                </c:pt>
                <c:pt idx="47">
                  <c:v>77.582595238095237</c:v>
                </c:pt>
                <c:pt idx="48">
                  <c:v>32.010147342995168</c:v>
                </c:pt>
                <c:pt idx="49">
                  <c:v>33.18275757575757</c:v>
                </c:pt>
                <c:pt idx="50">
                  <c:v>37.904289855072463</c:v>
                </c:pt>
                <c:pt idx="51">
                  <c:v>35.394136363636363</c:v>
                </c:pt>
                <c:pt idx="52">
                  <c:v>31.18077200577201</c:v>
                </c:pt>
                <c:pt idx="53">
                  <c:v>36.079448621553887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508-4686-9610-EA04B21E2A36}"/>
            </c:ext>
          </c:extLst>
        </c:ser>
        <c:ser>
          <c:idx val="7"/>
          <c:order val="7"/>
          <c:tx>
            <c:strRef>
              <c:f>Sheet1!$C$20</c:f>
              <c:strCache>
                <c:ptCount val="1"/>
                <c:pt idx="0">
                  <c:v>Cinergy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Sheet1!$D$20:$BE$20</c:f>
              <c:numCache>
                <c:formatCode>#,##0.00</c:formatCode>
                <c:ptCount val="54"/>
                <c:pt idx="0">
                  <c:v>41.516337129054527</c:v>
                </c:pt>
                <c:pt idx="1">
                  <c:v>51.00366522366523</c:v>
                </c:pt>
                <c:pt idx="2">
                  <c:v>50.528297101449276</c:v>
                </c:pt>
                <c:pt idx="3">
                  <c:v>37.525238095238102</c:v>
                </c:pt>
                <c:pt idx="4">
                  <c:v>32.203585858585861</c:v>
                </c:pt>
                <c:pt idx="5">
                  <c:v>34.758917748917746</c:v>
                </c:pt>
                <c:pt idx="6">
                  <c:v>44.979153681304716</c:v>
                </c:pt>
                <c:pt idx="7">
                  <c:v>38.03149206349206</c:v>
                </c:pt>
                <c:pt idx="8">
                  <c:v>37.709235930735936</c:v>
                </c:pt>
                <c:pt idx="9">
                  <c:v>41.92671212121212</c:v>
                </c:pt>
                <c:pt idx="10">
                  <c:v>41.777878787878784</c:v>
                </c:pt>
                <c:pt idx="11">
                  <c:v>36.056928571428564</c:v>
                </c:pt>
                <c:pt idx="12">
                  <c:v>78.780328282828279</c:v>
                </c:pt>
                <c:pt idx="13">
                  <c:v>50.701883116883117</c:v>
                </c:pt>
                <c:pt idx="14">
                  <c:v>38.223997113997115</c:v>
                </c:pt>
                <c:pt idx="15">
                  <c:v>39.031110186533532</c:v>
                </c:pt>
                <c:pt idx="16">
                  <c:v>42.912969696969697</c:v>
                </c:pt>
                <c:pt idx="17">
                  <c:v>35.534318181818179</c:v>
                </c:pt>
                <c:pt idx="18">
                  <c:v>35.173816425120776</c:v>
                </c:pt>
                <c:pt idx="19">
                  <c:v>30.812878787878788</c:v>
                </c:pt>
                <c:pt idx="20">
                  <c:v>27.35601207729469</c:v>
                </c:pt>
                <c:pt idx="21">
                  <c:v>31.579184704184701</c:v>
                </c:pt>
                <c:pt idx="22">
                  <c:v>38.289080745341614</c:v>
                </c:pt>
                <c:pt idx="23">
                  <c:v>32.371603174603173</c:v>
                </c:pt>
                <c:pt idx="24">
                  <c:v>30.923540184453227</c:v>
                </c:pt>
                <c:pt idx="25">
                  <c:v>32.981293807641634</c:v>
                </c:pt>
                <c:pt idx="26">
                  <c:v>36.775514147688064</c:v>
                </c:pt>
                <c:pt idx="27">
                  <c:v>31.728571428571428</c:v>
                </c:pt>
                <c:pt idx="28">
                  <c:v>38.090348484848484</c:v>
                </c:pt>
                <c:pt idx="29">
                  <c:v>42.093210678210674</c:v>
                </c:pt>
                <c:pt idx="30">
                  <c:v>39.559142058043655</c:v>
                </c:pt>
                <c:pt idx="31">
                  <c:v>38.561378881987572</c:v>
                </c:pt>
                <c:pt idx="32">
                  <c:v>31.418778499278499</c:v>
                </c:pt>
                <c:pt idx="33">
                  <c:v>27.869136363636368</c:v>
                </c:pt>
                <c:pt idx="34">
                  <c:v>33.960454545454546</c:v>
                </c:pt>
                <c:pt idx="35">
                  <c:v>31.059381642512079</c:v>
                </c:pt>
                <c:pt idx="36">
                  <c:v>22.083484848484847</c:v>
                </c:pt>
                <c:pt idx="37">
                  <c:v>22.041227272727269</c:v>
                </c:pt>
                <c:pt idx="38">
                  <c:v>29.028005521048996</c:v>
                </c:pt>
                <c:pt idx="39">
                  <c:v>26.365469696969697</c:v>
                </c:pt>
                <c:pt idx="40">
                  <c:v>35.314586956521737</c:v>
                </c:pt>
                <c:pt idx="41">
                  <c:v>36.364303030303027</c:v>
                </c:pt>
                <c:pt idx="42">
                  <c:v>50.87348484848485</c:v>
                </c:pt>
                <c:pt idx="43">
                  <c:v>59.594313319530706</c:v>
                </c:pt>
                <c:pt idx="44">
                  <c:v>47.194444789510008</c:v>
                </c:pt>
                <c:pt idx="45">
                  <c:v>97.687164502164492</c:v>
                </c:pt>
                <c:pt idx="46">
                  <c:v>102.836099378882</c:v>
                </c:pt>
                <c:pt idx="47">
                  <c:v>77.191571428571422</c:v>
                </c:pt>
                <c:pt idx="48">
                  <c:v>31.936837129054524</c:v>
                </c:pt>
                <c:pt idx="49">
                  <c:v>33.121454545454547</c:v>
                </c:pt>
                <c:pt idx="50">
                  <c:v>38.017985507246379</c:v>
                </c:pt>
                <c:pt idx="51">
                  <c:v>35.225163059163059</c:v>
                </c:pt>
                <c:pt idx="52">
                  <c:v>31.263795093795096</c:v>
                </c:pt>
                <c:pt idx="53">
                  <c:v>35.992430659983292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508-4686-9610-EA04B21E2A36}"/>
            </c:ext>
          </c:extLst>
        </c:ser>
        <c:ser>
          <c:idx val="8"/>
          <c:order val="8"/>
          <c:tx>
            <c:strRef>
              <c:f>Sheet1!$C$21</c:f>
              <c:strCache>
                <c:ptCount val="1"/>
                <c:pt idx="0">
                  <c:v>NI Hub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Sheet1!$D$21:$BE$21</c:f>
              <c:numCache>
                <c:formatCode>#,##0.00</c:formatCode>
                <c:ptCount val="54"/>
                <c:pt idx="0">
                  <c:v>39.149719116632163</c:v>
                </c:pt>
                <c:pt idx="1">
                  <c:v>44.289992784992783</c:v>
                </c:pt>
                <c:pt idx="2">
                  <c:v>48.25713285024154</c:v>
                </c:pt>
                <c:pt idx="3">
                  <c:v>33.157301587301589</c:v>
                </c:pt>
                <c:pt idx="4">
                  <c:v>29.963383838383837</c:v>
                </c:pt>
                <c:pt idx="5">
                  <c:v>31.673809523809524</c:v>
                </c:pt>
                <c:pt idx="6">
                  <c:v>40.457831172133233</c:v>
                </c:pt>
                <c:pt idx="7">
                  <c:v>33.73277536231884</c:v>
                </c:pt>
                <c:pt idx="8">
                  <c:v>34.836639971139967</c:v>
                </c:pt>
                <c:pt idx="9">
                  <c:v>39.918954545454547</c:v>
                </c:pt>
                <c:pt idx="10">
                  <c:v>43.037636363636359</c:v>
                </c:pt>
                <c:pt idx="11">
                  <c:v>35.486336438923395</c:v>
                </c:pt>
                <c:pt idx="12">
                  <c:v>81.242036075036083</c:v>
                </c:pt>
                <c:pt idx="13">
                  <c:v>46.02251803751804</c:v>
                </c:pt>
                <c:pt idx="14">
                  <c:v>37.579292929292926</c:v>
                </c:pt>
                <c:pt idx="15">
                  <c:v>37.544140836280427</c:v>
                </c:pt>
                <c:pt idx="16">
                  <c:v>40.826035353535353</c:v>
                </c:pt>
                <c:pt idx="17">
                  <c:v>31.46827272727273</c:v>
                </c:pt>
                <c:pt idx="18">
                  <c:v>34.027646652864043</c:v>
                </c:pt>
                <c:pt idx="19">
                  <c:v>29.597893939393941</c:v>
                </c:pt>
                <c:pt idx="20">
                  <c:v>27.347407522429265</c:v>
                </c:pt>
                <c:pt idx="21">
                  <c:v>28.873650793650793</c:v>
                </c:pt>
                <c:pt idx="22">
                  <c:v>38.4082325741891</c:v>
                </c:pt>
                <c:pt idx="23">
                  <c:v>33.278888888888893</c:v>
                </c:pt>
                <c:pt idx="24">
                  <c:v>30.218631093544136</c:v>
                </c:pt>
                <c:pt idx="25">
                  <c:v>33.040204874835311</c:v>
                </c:pt>
                <c:pt idx="26">
                  <c:v>33.738778467908901</c:v>
                </c:pt>
                <c:pt idx="27">
                  <c:v>31.411666666666665</c:v>
                </c:pt>
                <c:pt idx="28">
                  <c:v>33.006333333333338</c:v>
                </c:pt>
                <c:pt idx="29">
                  <c:v>31.761998556998559</c:v>
                </c:pt>
                <c:pt idx="30">
                  <c:v>37.068036032109255</c:v>
                </c:pt>
                <c:pt idx="31">
                  <c:v>35.916752933057282</c:v>
                </c:pt>
                <c:pt idx="32">
                  <c:v>29.855972582972583</c:v>
                </c:pt>
                <c:pt idx="33">
                  <c:v>26.692166666666669</c:v>
                </c:pt>
                <c:pt idx="34">
                  <c:v>29.7195</c:v>
                </c:pt>
                <c:pt idx="35">
                  <c:v>26.290545893719806</c:v>
                </c:pt>
                <c:pt idx="36">
                  <c:v>21.225636363636365</c:v>
                </c:pt>
                <c:pt idx="37">
                  <c:v>19.248469696969696</c:v>
                </c:pt>
                <c:pt idx="38">
                  <c:v>25.72711525189786</c:v>
                </c:pt>
                <c:pt idx="39">
                  <c:v>23.487863636363638</c:v>
                </c:pt>
                <c:pt idx="40">
                  <c:v>33.439934782608695</c:v>
                </c:pt>
                <c:pt idx="41">
                  <c:v>32.027560606060604</c:v>
                </c:pt>
                <c:pt idx="42">
                  <c:v>48.150252525252519</c:v>
                </c:pt>
                <c:pt idx="43">
                  <c:v>51.339178743961348</c:v>
                </c:pt>
                <c:pt idx="44">
                  <c:v>44.504634230503797</c:v>
                </c:pt>
                <c:pt idx="45">
                  <c:v>84.620129870129858</c:v>
                </c:pt>
                <c:pt idx="46">
                  <c:v>100.40994271911664</c:v>
                </c:pt>
                <c:pt idx="47">
                  <c:v>56.758095238095244</c:v>
                </c:pt>
                <c:pt idx="48">
                  <c:v>29.667887853692196</c:v>
                </c:pt>
                <c:pt idx="49">
                  <c:v>29.926060606060606</c:v>
                </c:pt>
                <c:pt idx="50">
                  <c:v>39.517246376811592</c:v>
                </c:pt>
                <c:pt idx="51">
                  <c:v>31.641214285714288</c:v>
                </c:pt>
                <c:pt idx="52">
                  <c:v>30.082546897546894</c:v>
                </c:pt>
                <c:pt idx="53">
                  <c:v>29.382673350041774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508-4686-9610-EA04B21E2A36}"/>
            </c:ext>
          </c:extLst>
        </c:ser>
        <c:ser>
          <c:idx val="9"/>
          <c:order val="9"/>
          <c:tx>
            <c:strRef>
              <c:f>Sheet1!$C$22</c:f>
              <c:strCache>
                <c:ptCount val="1"/>
                <c:pt idx="0">
                  <c:v>ERCOT Houston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Sheet1!$D$22:$BE$22</c:f>
              <c:numCache>
                <c:formatCode>#,##0.00</c:formatCode>
                <c:ptCount val="54"/>
                <c:pt idx="0">
                  <c:v>45.968278812974461</c:v>
                </c:pt>
                <c:pt idx="1">
                  <c:v>44.378946608946613</c:v>
                </c:pt>
                <c:pt idx="2">
                  <c:v>120.22140407177362</c:v>
                </c:pt>
                <c:pt idx="3">
                  <c:v>31.411746031746031</c:v>
                </c:pt>
                <c:pt idx="4">
                  <c:v>25.397950937950938</c:v>
                </c:pt>
                <c:pt idx="5">
                  <c:v>37.44166666666667</c:v>
                </c:pt>
                <c:pt idx="6">
                  <c:v>41.75251062438705</c:v>
                </c:pt>
                <c:pt idx="7">
                  <c:v>31.519316425120774</c:v>
                </c:pt>
                <c:pt idx="8">
                  <c:v>30.241471861471865</c:v>
                </c:pt>
                <c:pt idx="9">
                  <c:v>41.313848484848485</c:v>
                </c:pt>
                <c:pt idx="10">
                  <c:v>42.229121212121214</c:v>
                </c:pt>
                <c:pt idx="11">
                  <c:v>38.09812249827467</c:v>
                </c:pt>
                <c:pt idx="12">
                  <c:v>57.708692640692639</c:v>
                </c:pt>
                <c:pt idx="13">
                  <c:v>46.57721500721501</c:v>
                </c:pt>
                <c:pt idx="14">
                  <c:v>44.23343434343434</c:v>
                </c:pt>
                <c:pt idx="15">
                  <c:v>37.446477012689826</c:v>
                </c:pt>
                <c:pt idx="16">
                  <c:v>29.005407647907646</c:v>
                </c:pt>
                <c:pt idx="17">
                  <c:v>28.28981818181818</c:v>
                </c:pt>
                <c:pt idx="18">
                  <c:v>45.327757073844026</c:v>
                </c:pt>
                <c:pt idx="19">
                  <c:v>23.745651515151518</c:v>
                </c:pt>
                <c:pt idx="20">
                  <c:v>20.194388888888891</c:v>
                </c:pt>
                <c:pt idx="21">
                  <c:v>26.361738816738818</c:v>
                </c:pt>
                <c:pt idx="22">
                  <c:v>36.898743616287099</c:v>
                </c:pt>
                <c:pt idx="23">
                  <c:v>30.353174603174608</c:v>
                </c:pt>
                <c:pt idx="24">
                  <c:v>30.18903623188406</c:v>
                </c:pt>
                <c:pt idx="25">
                  <c:v>38.031451910408435</c:v>
                </c:pt>
                <c:pt idx="26">
                  <c:v>35.438088336783991</c:v>
                </c:pt>
                <c:pt idx="27">
                  <c:v>30.430045454545454</c:v>
                </c:pt>
                <c:pt idx="28">
                  <c:v>33.899863636363641</c:v>
                </c:pt>
                <c:pt idx="29">
                  <c:v>36.862301587301587</c:v>
                </c:pt>
                <c:pt idx="30">
                  <c:v>61.282664632595974</c:v>
                </c:pt>
                <c:pt idx="31">
                  <c:v>34.928347135955825</c:v>
                </c:pt>
                <c:pt idx="32">
                  <c:v>29.166705627705625</c:v>
                </c:pt>
                <c:pt idx="33">
                  <c:v>29.997833333333336</c:v>
                </c:pt>
                <c:pt idx="34">
                  <c:v>139.93010606060605</c:v>
                </c:pt>
                <c:pt idx="35">
                  <c:v>29.658620772946861</c:v>
                </c:pt>
                <c:pt idx="36">
                  <c:v>23.86778787878788</c:v>
                </c:pt>
                <c:pt idx="37">
                  <c:v>25.684318181818185</c:v>
                </c:pt>
                <c:pt idx="38">
                  <c:v>35.567798481711527</c:v>
                </c:pt>
                <c:pt idx="39">
                  <c:v>28.497030303030304</c:v>
                </c:pt>
                <c:pt idx="40">
                  <c:v>617.62705797101444</c:v>
                </c:pt>
                <c:pt idx="41">
                  <c:v>44.778787878787881</c:v>
                </c:pt>
                <c:pt idx="42">
                  <c:v>52.97862481962482</c:v>
                </c:pt>
                <c:pt idx="43">
                  <c:v>52.74219461697723</c:v>
                </c:pt>
                <c:pt idx="44">
                  <c:v>44.875738095238091</c:v>
                </c:pt>
                <c:pt idx="45">
                  <c:v>110.32805916305915</c:v>
                </c:pt>
                <c:pt idx="46">
                  <c:v>129.2306304347826</c:v>
                </c:pt>
                <c:pt idx="47">
                  <c:v>58.078888888888891</c:v>
                </c:pt>
                <c:pt idx="48">
                  <c:v>29.833974323062552</c:v>
                </c:pt>
                <c:pt idx="49">
                  <c:v>65.638397382344749</c:v>
                </c:pt>
                <c:pt idx="50">
                  <c:v>192.10316123188406</c:v>
                </c:pt>
                <c:pt idx="51">
                  <c:v>35.746974380395436</c:v>
                </c:pt>
                <c:pt idx="52">
                  <c:v>33.243380952380953</c:v>
                </c:pt>
                <c:pt idx="53">
                  <c:v>45.659232804232801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508-4686-9610-EA04B21E2A36}"/>
            </c:ext>
          </c:extLst>
        </c:ser>
        <c:ser>
          <c:idx val="10"/>
          <c:order val="10"/>
          <c:tx>
            <c:strRef>
              <c:f>Sheet1!$C$23</c:f>
              <c:strCache>
                <c:ptCount val="1"/>
                <c:pt idx="0">
                  <c:v>ERCOT North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Sheet1!$D$23:$BE$23</c:f>
              <c:numCache>
                <c:formatCode>#,##0.00</c:formatCode>
                <c:ptCount val="54"/>
                <c:pt idx="0">
                  <c:v>47.121192201518291</c:v>
                </c:pt>
                <c:pt idx="1">
                  <c:v>42.307611832611833</c:v>
                </c:pt>
                <c:pt idx="2">
                  <c:v>121.21054658385094</c:v>
                </c:pt>
                <c:pt idx="3">
                  <c:v>30.550634920634923</c:v>
                </c:pt>
                <c:pt idx="4">
                  <c:v>25.245151515151516</c:v>
                </c:pt>
                <c:pt idx="5">
                  <c:v>36.894307359307362</c:v>
                </c:pt>
                <c:pt idx="6">
                  <c:v>41.976915477098544</c:v>
                </c:pt>
                <c:pt idx="7">
                  <c:v>31.584970324361631</c:v>
                </c:pt>
                <c:pt idx="8">
                  <c:v>30.326139249639251</c:v>
                </c:pt>
                <c:pt idx="9">
                  <c:v>39.435909090909092</c:v>
                </c:pt>
                <c:pt idx="10">
                  <c:v>40.554787878787877</c:v>
                </c:pt>
                <c:pt idx="11">
                  <c:v>35.332714975845413</c:v>
                </c:pt>
                <c:pt idx="12">
                  <c:v>58.549633477633471</c:v>
                </c:pt>
                <c:pt idx="13">
                  <c:v>43.898225108225112</c:v>
                </c:pt>
                <c:pt idx="14">
                  <c:v>42.47286435786436</c:v>
                </c:pt>
                <c:pt idx="15">
                  <c:v>37.987882601761321</c:v>
                </c:pt>
                <c:pt idx="16">
                  <c:v>28.966223665223666</c:v>
                </c:pt>
                <c:pt idx="17">
                  <c:v>27.173424242424243</c:v>
                </c:pt>
                <c:pt idx="18">
                  <c:v>44.603298826777092</c:v>
                </c:pt>
                <c:pt idx="19">
                  <c:v>22.352227272727273</c:v>
                </c:pt>
                <c:pt idx="20">
                  <c:v>19.666327467218775</c:v>
                </c:pt>
                <c:pt idx="21">
                  <c:v>24.212647907647906</c:v>
                </c:pt>
                <c:pt idx="22">
                  <c:v>33.038720841959972</c:v>
                </c:pt>
                <c:pt idx="23">
                  <c:v>26.915079365079364</c:v>
                </c:pt>
                <c:pt idx="24">
                  <c:v>23.530602108036891</c:v>
                </c:pt>
                <c:pt idx="25">
                  <c:v>26.756243083003952</c:v>
                </c:pt>
                <c:pt idx="26">
                  <c:v>31.172035886818495</c:v>
                </c:pt>
                <c:pt idx="27">
                  <c:v>24.191666666666666</c:v>
                </c:pt>
                <c:pt idx="28">
                  <c:v>33.263863636363631</c:v>
                </c:pt>
                <c:pt idx="29">
                  <c:v>37.012236652236652</c:v>
                </c:pt>
                <c:pt idx="30">
                  <c:v>61.0366594021285</c:v>
                </c:pt>
                <c:pt idx="31">
                  <c:v>34.389870255348519</c:v>
                </c:pt>
                <c:pt idx="32">
                  <c:v>28.408819624819625</c:v>
                </c:pt>
                <c:pt idx="33">
                  <c:v>28.332515151515153</c:v>
                </c:pt>
                <c:pt idx="34">
                  <c:v>139.77860606060605</c:v>
                </c:pt>
                <c:pt idx="35">
                  <c:v>28.401929261559697</c:v>
                </c:pt>
                <c:pt idx="36">
                  <c:v>23.41148484848485</c:v>
                </c:pt>
                <c:pt idx="37">
                  <c:v>24.00236363636364</c:v>
                </c:pt>
                <c:pt idx="38">
                  <c:v>34.117784679089027</c:v>
                </c:pt>
                <c:pt idx="39">
                  <c:v>26.409606060606063</c:v>
                </c:pt>
                <c:pt idx="40">
                  <c:v>616.33680434782593</c:v>
                </c:pt>
                <c:pt idx="41">
                  <c:v>39.735909090909097</c:v>
                </c:pt>
                <c:pt idx="42">
                  <c:v>52.118875901875903</c:v>
                </c:pt>
                <c:pt idx="43">
                  <c:v>49.794354727398208</c:v>
                </c:pt>
                <c:pt idx="44">
                  <c:v>42.725226017943406</c:v>
                </c:pt>
                <c:pt idx="45">
                  <c:v>83.186406926406917</c:v>
                </c:pt>
                <c:pt idx="46">
                  <c:v>130.4041231884058</c:v>
                </c:pt>
                <c:pt idx="47">
                  <c:v>54.665506822612087</c:v>
                </c:pt>
                <c:pt idx="48">
                  <c:v>28.419023342670403</c:v>
                </c:pt>
                <c:pt idx="49">
                  <c:v>60.695641882483983</c:v>
                </c:pt>
                <c:pt idx="50">
                  <c:v>190.38419746376812</c:v>
                </c:pt>
                <c:pt idx="51">
                  <c:v>34.224842662211081</c:v>
                </c:pt>
                <c:pt idx="52">
                  <c:v>33.074595238095242</c:v>
                </c:pt>
                <c:pt idx="53">
                  <c:v>40.452619047619045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508-4686-9610-EA04B21E2A36}"/>
            </c:ext>
          </c:extLst>
        </c:ser>
        <c:ser>
          <c:idx val="11"/>
          <c:order val="11"/>
          <c:tx>
            <c:strRef>
              <c:f>Sheet1!$C$24</c:f>
              <c:strCache>
                <c:ptCount val="1"/>
                <c:pt idx="0">
                  <c:v>ERCOT South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Sheet1!$D$24:$BE$24</c:f>
              <c:numCache>
                <c:formatCode>#,##0.00</c:formatCode>
                <c:ptCount val="54"/>
                <c:pt idx="0">
                  <c:v>48.552580745341608</c:v>
                </c:pt>
                <c:pt idx="1">
                  <c:v>42.863860028860039</c:v>
                </c:pt>
                <c:pt idx="2">
                  <c:v>118.03929158040029</c:v>
                </c:pt>
                <c:pt idx="3">
                  <c:v>31.501587301587296</c:v>
                </c:pt>
                <c:pt idx="4">
                  <c:v>25.70785714285714</c:v>
                </c:pt>
                <c:pt idx="5">
                  <c:v>36.668650793650791</c:v>
                </c:pt>
                <c:pt idx="6">
                  <c:v>40.919159856162139</c:v>
                </c:pt>
                <c:pt idx="7">
                  <c:v>32.611573153899243</c:v>
                </c:pt>
                <c:pt idx="8">
                  <c:v>30.022885281385282</c:v>
                </c:pt>
                <c:pt idx="9">
                  <c:v>40.382393939393936</c:v>
                </c:pt>
                <c:pt idx="10">
                  <c:v>41.15</c:v>
                </c:pt>
                <c:pt idx="11">
                  <c:v>36.901423740510694</c:v>
                </c:pt>
                <c:pt idx="12">
                  <c:v>57.654835497835499</c:v>
                </c:pt>
                <c:pt idx="13">
                  <c:v>44.606933621933621</c:v>
                </c:pt>
                <c:pt idx="14">
                  <c:v>43.45064935064935</c:v>
                </c:pt>
                <c:pt idx="15">
                  <c:v>37.779490326607032</c:v>
                </c:pt>
                <c:pt idx="16">
                  <c:v>28.846520923520924</c:v>
                </c:pt>
                <c:pt idx="17">
                  <c:v>27.983318181818181</c:v>
                </c:pt>
                <c:pt idx="18">
                  <c:v>45.16209109730849</c:v>
                </c:pt>
                <c:pt idx="19">
                  <c:v>23.348848484848485</c:v>
                </c:pt>
                <c:pt idx="20">
                  <c:v>19.788601794340924</c:v>
                </c:pt>
                <c:pt idx="21">
                  <c:v>25.422994227994227</c:v>
                </c:pt>
                <c:pt idx="22">
                  <c:v>34.085319530710834</c:v>
                </c:pt>
                <c:pt idx="23">
                  <c:v>29.578571428571426</c:v>
                </c:pt>
                <c:pt idx="24">
                  <c:v>26.240406455862978</c:v>
                </c:pt>
                <c:pt idx="25">
                  <c:v>31.657652832674575</c:v>
                </c:pt>
                <c:pt idx="26">
                  <c:v>33.395969634230504</c:v>
                </c:pt>
                <c:pt idx="27">
                  <c:v>27.406469696969697</c:v>
                </c:pt>
                <c:pt idx="28">
                  <c:v>34.36210606060606</c:v>
                </c:pt>
                <c:pt idx="29">
                  <c:v>36.079552669552669</c:v>
                </c:pt>
                <c:pt idx="30">
                  <c:v>60.642647197704413</c:v>
                </c:pt>
                <c:pt idx="31">
                  <c:v>33.425697722567286</c:v>
                </c:pt>
                <c:pt idx="32">
                  <c:v>28.952184704184702</c:v>
                </c:pt>
                <c:pt idx="33">
                  <c:v>27.478318181818178</c:v>
                </c:pt>
                <c:pt idx="34">
                  <c:v>138.30477272727271</c:v>
                </c:pt>
                <c:pt idx="35">
                  <c:v>28.838486887508626</c:v>
                </c:pt>
                <c:pt idx="36">
                  <c:v>23.300424242424242</c:v>
                </c:pt>
                <c:pt idx="37">
                  <c:v>24.113560606060606</c:v>
                </c:pt>
                <c:pt idx="38">
                  <c:v>33.098495514147686</c:v>
                </c:pt>
                <c:pt idx="39">
                  <c:v>27.098833333333332</c:v>
                </c:pt>
                <c:pt idx="40">
                  <c:v>612.47918115942025</c:v>
                </c:pt>
                <c:pt idx="41">
                  <c:v>39.127287878787875</c:v>
                </c:pt>
                <c:pt idx="42">
                  <c:v>50.339663059163058</c:v>
                </c:pt>
                <c:pt idx="43">
                  <c:v>48.041124913733604</c:v>
                </c:pt>
                <c:pt idx="44">
                  <c:v>39.241324361628713</c:v>
                </c:pt>
                <c:pt idx="45">
                  <c:v>84.279300144300151</c:v>
                </c:pt>
                <c:pt idx="46">
                  <c:v>122.74847826086956</c:v>
                </c:pt>
                <c:pt idx="47">
                  <c:v>55.086695906432745</c:v>
                </c:pt>
                <c:pt idx="48">
                  <c:v>27.850406629318396</c:v>
                </c:pt>
                <c:pt idx="49">
                  <c:v>61.445821498189922</c:v>
                </c:pt>
                <c:pt idx="50">
                  <c:v>182.31917210144931</c:v>
                </c:pt>
                <c:pt idx="51">
                  <c:v>34.662017543859655</c:v>
                </c:pt>
                <c:pt idx="52">
                  <c:v>31.372873015873015</c:v>
                </c:pt>
                <c:pt idx="53">
                  <c:v>44.914894179894169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508-4686-9610-EA04B21E2A36}"/>
            </c:ext>
          </c:extLst>
        </c:ser>
        <c:ser>
          <c:idx val="12"/>
          <c:order val="12"/>
          <c:tx>
            <c:strRef>
              <c:f>Sheet1!$C$25</c:f>
              <c:strCache>
                <c:ptCount val="1"/>
                <c:pt idx="0">
                  <c:v>Palo Verde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Sheet1!$D$25:$BE$25</c:f>
              <c:numCache>
                <c:formatCode>#,##0.00</c:formatCode>
                <c:ptCount val="54"/>
                <c:pt idx="0">
                  <c:v>32.663358886346302</c:v>
                </c:pt>
                <c:pt idx="1">
                  <c:v>36.830741019214706</c:v>
                </c:pt>
                <c:pt idx="2">
                  <c:v>42.495681922196802</c:v>
                </c:pt>
                <c:pt idx="3">
                  <c:v>33.267460317460312</c:v>
                </c:pt>
                <c:pt idx="4">
                  <c:v>25.177772727272725</c:v>
                </c:pt>
                <c:pt idx="5">
                  <c:v>26.110843434343433</c:v>
                </c:pt>
                <c:pt idx="6">
                  <c:v>35.688963713631907</c:v>
                </c:pt>
                <c:pt idx="7">
                  <c:v>30.851594202898553</c:v>
                </c:pt>
                <c:pt idx="8">
                  <c:v>32.417417293233079</c:v>
                </c:pt>
                <c:pt idx="9">
                  <c:v>38.861090909090905</c:v>
                </c:pt>
                <c:pt idx="10">
                  <c:v>40.912848484848489</c:v>
                </c:pt>
                <c:pt idx="11">
                  <c:v>37.550814814814821</c:v>
                </c:pt>
                <c:pt idx="12">
                  <c:v>48.285580618212201</c:v>
                </c:pt>
                <c:pt idx="13">
                  <c:v>43.183047619047613</c:v>
                </c:pt>
                <c:pt idx="14">
                  <c:v>42.577183261183258</c:v>
                </c:pt>
                <c:pt idx="15">
                  <c:v>36.261014492753624</c:v>
                </c:pt>
                <c:pt idx="16">
                  <c:v>25.045448963317384</c:v>
                </c:pt>
                <c:pt idx="17">
                  <c:v>27.170484126984125</c:v>
                </c:pt>
                <c:pt idx="18">
                  <c:v>32.405230880230881</c:v>
                </c:pt>
                <c:pt idx="19">
                  <c:v>23.792275132275133</c:v>
                </c:pt>
                <c:pt idx="20">
                  <c:v>19.077714513556618</c:v>
                </c:pt>
                <c:pt idx="21">
                  <c:v>23.08920634920635</c:v>
                </c:pt>
                <c:pt idx="22">
                  <c:v>34.484472049689437</c:v>
                </c:pt>
                <c:pt idx="23">
                  <c:v>25.20268588137009</c:v>
                </c:pt>
                <c:pt idx="24">
                  <c:v>23.137650648360033</c:v>
                </c:pt>
                <c:pt idx="25">
                  <c:v>33.210269360269358</c:v>
                </c:pt>
                <c:pt idx="26">
                  <c:v>43.386954545454536</c:v>
                </c:pt>
                <c:pt idx="27">
                  <c:v>30.439433305485935</c:v>
                </c:pt>
                <c:pt idx="28">
                  <c:v>26.472130325814536</c:v>
                </c:pt>
                <c:pt idx="29">
                  <c:v>26.959252297410188</c:v>
                </c:pt>
                <c:pt idx="30">
                  <c:v>76.622672006102206</c:v>
                </c:pt>
                <c:pt idx="31">
                  <c:v>37.12746842952793</c:v>
                </c:pt>
                <c:pt idx="32">
                  <c:v>39.055278195488718</c:v>
                </c:pt>
                <c:pt idx="33">
                  <c:v>19.011936090225564</c:v>
                </c:pt>
                <c:pt idx="34">
                  <c:v>39.936530303030302</c:v>
                </c:pt>
                <c:pt idx="35">
                  <c:v>32.425937198067636</c:v>
                </c:pt>
                <c:pt idx="36">
                  <c:v>18.955659983291564</c:v>
                </c:pt>
                <c:pt idx="37">
                  <c:v>19.493791486291485</c:v>
                </c:pt>
                <c:pt idx="38">
                  <c:v>115.50586580086581</c:v>
                </c:pt>
                <c:pt idx="39">
                  <c:v>34.796089466089462</c:v>
                </c:pt>
                <c:pt idx="40">
                  <c:v>41.936003051106027</c:v>
                </c:pt>
                <c:pt idx="41">
                  <c:v>72.473729399255717</c:v>
                </c:pt>
                <c:pt idx="42">
                  <c:v>83.255526695526683</c:v>
                </c:pt>
                <c:pt idx="43">
                  <c:v>48.465750208855475</c:v>
                </c:pt>
                <c:pt idx="44">
                  <c:v>38.144971777269262</c:v>
                </c:pt>
                <c:pt idx="45">
                  <c:v>69.655007936507943</c:v>
                </c:pt>
                <c:pt idx="46">
                  <c:v>137.98381884057972</c:v>
                </c:pt>
                <c:pt idx="47">
                  <c:v>125.69961319966585</c:v>
                </c:pt>
                <c:pt idx="48">
                  <c:v>90.187020213577412</c:v>
                </c:pt>
                <c:pt idx="49">
                  <c:v>44.427911445279868</c:v>
                </c:pt>
                <c:pt idx="50">
                  <c:v>99.911398550724641</c:v>
                </c:pt>
                <c:pt idx="51">
                  <c:v>51.030568086883875</c:v>
                </c:pt>
                <c:pt idx="52">
                  <c:v>38.254964494569755</c:v>
                </c:pt>
                <c:pt idx="53">
                  <c:v>22.436315789473685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508-4686-9610-EA04B21E2A36}"/>
            </c:ext>
          </c:extLst>
        </c:ser>
        <c:ser>
          <c:idx val="13"/>
          <c:order val="13"/>
          <c:tx>
            <c:strRef>
              <c:f>Sheet1!$C$26</c:f>
              <c:strCache>
                <c:ptCount val="1"/>
                <c:pt idx="0">
                  <c:v>SP 15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Sheet1!$D$26:$BE$26</c:f>
              <c:numCache>
                <c:formatCode>#,##0.00</c:formatCode>
                <c:ptCount val="54"/>
                <c:pt idx="0">
                  <c:v>36.168065980167817</c:v>
                </c:pt>
                <c:pt idx="1">
                  <c:v>36.805018379281535</c:v>
                </c:pt>
                <c:pt idx="2">
                  <c:v>41.914982456140343</c:v>
                </c:pt>
                <c:pt idx="3">
                  <c:v>34.048980785296578</c:v>
                </c:pt>
                <c:pt idx="4">
                  <c:v>27.603166666666667</c:v>
                </c:pt>
                <c:pt idx="5">
                  <c:v>31.034534632034632</c:v>
                </c:pt>
                <c:pt idx="6">
                  <c:v>41.873407431622532</c:v>
                </c:pt>
                <c:pt idx="7">
                  <c:v>40.712124108224522</c:v>
                </c:pt>
                <c:pt idx="8">
                  <c:v>48.445362433862442</c:v>
                </c:pt>
                <c:pt idx="9">
                  <c:v>52.271924242424241</c:v>
                </c:pt>
                <c:pt idx="10">
                  <c:v>48.686090909090915</c:v>
                </c:pt>
                <c:pt idx="11">
                  <c:v>46.791283371472161</c:v>
                </c:pt>
                <c:pt idx="12">
                  <c:v>57.916716791979951</c:v>
                </c:pt>
                <c:pt idx="13">
                  <c:v>52.101349206349205</c:v>
                </c:pt>
                <c:pt idx="14">
                  <c:v>52.007852965747702</c:v>
                </c:pt>
                <c:pt idx="15">
                  <c:v>47.052028985507242</c:v>
                </c:pt>
                <c:pt idx="16">
                  <c:v>33.261517027863782</c:v>
                </c:pt>
                <c:pt idx="17">
                  <c:v>32.666683982683985</c:v>
                </c:pt>
                <c:pt idx="18">
                  <c:v>38.551370851370848</c:v>
                </c:pt>
                <c:pt idx="19">
                  <c:v>31.887063492063493</c:v>
                </c:pt>
                <c:pt idx="20">
                  <c:v>25.000727272727275</c:v>
                </c:pt>
                <c:pt idx="21">
                  <c:v>25.547864357864359</c:v>
                </c:pt>
                <c:pt idx="22">
                  <c:v>37.905858178053826</c:v>
                </c:pt>
                <c:pt idx="23">
                  <c:v>34.949522826674531</c:v>
                </c:pt>
                <c:pt idx="24">
                  <c:v>29.066596745486908</c:v>
                </c:pt>
                <c:pt idx="25">
                  <c:v>32.579288119288115</c:v>
                </c:pt>
                <c:pt idx="26">
                  <c:v>47.457706349206347</c:v>
                </c:pt>
                <c:pt idx="27">
                  <c:v>47.836729751729756</c:v>
                </c:pt>
                <c:pt idx="28">
                  <c:v>37.45354824561403</c:v>
                </c:pt>
                <c:pt idx="29">
                  <c:v>29.095850877192984</c:v>
                </c:pt>
                <c:pt idx="30">
                  <c:v>81.09576524644946</c:v>
                </c:pt>
                <c:pt idx="31">
                  <c:v>54.488541062801936</c:v>
                </c:pt>
                <c:pt idx="32">
                  <c:v>52.206183375104423</c:v>
                </c:pt>
                <c:pt idx="33">
                  <c:v>24.403190476190474</c:v>
                </c:pt>
                <c:pt idx="34">
                  <c:v>38.50418181818182</c:v>
                </c:pt>
                <c:pt idx="35">
                  <c:v>42.478431561996778</c:v>
                </c:pt>
                <c:pt idx="36">
                  <c:v>28.817482142857141</c:v>
                </c:pt>
                <c:pt idx="37">
                  <c:v>21.07639766081871</c:v>
                </c:pt>
                <c:pt idx="38">
                  <c:v>72.96054329004329</c:v>
                </c:pt>
                <c:pt idx="39">
                  <c:v>42.695293650793651</c:v>
                </c:pt>
                <c:pt idx="40">
                  <c:v>47.607101000583299</c:v>
                </c:pt>
                <c:pt idx="41">
                  <c:v>43.744720893141938</c:v>
                </c:pt>
                <c:pt idx="42">
                  <c:v>75.448412698412696</c:v>
                </c:pt>
                <c:pt idx="43">
                  <c:v>62.261228070175434</c:v>
                </c:pt>
                <c:pt idx="44">
                  <c:v>45.508017429193906</c:v>
                </c:pt>
                <c:pt idx="45">
                  <c:v>63.46270634920635</c:v>
                </c:pt>
                <c:pt idx="46">
                  <c:v>114.65768688024407</c:v>
                </c:pt>
                <c:pt idx="47">
                  <c:v>135.68897089947089</c:v>
                </c:pt>
                <c:pt idx="48">
                  <c:v>93.542285714285711</c:v>
                </c:pt>
                <c:pt idx="49">
                  <c:v>33.459898913951548</c:v>
                </c:pt>
                <c:pt idx="50">
                  <c:v>70.281079710144923</c:v>
                </c:pt>
                <c:pt idx="51">
                  <c:v>51.366866028708131</c:v>
                </c:pt>
                <c:pt idx="52">
                  <c:v>33.590166666666661</c:v>
                </c:pt>
                <c:pt idx="53">
                  <c:v>10.167919799498748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508-4686-9610-EA04B21E2A36}"/>
            </c:ext>
          </c:extLst>
        </c:ser>
        <c:ser>
          <c:idx val="14"/>
          <c:order val="14"/>
          <c:tx>
            <c:strRef>
              <c:f>Sheet1!$C$27</c:f>
              <c:strCache>
                <c:ptCount val="1"/>
                <c:pt idx="0">
                  <c:v>NP 15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Sheet1!$D$27:$BE$27</c:f>
              <c:numCache>
                <c:formatCode>#,##0.00</c:formatCode>
                <c:ptCount val="54"/>
                <c:pt idx="0">
                  <c:v>35.648116250221513</c:v>
                </c:pt>
                <c:pt idx="1">
                  <c:v>34.741754385964917</c:v>
                </c:pt>
                <c:pt idx="2">
                  <c:v>39.454583877995645</c:v>
                </c:pt>
                <c:pt idx="3">
                  <c:v>35.080000000000005</c:v>
                </c:pt>
                <c:pt idx="4">
                  <c:v>27.030287037037038</c:v>
                </c:pt>
                <c:pt idx="5">
                  <c:v>26.672527233115463</c:v>
                </c:pt>
                <c:pt idx="6">
                  <c:v>37.800419871794873</c:v>
                </c:pt>
                <c:pt idx="7">
                  <c:v>39.22861363636364</c:v>
                </c:pt>
                <c:pt idx="8">
                  <c:v>41.066619047619049</c:v>
                </c:pt>
                <c:pt idx="9">
                  <c:v>45.098592592592603</c:v>
                </c:pt>
                <c:pt idx="10">
                  <c:v>46.408107662318194</c:v>
                </c:pt>
                <c:pt idx="11">
                  <c:v>46.985105820105815</c:v>
                </c:pt>
                <c:pt idx="12">
                  <c:v>58.022955541190839</c:v>
                </c:pt>
                <c:pt idx="13">
                  <c:v>52.969525054466231</c:v>
                </c:pt>
                <c:pt idx="14">
                  <c:v>51.274590811965815</c:v>
                </c:pt>
                <c:pt idx="15">
                  <c:v>48.420045454545459</c:v>
                </c:pt>
                <c:pt idx="16">
                  <c:v>34.347026143790849</c:v>
                </c:pt>
                <c:pt idx="17">
                  <c:v>37.806163292847508</c:v>
                </c:pt>
                <c:pt idx="18">
                  <c:v>39.717314814814813</c:v>
                </c:pt>
                <c:pt idx="19">
                  <c:v>33.379707329707337</c:v>
                </c:pt>
                <c:pt idx="20">
                  <c:v>26.381703703703703</c:v>
                </c:pt>
                <c:pt idx="21">
                  <c:v>27.5707671957672</c:v>
                </c:pt>
                <c:pt idx="22">
                  <c:v>38.791110731373891</c:v>
                </c:pt>
                <c:pt idx="23">
                  <c:v>37.6602380952381</c:v>
                </c:pt>
                <c:pt idx="24">
                  <c:v>31.80037037037037</c:v>
                </c:pt>
                <c:pt idx="25">
                  <c:v>40.633227513227517</c:v>
                </c:pt>
                <c:pt idx="26">
                  <c:v>59.176759259259256</c:v>
                </c:pt>
                <c:pt idx="27">
                  <c:v>51.672666666666657</c:v>
                </c:pt>
                <c:pt idx="28">
                  <c:v>38.411666666666669</c:v>
                </c:pt>
                <c:pt idx="29">
                  <c:v>34.947499999999998</c:v>
                </c:pt>
                <c:pt idx="30">
                  <c:v>114.650125</c:v>
                </c:pt>
                <c:pt idx="31">
                  <c:v>66.938571428571436</c:v>
                </c:pt>
                <c:pt idx="32">
                  <c:v>69.35733333333333</c:v>
                </c:pt>
                <c:pt idx="33">
                  <c:v>27.761666666666667</c:v>
                </c:pt>
                <c:pt idx="34">
                  <c:v>44.573388888888893</c:v>
                </c:pt>
                <c:pt idx="35">
                  <c:v>39.654444444444444</c:v>
                </c:pt>
                <c:pt idx="36">
                  <c:v>30.372500000000002</c:v>
                </c:pt>
                <c:pt idx="37">
                  <c:v>27.987777777777779</c:v>
                </c:pt>
                <c:pt idx="38">
                  <c:v>74.903492063492067</c:v>
                </c:pt>
                <c:pt idx="39">
                  <c:v>47.048749999999998</c:v>
                </c:pt>
                <c:pt idx="40">
                  <c:v>56.639925925925922</c:v>
                </c:pt>
                <c:pt idx="41">
                  <c:v>57.289191919191921</c:v>
                </c:pt>
                <c:pt idx="42">
                  <c:v>105.22222222222223</c:v>
                </c:pt>
                <c:pt idx="43">
                  <c:v>63.010444444444452</c:v>
                </c:pt>
                <c:pt idx="44">
                  <c:v>52.139141414141413</c:v>
                </c:pt>
                <c:pt idx="45">
                  <c:v>79.745277777777787</c:v>
                </c:pt>
                <c:pt idx="46">
                  <c:v>150.26107142857143</c:v>
                </c:pt>
                <c:pt idx="47">
                  <c:v>163.64400000000001</c:v>
                </c:pt>
                <c:pt idx="48">
                  <c:v>111.64578754578754</c:v>
                </c:pt>
                <c:pt idx="49">
                  <c:v>36.468000000000004</c:v>
                </c:pt>
                <c:pt idx="50">
                  <c:v>68.684134199134192</c:v>
                </c:pt>
                <c:pt idx="51">
                  <c:v>65.968611111111102</c:v>
                </c:pt>
                <c:pt idx="52">
                  <c:v>52.564794871794867</c:v>
                </c:pt>
                <c:pt idx="53">
                  <c:v>25.727333333333331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508-4686-9610-EA04B21E2A36}"/>
            </c:ext>
          </c:extLst>
        </c:ser>
        <c:ser>
          <c:idx val="15"/>
          <c:order val="15"/>
          <c:tx>
            <c:strRef>
              <c:f>Sheet1!$C$28</c:f>
              <c:strCache>
                <c:ptCount val="1"/>
                <c:pt idx="0">
                  <c:v>Mid C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Sheet1!$D$28:$BE$28</c:f>
              <c:numCache>
                <c:formatCode>#,##0.00</c:formatCode>
                <c:ptCount val="54"/>
                <c:pt idx="0">
                  <c:v>26.153838291380623</c:v>
                </c:pt>
                <c:pt idx="1">
                  <c:v>27.545892230576442</c:v>
                </c:pt>
                <c:pt idx="2">
                  <c:v>33.42646910755149</c:v>
                </c:pt>
                <c:pt idx="3">
                  <c:v>30.966090225563914</c:v>
                </c:pt>
                <c:pt idx="4">
                  <c:v>22.937848484848484</c:v>
                </c:pt>
                <c:pt idx="5">
                  <c:v>11.904954545454546</c:v>
                </c:pt>
                <c:pt idx="6">
                  <c:v>26.789991645781118</c:v>
                </c:pt>
                <c:pt idx="7">
                  <c:v>29.209679633867278</c:v>
                </c:pt>
                <c:pt idx="8">
                  <c:v>30.288629908103591</c:v>
                </c:pt>
                <c:pt idx="9">
                  <c:v>33.695090909090908</c:v>
                </c:pt>
                <c:pt idx="10">
                  <c:v>41.494999999999997</c:v>
                </c:pt>
                <c:pt idx="11">
                  <c:v>44.138512077294685</c:v>
                </c:pt>
                <c:pt idx="12">
                  <c:v>48.59852965747703</c:v>
                </c:pt>
                <c:pt idx="13">
                  <c:v>34.355944444444447</c:v>
                </c:pt>
                <c:pt idx="14">
                  <c:v>40.489533910533908</c:v>
                </c:pt>
                <c:pt idx="15">
                  <c:v>33.020434376649206</c:v>
                </c:pt>
                <c:pt idx="16">
                  <c:v>20.286055023923442</c:v>
                </c:pt>
                <c:pt idx="17">
                  <c:v>29.383735209235212</c:v>
                </c:pt>
                <c:pt idx="18">
                  <c:v>31.853174603174605</c:v>
                </c:pt>
                <c:pt idx="19">
                  <c:v>22.297169312169313</c:v>
                </c:pt>
                <c:pt idx="20">
                  <c:v>17.410492025518341</c:v>
                </c:pt>
                <c:pt idx="21">
                  <c:v>16.611746031746033</c:v>
                </c:pt>
                <c:pt idx="22">
                  <c:v>31.357915113871638</c:v>
                </c:pt>
                <c:pt idx="23">
                  <c:v>26.233267752715125</c:v>
                </c:pt>
                <c:pt idx="24">
                  <c:v>22.729313501144162</c:v>
                </c:pt>
                <c:pt idx="25">
                  <c:v>16.139612794612791</c:v>
                </c:pt>
                <c:pt idx="26">
                  <c:v>38.049893939393939</c:v>
                </c:pt>
                <c:pt idx="27">
                  <c:v>26.880625174046227</c:v>
                </c:pt>
                <c:pt idx="28">
                  <c:v>21.59125313283208</c:v>
                </c:pt>
                <c:pt idx="29">
                  <c:v>16.181652046783626</c:v>
                </c:pt>
                <c:pt idx="30">
                  <c:v>61.160339816933636</c:v>
                </c:pt>
                <c:pt idx="31">
                  <c:v>50.596586998898211</c:v>
                </c:pt>
                <c:pt idx="32">
                  <c:v>69.486500000000007</c:v>
                </c:pt>
                <c:pt idx="33">
                  <c:v>17.759044695071012</c:v>
                </c:pt>
                <c:pt idx="34">
                  <c:v>31.795090909090913</c:v>
                </c:pt>
                <c:pt idx="35">
                  <c:v>35.667524154589373</c:v>
                </c:pt>
                <c:pt idx="36">
                  <c:v>22.444545834282678</c:v>
                </c:pt>
                <c:pt idx="37">
                  <c:v>13.248720779220781</c:v>
                </c:pt>
                <c:pt idx="38">
                  <c:v>33.266204906204905</c:v>
                </c:pt>
                <c:pt idx="39">
                  <c:v>30.148511303511302</c:v>
                </c:pt>
                <c:pt idx="40">
                  <c:v>34.196971777269262</c:v>
                </c:pt>
                <c:pt idx="41">
                  <c:v>51.956731221994382</c:v>
                </c:pt>
                <c:pt idx="42">
                  <c:v>90.933455988455989</c:v>
                </c:pt>
                <c:pt idx="43">
                  <c:v>58.887995822890559</c:v>
                </c:pt>
                <c:pt idx="44">
                  <c:v>38.899802822273074</c:v>
                </c:pt>
                <c:pt idx="45">
                  <c:v>59.147325396825387</c:v>
                </c:pt>
                <c:pt idx="46">
                  <c:v>119.61197342995168</c:v>
                </c:pt>
                <c:pt idx="47">
                  <c:v>149.70493065998329</c:v>
                </c:pt>
                <c:pt idx="48">
                  <c:v>106.35344279176202</c:v>
                </c:pt>
                <c:pt idx="49">
                  <c:v>59.230467836257311</c:v>
                </c:pt>
                <c:pt idx="50">
                  <c:v>98.767391304347825</c:v>
                </c:pt>
                <c:pt idx="51">
                  <c:v>79.247671451355657</c:v>
                </c:pt>
                <c:pt idx="52">
                  <c:v>101.24320634920633</c:v>
                </c:pt>
                <c:pt idx="53">
                  <c:v>33.517838915470492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508-4686-9610-EA04B21E2A36}"/>
            </c:ext>
          </c:extLst>
        </c:ser>
        <c:ser>
          <c:idx val="16"/>
          <c:order val="16"/>
          <c:tx>
            <c:strRef>
              <c:f>Sheet1!$C$29</c:f>
              <c:strCache>
                <c:ptCount val="1"/>
                <c:pt idx="0">
                  <c:v>ERCOT West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Sheet1!$D$29:$BE$29</c:f>
              <c:numCache>
                <c:formatCode>#,##0.00</c:formatCode>
                <c:ptCount val="54"/>
                <c:pt idx="0">
                  <c:v>41.377194616977221</c:v>
                </c:pt>
                <c:pt idx="1">
                  <c:v>37.158643578643584</c:v>
                </c:pt>
                <c:pt idx="2">
                  <c:v>122.20415493443754</c:v>
                </c:pt>
                <c:pt idx="3">
                  <c:v>26.450952380952383</c:v>
                </c:pt>
                <c:pt idx="4">
                  <c:v>21.810281385281385</c:v>
                </c:pt>
                <c:pt idx="5">
                  <c:v>36.74608225108225</c:v>
                </c:pt>
                <c:pt idx="6">
                  <c:v>42.310074461516102</c:v>
                </c:pt>
                <c:pt idx="7">
                  <c:v>31.183078329882676</c:v>
                </c:pt>
                <c:pt idx="8">
                  <c:v>28.549800144300146</c:v>
                </c:pt>
                <c:pt idx="9">
                  <c:v>38.466378787878789</c:v>
                </c:pt>
                <c:pt idx="10">
                  <c:v>42.409666666666659</c:v>
                </c:pt>
                <c:pt idx="11">
                  <c:v>35.491639751552796</c:v>
                </c:pt>
                <c:pt idx="12">
                  <c:v>58.865861471861471</c:v>
                </c:pt>
                <c:pt idx="13">
                  <c:v>43.930822510822509</c:v>
                </c:pt>
                <c:pt idx="14">
                  <c:v>42.234278499278496</c:v>
                </c:pt>
                <c:pt idx="15">
                  <c:v>37.659233062894394</c:v>
                </c:pt>
                <c:pt idx="16">
                  <c:v>29.054282828282826</c:v>
                </c:pt>
                <c:pt idx="17">
                  <c:v>27.265833333333337</c:v>
                </c:pt>
                <c:pt idx="18">
                  <c:v>44.698681849551413</c:v>
                </c:pt>
                <c:pt idx="19">
                  <c:v>22.190984848484849</c:v>
                </c:pt>
                <c:pt idx="20">
                  <c:v>19.092650793650794</c:v>
                </c:pt>
                <c:pt idx="21">
                  <c:v>23.348405483405482</c:v>
                </c:pt>
                <c:pt idx="22">
                  <c:v>32.943664596273294</c:v>
                </c:pt>
                <c:pt idx="23">
                  <c:v>27.139206349206347</c:v>
                </c:pt>
                <c:pt idx="24">
                  <c:v>22.479814229249012</c:v>
                </c:pt>
                <c:pt idx="25">
                  <c:v>25.649453227931488</c:v>
                </c:pt>
                <c:pt idx="26">
                  <c:v>30.489399585921323</c:v>
                </c:pt>
                <c:pt idx="27">
                  <c:v>23.914621212121208</c:v>
                </c:pt>
                <c:pt idx="28">
                  <c:v>31.881151515151515</c:v>
                </c:pt>
                <c:pt idx="29">
                  <c:v>30.33647186147186</c:v>
                </c:pt>
                <c:pt idx="30">
                  <c:v>59.94892666448731</c:v>
                </c:pt>
                <c:pt idx="31">
                  <c:v>32.909213940648726</c:v>
                </c:pt>
                <c:pt idx="32">
                  <c:v>27.336385281385279</c:v>
                </c:pt>
                <c:pt idx="33">
                  <c:v>26.269484848484847</c:v>
                </c:pt>
                <c:pt idx="34">
                  <c:v>139.05137878787878</c:v>
                </c:pt>
                <c:pt idx="35">
                  <c:v>26.153052795031055</c:v>
                </c:pt>
                <c:pt idx="36">
                  <c:v>21.982545454545455</c:v>
                </c:pt>
                <c:pt idx="37">
                  <c:v>22.402681818181819</c:v>
                </c:pt>
                <c:pt idx="38">
                  <c:v>33.277004830917882</c:v>
                </c:pt>
                <c:pt idx="39">
                  <c:v>22.044075757575758</c:v>
                </c:pt>
                <c:pt idx="40">
                  <c:v>614.3970652173914</c:v>
                </c:pt>
                <c:pt idx="41">
                  <c:v>35.573348484848488</c:v>
                </c:pt>
                <c:pt idx="42">
                  <c:v>48.403974747474741</c:v>
                </c:pt>
                <c:pt idx="43">
                  <c:v>40.644306418219465</c:v>
                </c:pt>
                <c:pt idx="44">
                  <c:v>35.264289510006904</c:v>
                </c:pt>
                <c:pt idx="45">
                  <c:v>72.146825396825406</c:v>
                </c:pt>
                <c:pt idx="46">
                  <c:v>128.86673188405797</c:v>
                </c:pt>
                <c:pt idx="47">
                  <c:v>49.963927875243662</c:v>
                </c:pt>
                <c:pt idx="48">
                  <c:v>25.460595238095237</c:v>
                </c:pt>
                <c:pt idx="49">
                  <c:v>58.951555277081589</c:v>
                </c:pt>
                <c:pt idx="50">
                  <c:v>190.72976992753624</c:v>
                </c:pt>
                <c:pt idx="51">
                  <c:v>35.849230019493177</c:v>
                </c:pt>
                <c:pt idx="52">
                  <c:v>35.832484126984127</c:v>
                </c:pt>
                <c:pt idx="53">
                  <c:v>39.847010582010576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508-4686-9610-EA04B21E2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9391487"/>
        <c:axId val="1439396767"/>
      </c:scatterChart>
      <c:valAx>
        <c:axId val="1439391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396767"/>
        <c:crosses val="autoZero"/>
        <c:crossBetween val="midCat"/>
      </c:valAx>
      <c:valAx>
        <c:axId val="143939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391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OnPeak JP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Sheet1!$C$60</c:f>
              <c:strCache>
                <c:ptCount val="1"/>
                <c:pt idx="0">
                  <c:v>Mass Hub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Sheet1!$D$60:$BE$60</c:f>
              <c:numCache>
                <c:formatCode>#,##0.00</c:formatCode>
                <c:ptCount val="54"/>
                <c:pt idx="0">
                  <c:v>63.793710937500023</c:v>
                </c:pt>
                <c:pt idx="1">
                  <c:v>48.444853515625013</c:v>
                </c:pt>
                <c:pt idx="2">
                  <c:v>55.141689453125004</c:v>
                </c:pt>
                <c:pt idx="3">
                  <c:v>41.796567460317455</c:v>
                </c:pt>
                <c:pt idx="4">
                  <c:v>33.353476562500006</c:v>
                </c:pt>
                <c:pt idx="5">
                  <c:v>34.616933593750005</c:v>
                </c:pt>
                <c:pt idx="6">
                  <c:v>46.289513888888905</c:v>
                </c:pt>
                <c:pt idx="7">
                  <c:v>50.846972656250003</c:v>
                </c:pt>
                <c:pt idx="8">
                  <c:v>89.765515873015843</c:v>
                </c:pt>
                <c:pt idx="9">
                  <c:v>45.063007812499997</c:v>
                </c:pt>
                <c:pt idx="10">
                  <c:v>54.984013671875012</c:v>
                </c:pt>
                <c:pt idx="11">
                  <c:v>167.3350595238096</c:v>
                </c:pt>
                <c:pt idx="12">
                  <c:v>67.341074218749995</c:v>
                </c:pt>
                <c:pt idx="13">
                  <c:v>44.335244140625001</c:v>
                </c:pt>
                <c:pt idx="14">
                  <c:v>41.33302734374999</c:v>
                </c:pt>
                <c:pt idx="15">
                  <c:v>48.027636718749996</c:v>
                </c:pt>
                <c:pt idx="16">
                  <c:v>87.659980158730164</c:v>
                </c:pt>
                <c:pt idx="17">
                  <c:v>28.370332031249998</c:v>
                </c:pt>
                <c:pt idx="18">
                  <c:v>42.395605769230762</c:v>
                </c:pt>
                <c:pt idx="19">
                  <c:v>33.065136718749997</c:v>
                </c:pt>
                <c:pt idx="20">
                  <c:v>30.31946289062499</c:v>
                </c:pt>
                <c:pt idx="21">
                  <c:v>28.207148437500003</c:v>
                </c:pt>
                <c:pt idx="22">
                  <c:v>42.730703124999998</c:v>
                </c:pt>
                <c:pt idx="23">
                  <c:v>38.680972222222231</c:v>
                </c:pt>
                <c:pt idx="24">
                  <c:v>33.978535156249983</c:v>
                </c:pt>
                <c:pt idx="25">
                  <c:v>33.298916015625018</c:v>
                </c:pt>
                <c:pt idx="26">
                  <c:v>31.712827380952376</c:v>
                </c:pt>
                <c:pt idx="27">
                  <c:v>52.552301587301585</c:v>
                </c:pt>
                <c:pt idx="28">
                  <c:v>62.437333984375016</c:v>
                </c:pt>
                <c:pt idx="29">
                  <c:v>35.096416015625003</c:v>
                </c:pt>
                <c:pt idx="30">
                  <c:v>43.041160714285702</c:v>
                </c:pt>
                <c:pt idx="31">
                  <c:v>50.329980468750001</c:v>
                </c:pt>
                <c:pt idx="32">
                  <c:v>45.39648538961039</c:v>
                </c:pt>
                <c:pt idx="33">
                  <c:v>26.314228515625004</c:v>
                </c:pt>
                <c:pt idx="34">
                  <c:v>26.655839843750005</c:v>
                </c:pt>
                <c:pt idx="35">
                  <c:v>37.427333984374997</c:v>
                </c:pt>
                <c:pt idx="36">
                  <c:v>22.788583984375002</c:v>
                </c:pt>
                <c:pt idx="37">
                  <c:v>20.631455078124997</c:v>
                </c:pt>
                <c:pt idx="38">
                  <c:v>26.25682692307694</c:v>
                </c:pt>
                <c:pt idx="39">
                  <c:v>35.830644531250009</c:v>
                </c:pt>
                <c:pt idx="40">
                  <c:v>53.904365079365085</c:v>
                </c:pt>
                <c:pt idx="41">
                  <c:v>32.369072265624986</c:v>
                </c:pt>
                <c:pt idx="42">
                  <c:v>51.308261718750003</c:v>
                </c:pt>
                <c:pt idx="43">
                  <c:v>63.331942307692309</c:v>
                </c:pt>
                <c:pt idx="44">
                  <c:v>112.20933593749999</c:v>
                </c:pt>
                <c:pt idx="45">
                  <c:v>72.895156249999985</c:v>
                </c:pt>
                <c:pt idx="46">
                  <c:v>92.972822265625041</c:v>
                </c:pt>
                <c:pt idx="47">
                  <c:v>83.271041666666676</c:v>
                </c:pt>
                <c:pt idx="48">
                  <c:v>46.788046874999992</c:v>
                </c:pt>
                <c:pt idx="49">
                  <c:v>32.413671874999991</c:v>
                </c:pt>
                <c:pt idx="50">
                  <c:v>40.106951278659615</c:v>
                </c:pt>
                <c:pt idx="51">
                  <c:v>36.491408730158724</c:v>
                </c:pt>
                <c:pt idx="52">
                  <c:v>43.264238281250016</c:v>
                </c:pt>
                <c:pt idx="53">
                  <c:v>30.791240530303028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3C-4A38-8AFF-E1817CCC7D62}"/>
            </c:ext>
          </c:extLst>
        </c:ser>
        <c:ser>
          <c:idx val="1"/>
          <c:order val="1"/>
          <c:tx>
            <c:strRef>
              <c:f>Sheet1!$C$61</c:f>
              <c:strCache>
                <c:ptCount val="1"/>
                <c:pt idx="0">
                  <c:v>NY Zone 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Sheet1!$D$61:$BE$61</c:f>
              <c:numCache>
                <c:formatCode>#,##0.00</c:formatCode>
                <c:ptCount val="54"/>
                <c:pt idx="0">
                  <c:v>40.630429687500012</c:v>
                </c:pt>
                <c:pt idx="1">
                  <c:v>42.511806640624982</c:v>
                </c:pt>
                <c:pt idx="2">
                  <c:v>47.368398437499991</c:v>
                </c:pt>
                <c:pt idx="3">
                  <c:v>36.792847222222221</c:v>
                </c:pt>
                <c:pt idx="4">
                  <c:v>30.628144531250001</c:v>
                </c:pt>
                <c:pt idx="5">
                  <c:v>34.255439453125</c:v>
                </c:pt>
                <c:pt idx="6">
                  <c:v>41.418353174603176</c:v>
                </c:pt>
                <c:pt idx="7">
                  <c:v>39.001152343749993</c:v>
                </c:pt>
                <c:pt idx="8">
                  <c:v>45.623531746031745</c:v>
                </c:pt>
                <c:pt idx="9">
                  <c:v>40.663671874999991</c:v>
                </c:pt>
                <c:pt idx="10">
                  <c:v>53.937705078124999</c:v>
                </c:pt>
                <c:pt idx="11">
                  <c:v>105.87010912698416</c:v>
                </c:pt>
                <c:pt idx="12">
                  <c:v>46.228017578124991</c:v>
                </c:pt>
                <c:pt idx="13">
                  <c:v>44.886210937499996</c:v>
                </c:pt>
                <c:pt idx="14">
                  <c:v>43.024843750000009</c:v>
                </c:pt>
                <c:pt idx="15">
                  <c:v>39.284560546874999</c:v>
                </c:pt>
                <c:pt idx="16">
                  <c:v>53.16058531746031</c:v>
                </c:pt>
                <c:pt idx="17">
                  <c:v>38.357529296875022</c:v>
                </c:pt>
                <c:pt idx="18">
                  <c:v>40.580288461538458</c:v>
                </c:pt>
                <c:pt idx="19">
                  <c:v>34.609042968749996</c:v>
                </c:pt>
                <c:pt idx="20">
                  <c:v>30.752001953124992</c:v>
                </c:pt>
                <c:pt idx="21">
                  <c:v>35.769550781249997</c:v>
                </c:pt>
                <c:pt idx="22">
                  <c:v>46.082998046874998</c:v>
                </c:pt>
                <c:pt idx="23">
                  <c:v>27.32274801587301</c:v>
                </c:pt>
                <c:pt idx="24">
                  <c:v>27.648046875000006</c:v>
                </c:pt>
                <c:pt idx="25">
                  <c:v>33.630214843749989</c:v>
                </c:pt>
                <c:pt idx="26">
                  <c:v>34.760575396825409</c:v>
                </c:pt>
                <c:pt idx="27">
                  <c:v>35.233521825396821</c:v>
                </c:pt>
                <c:pt idx="28">
                  <c:v>36.453183593749991</c:v>
                </c:pt>
                <c:pt idx="29">
                  <c:v>36.833710937500001</c:v>
                </c:pt>
                <c:pt idx="30">
                  <c:v>41.871894841269828</c:v>
                </c:pt>
                <c:pt idx="31">
                  <c:v>36.246835937500002</c:v>
                </c:pt>
                <c:pt idx="32">
                  <c:v>33.755982142857142</c:v>
                </c:pt>
                <c:pt idx="33">
                  <c:v>31.294990234375003</c:v>
                </c:pt>
                <c:pt idx="34">
                  <c:v>33.064990234374996</c:v>
                </c:pt>
                <c:pt idx="35">
                  <c:v>29.202626953125005</c:v>
                </c:pt>
                <c:pt idx="36">
                  <c:v>18.665722656250008</c:v>
                </c:pt>
                <c:pt idx="37">
                  <c:v>20.715585937500002</c:v>
                </c:pt>
                <c:pt idx="38">
                  <c:v>27.979971153846154</c:v>
                </c:pt>
                <c:pt idx="39">
                  <c:v>21.842763671874994</c:v>
                </c:pt>
                <c:pt idx="40">
                  <c:v>25.899017857142859</c:v>
                </c:pt>
                <c:pt idx="41">
                  <c:v>25.555986328124987</c:v>
                </c:pt>
                <c:pt idx="42">
                  <c:v>48.936552734374992</c:v>
                </c:pt>
                <c:pt idx="43">
                  <c:v>49.143096153846137</c:v>
                </c:pt>
                <c:pt idx="44">
                  <c:v>62.414521484374987</c:v>
                </c:pt>
                <c:pt idx="45">
                  <c:v>58.443574218749987</c:v>
                </c:pt>
                <c:pt idx="46">
                  <c:v>83.35432617187503</c:v>
                </c:pt>
                <c:pt idx="47">
                  <c:v>47.555029761904756</c:v>
                </c:pt>
                <c:pt idx="48">
                  <c:v>24.228115234375007</c:v>
                </c:pt>
                <c:pt idx="49">
                  <c:v>22.053837890624994</c:v>
                </c:pt>
                <c:pt idx="50">
                  <c:v>35.917966269841273</c:v>
                </c:pt>
                <c:pt idx="51">
                  <c:v>28.78121031746031</c:v>
                </c:pt>
                <c:pt idx="52">
                  <c:v>32.956162109375001</c:v>
                </c:pt>
                <c:pt idx="53">
                  <c:v>30.120369318181819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3C-4A38-8AFF-E1817CCC7D62}"/>
            </c:ext>
          </c:extLst>
        </c:ser>
        <c:ser>
          <c:idx val="2"/>
          <c:order val="2"/>
          <c:tx>
            <c:strRef>
              <c:f>Sheet1!$C$62</c:f>
              <c:strCache>
                <c:ptCount val="1"/>
                <c:pt idx="0">
                  <c:v>NY Zone 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Sheet1!$D$62:$BE$62</c:f>
              <c:numCache>
                <c:formatCode>#,##0.00</c:formatCode>
                <c:ptCount val="54"/>
                <c:pt idx="0">
                  <c:v>61.319755859375</c:v>
                </c:pt>
                <c:pt idx="1">
                  <c:v>56.261513671875008</c:v>
                </c:pt>
                <c:pt idx="2">
                  <c:v>64.744736328125001</c:v>
                </c:pt>
                <c:pt idx="3">
                  <c:v>42.035863095238099</c:v>
                </c:pt>
                <c:pt idx="4">
                  <c:v>35.479599609374993</c:v>
                </c:pt>
                <c:pt idx="5">
                  <c:v>42.463750000000005</c:v>
                </c:pt>
                <c:pt idx="6">
                  <c:v>49.926091269841251</c:v>
                </c:pt>
                <c:pt idx="7">
                  <c:v>46.815820312500001</c:v>
                </c:pt>
                <c:pt idx="8">
                  <c:v>71.969464285714295</c:v>
                </c:pt>
                <c:pt idx="9">
                  <c:v>47.40742187499999</c:v>
                </c:pt>
                <c:pt idx="10">
                  <c:v>63.43471679687498</c:v>
                </c:pt>
                <c:pt idx="11">
                  <c:v>145.08544642857149</c:v>
                </c:pt>
                <c:pt idx="12">
                  <c:v>49.675136718749997</c:v>
                </c:pt>
                <c:pt idx="13">
                  <c:v>45.55554687499999</c:v>
                </c:pt>
                <c:pt idx="14">
                  <c:v>40.321435546875001</c:v>
                </c:pt>
                <c:pt idx="15">
                  <c:v>42.091767578124994</c:v>
                </c:pt>
                <c:pt idx="16">
                  <c:v>77.999513888888885</c:v>
                </c:pt>
                <c:pt idx="17">
                  <c:v>32.442470703124989</c:v>
                </c:pt>
                <c:pt idx="18">
                  <c:v>38.379144230769235</c:v>
                </c:pt>
                <c:pt idx="19">
                  <c:v>27.262890625000001</c:v>
                </c:pt>
                <c:pt idx="20">
                  <c:v>30.82033203124999</c:v>
                </c:pt>
                <c:pt idx="21">
                  <c:v>28.172070312500008</c:v>
                </c:pt>
                <c:pt idx="22">
                  <c:v>39.596083984375014</c:v>
                </c:pt>
                <c:pt idx="23">
                  <c:v>34.996567460317451</c:v>
                </c:pt>
                <c:pt idx="24">
                  <c:v>34.973046875000001</c:v>
                </c:pt>
                <c:pt idx="25">
                  <c:v>33.375703125000008</c:v>
                </c:pt>
                <c:pt idx="26">
                  <c:v>32.778422619047618</c:v>
                </c:pt>
                <c:pt idx="27">
                  <c:v>41.835218253968264</c:v>
                </c:pt>
                <c:pt idx="28">
                  <c:v>50.315361328125007</c:v>
                </c:pt>
                <c:pt idx="29">
                  <c:v>34.626230468749995</c:v>
                </c:pt>
                <c:pt idx="30">
                  <c:v>40.638591269841257</c:v>
                </c:pt>
                <c:pt idx="31">
                  <c:v>39.415292968750002</c:v>
                </c:pt>
                <c:pt idx="32">
                  <c:v>39.402341269841259</c:v>
                </c:pt>
                <c:pt idx="33">
                  <c:v>23.524111328125002</c:v>
                </c:pt>
                <c:pt idx="34">
                  <c:v>26.111289062499996</c:v>
                </c:pt>
                <c:pt idx="35">
                  <c:v>28.468027343749991</c:v>
                </c:pt>
                <c:pt idx="36">
                  <c:v>21.053603515625003</c:v>
                </c:pt>
                <c:pt idx="37">
                  <c:v>16.977216796875005</c:v>
                </c:pt>
                <c:pt idx="38">
                  <c:v>23.770480769230765</c:v>
                </c:pt>
                <c:pt idx="39">
                  <c:v>27.890839843750008</c:v>
                </c:pt>
                <c:pt idx="40">
                  <c:v>40.681011904761924</c:v>
                </c:pt>
                <c:pt idx="41">
                  <c:v>33.496152343749991</c:v>
                </c:pt>
                <c:pt idx="42">
                  <c:v>48.703144531250004</c:v>
                </c:pt>
                <c:pt idx="43">
                  <c:v>55.870798076923073</c:v>
                </c:pt>
                <c:pt idx="44">
                  <c:v>97.648994140625007</c:v>
                </c:pt>
                <c:pt idx="45">
                  <c:v>80.953066406249988</c:v>
                </c:pt>
                <c:pt idx="46">
                  <c:v>107.24587890624996</c:v>
                </c:pt>
                <c:pt idx="47">
                  <c:v>79.221458333333331</c:v>
                </c:pt>
                <c:pt idx="48">
                  <c:v>42.07116210937501</c:v>
                </c:pt>
                <c:pt idx="49">
                  <c:v>29.055048828124999</c:v>
                </c:pt>
                <c:pt idx="50">
                  <c:v>39.417688492063498</c:v>
                </c:pt>
                <c:pt idx="51">
                  <c:v>32.839454365079369</c:v>
                </c:pt>
                <c:pt idx="52">
                  <c:v>40.821562499999999</c:v>
                </c:pt>
                <c:pt idx="53">
                  <c:v>47.272178030303031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3C-4A38-8AFF-E1817CCC7D62}"/>
            </c:ext>
          </c:extLst>
        </c:ser>
        <c:ser>
          <c:idx val="3"/>
          <c:order val="3"/>
          <c:tx>
            <c:strRef>
              <c:f>Sheet1!$C$63</c:f>
              <c:strCache>
                <c:ptCount val="1"/>
                <c:pt idx="0">
                  <c:v>NY Zone J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Sheet1!$D$63:$BE$63</c:f>
              <c:numCache>
                <c:formatCode>#,##0.00</c:formatCode>
                <c:ptCount val="54"/>
                <c:pt idx="0">
                  <c:v>70.866767578124993</c:v>
                </c:pt>
                <c:pt idx="1">
                  <c:v>61.81411132812498</c:v>
                </c:pt>
                <c:pt idx="2">
                  <c:v>68.602324218750013</c:v>
                </c:pt>
                <c:pt idx="3">
                  <c:v>45.84968253968254</c:v>
                </c:pt>
                <c:pt idx="4">
                  <c:v>40.598867187499984</c:v>
                </c:pt>
                <c:pt idx="5">
                  <c:v>44.787695312499999</c:v>
                </c:pt>
                <c:pt idx="6">
                  <c:v>52.449682539682534</c:v>
                </c:pt>
                <c:pt idx="7">
                  <c:v>48.760292968750008</c:v>
                </c:pt>
                <c:pt idx="8">
                  <c:v>82.751825396825382</c:v>
                </c:pt>
                <c:pt idx="9">
                  <c:v>51.984208984375009</c:v>
                </c:pt>
                <c:pt idx="10">
                  <c:v>67.099775390625013</c:v>
                </c:pt>
                <c:pt idx="11">
                  <c:v>156.84135912698406</c:v>
                </c:pt>
                <c:pt idx="12">
                  <c:v>50.633037109375017</c:v>
                </c:pt>
                <c:pt idx="13">
                  <c:v>47.093769531249976</c:v>
                </c:pt>
                <c:pt idx="14">
                  <c:v>41.267587890624995</c:v>
                </c:pt>
                <c:pt idx="15">
                  <c:v>42.321269531250003</c:v>
                </c:pt>
                <c:pt idx="16">
                  <c:v>80.378015873015883</c:v>
                </c:pt>
                <c:pt idx="17">
                  <c:v>34.555751953125004</c:v>
                </c:pt>
                <c:pt idx="18">
                  <c:v>41.128067307692319</c:v>
                </c:pt>
                <c:pt idx="19">
                  <c:v>28.156972656249998</c:v>
                </c:pt>
                <c:pt idx="20">
                  <c:v>32.810527343750003</c:v>
                </c:pt>
                <c:pt idx="21">
                  <c:v>29.281435546875006</c:v>
                </c:pt>
                <c:pt idx="22">
                  <c:v>42.594873046874994</c:v>
                </c:pt>
                <c:pt idx="23">
                  <c:v>35.888214285714291</c:v>
                </c:pt>
                <c:pt idx="24">
                  <c:v>35.824277343750005</c:v>
                </c:pt>
                <c:pt idx="25">
                  <c:v>38.990224609374998</c:v>
                </c:pt>
                <c:pt idx="26">
                  <c:v>35.719781746031757</c:v>
                </c:pt>
                <c:pt idx="27">
                  <c:v>42.862331349206364</c:v>
                </c:pt>
                <c:pt idx="28">
                  <c:v>61.037626953124992</c:v>
                </c:pt>
                <c:pt idx="29">
                  <c:v>38.236162109375002</c:v>
                </c:pt>
                <c:pt idx="30">
                  <c:v>47.728591269841274</c:v>
                </c:pt>
                <c:pt idx="31">
                  <c:v>43.396132812499992</c:v>
                </c:pt>
                <c:pt idx="32">
                  <c:v>41.584275793650782</c:v>
                </c:pt>
                <c:pt idx="33">
                  <c:v>29.689101562500007</c:v>
                </c:pt>
                <c:pt idx="34">
                  <c:v>29.990937500000001</c:v>
                </c:pt>
                <c:pt idx="35">
                  <c:v>29.507187500000008</c:v>
                </c:pt>
                <c:pt idx="36">
                  <c:v>25.140136718750004</c:v>
                </c:pt>
                <c:pt idx="37">
                  <c:v>17.679121093749998</c:v>
                </c:pt>
                <c:pt idx="38">
                  <c:v>27.956423076923073</c:v>
                </c:pt>
                <c:pt idx="39">
                  <c:v>28.630712890625002</c:v>
                </c:pt>
                <c:pt idx="40">
                  <c:v>42.987460317460304</c:v>
                </c:pt>
                <c:pt idx="41">
                  <c:v>35.948750000000004</c:v>
                </c:pt>
                <c:pt idx="42">
                  <c:v>56.998818359374987</c:v>
                </c:pt>
                <c:pt idx="43">
                  <c:v>58.194730769230752</c:v>
                </c:pt>
                <c:pt idx="44">
                  <c:v>103.22112304687501</c:v>
                </c:pt>
                <c:pt idx="45">
                  <c:v>82.977939453125018</c:v>
                </c:pt>
                <c:pt idx="46">
                  <c:v>113.14671874999999</c:v>
                </c:pt>
                <c:pt idx="47">
                  <c:v>81.199285714285693</c:v>
                </c:pt>
                <c:pt idx="48">
                  <c:v>42.698310546874986</c:v>
                </c:pt>
                <c:pt idx="49">
                  <c:v>29.984570312500001</c:v>
                </c:pt>
                <c:pt idx="50">
                  <c:v>44.44814484126983</c:v>
                </c:pt>
                <c:pt idx="51">
                  <c:v>34.416686507936518</c:v>
                </c:pt>
                <c:pt idx="52">
                  <c:v>48.344560546875009</c:v>
                </c:pt>
                <c:pt idx="53">
                  <c:v>50.205454545454536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3C-4A38-8AFF-E1817CCC7D62}"/>
            </c:ext>
          </c:extLst>
        </c:ser>
        <c:ser>
          <c:idx val="4"/>
          <c:order val="4"/>
          <c:tx>
            <c:strRef>
              <c:f>Sheet1!$C$64</c:f>
              <c:strCache>
                <c:ptCount val="1"/>
                <c:pt idx="0">
                  <c:v>PJM West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Sheet1!$D$64:$BE$64</c:f>
              <c:numCache>
                <c:formatCode>#,##0.00</c:formatCode>
                <c:ptCount val="54"/>
                <c:pt idx="0">
                  <c:v>50.059908115234371</c:v>
                </c:pt>
                <c:pt idx="1">
                  <c:v>59.78809870117189</c:v>
                </c:pt>
                <c:pt idx="2">
                  <c:v>57.162939843749975</c:v>
                </c:pt>
                <c:pt idx="3">
                  <c:v>39.320604523809529</c:v>
                </c:pt>
                <c:pt idx="4">
                  <c:v>34.398327744140623</c:v>
                </c:pt>
                <c:pt idx="5">
                  <c:v>38.54343235351562</c:v>
                </c:pt>
                <c:pt idx="6">
                  <c:v>48.952091091269828</c:v>
                </c:pt>
                <c:pt idx="7">
                  <c:v>41.477144667968737</c:v>
                </c:pt>
                <c:pt idx="8">
                  <c:v>41.997815863095234</c:v>
                </c:pt>
                <c:pt idx="9">
                  <c:v>45.530304316406237</c:v>
                </c:pt>
                <c:pt idx="10">
                  <c:v>48.136464199218764</c:v>
                </c:pt>
                <c:pt idx="11">
                  <c:v>113.57858770833333</c:v>
                </c:pt>
                <c:pt idx="12">
                  <c:v>40.193486718750002</c:v>
                </c:pt>
                <c:pt idx="13">
                  <c:v>50.488559589843774</c:v>
                </c:pt>
                <c:pt idx="14">
                  <c:v>41.389708935546885</c:v>
                </c:pt>
                <c:pt idx="15">
                  <c:v>40.371172851562484</c:v>
                </c:pt>
                <c:pt idx="16">
                  <c:v>56.866776517857168</c:v>
                </c:pt>
                <c:pt idx="17">
                  <c:v>39.147263818359377</c:v>
                </c:pt>
                <c:pt idx="18">
                  <c:v>39.464831807692299</c:v>
                </c:pt>
                <c:pt idx="19">
                  <c:v>31.895178447265625</c:v>
                </c:pt>
                <c:pt idx="20">
                  <c:v>30.103148642578116</c:v>
                </c:pt>
                <c:pt idx="21">
                  <c:v>32.701806339843749</c:v>
                </c:pt>
                <c:pt idx="22">
                  <c:v>38.936782353515625</c:v>
                </c:pt>
                <c:pt idx="23">
                  <c:v>33.269796091269853</c:v>
                </c:pt>
                <c:pt idx="24">
                  <c:v>32.144072138671881</c:v>
                </c:pt>
                <c:pt idx="25">
                  <c:v>32.803312458984372</c:v>
                </c:pt>
                <c:pt idx="26">
                  <c:v>35.491018034722238</c:v>
                </c:pt>
                <c:pt idx="27">
                  <c:v>37.447859950396833</c:v>
                </c:pt>
                <c:pt idx="28">
                  <c:v>48.149713212890617</c:v>
                </c:pt>
                <c:pt idx="29">
                  <c:v>40.616642744140627</c:v>
                </c:pt>
                <c:pt idx="30">
                  <c:v>39.359736765873009</c:v>
                </c:pt>
                <c:pt idx="31">
                  <c:v>37.718337177734377</c:v>
                </c:pt>
                <c:pt idx="32">
                  <c:v>31.989362062499993</c:v>
                </c:pt>
                <c:pt idx="33">
                  <c:v>28.021974775390625</c:v>
                </c:pt>
                <c:pt idx="34">
                  <c:v>31.54453333984376</c:v>
                </c:pt>
                <c:pt idx="35">
                  <c:v>29.950959453124995</c:v>
                </c:pt>
                <c:pt idx="36">
                  <c:v>22.148194208984371</c:v>
                </c:pt>
                <c:pt idx="37">
                  <c:v>21.082735599609382</c:v>
                </c:pt>
                <c:pt idx="38">
                  <c:v>27.867851557692298</c:v>
                </c:pt>
                <c:pt idx="39">
                  <c:v>26.713783007812488</c:v>
                </c:pt>
                <c:pt idx="40">
                  <c:v>33.725189176587293</c:v>
                </c:pt>
                <c:pt idx="41">
                  <c:v>33.442251123046873</c:v>
                </c:pt>
                <c:pt idx="42">
                  <c:v>51.082908603515619</c:v>
                </c:pt>
                <c:pt idx="43">
                  <c:v>63.039203961538469</c:v>
                </c:pt>
                <c:pt idx="44">
                  <c:v>51.991296542968769</c:v>
                </c:pt>
                <c:pt idx="45">
                  <c:v>96.216991533203142</c:v>
                </c:pt>
                <c:pt idx="46">
                  <c:v>109.68786480468749</c:v>
                </c:pt>
                <c:pt idx="47">
                  <c:v>80.320639464285691</c:v>
                </c:pt>
                <c:pt idx="48">
                  <c:v>32.367892265624988</c:v>
                </c:pt>
                <c:pt idx="49">
                  <c:v>33.409791826171876</c:v>
                </c:pt>
                <c:pt idx="50">
                  <c:v>41.477453650793642</c:v>
                </c:pt>
                <c:pt idx="51">
                  <c:v>42.268071707341264</c:v>
                </c:pt>
                <c:pt idx="52">
                  <c:v>33.313120143554691</c:v>
                </c:pt>
                <c:pt idx="53">
                  <c:v>38.592616732007578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3C-4A38-8AFF-E1817CCC7D62}"/>
            </c:ext>
          </c:extLst>
        </c:ser>
        <c:ser>
          <c:idx val="5"/>
          <c:order val="5"/>
          <c:tx>
            <c:strRef>
              <c:f>Sheet1!$C$65</c:f>
              <c:strCache>
                <c:ptCount val="1"/>
                <c:pt idx="0">
                  <c:v>PJM East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Sheet1!$D$65:$BE$65</c:f>
              <c:numCache>
                <c:formatCode>#,##0.00</c:formatCode>
                <c:ptCount val="54"/>
                <c:pt idx="0">
                  <c:v>56.349727597656255</c:v>
                </c:pt>
                <c:pt idx="1">
                  <c:v>65.570403749999997</c:v>
                </c:pt>
                <c:pt idx="2">
                  <c:v>66.498248447265624</c:v>
                </c:pt>
                <c:pt idx="3">
                  <c:v>40.979681686507909</c:v>
                </c:pt>
                <c:pt idx="4">
                  <c:v>38.512803037109371</c:v>
                </c:pt>
                <c:pt idx="5">
                  <c:v>36.974501874023439</c:v>
                </c:pt>
                <c:pt idx="6">
                  <c:v>55.885414017857158</c:v>
                </c:pt>
                <c:pt idx="7">
                  <c:v>46.126044788085935</c:v>
                </c:pt>
                <c:pt idx="8">
                  <c:v>42.607887670634931</c:v>
                </c:pt>
                <c:pt idx="9">
                  <c:v>47.166300820312507</c:v>
                </c:pt>
                <c:pt idx="10">
                  <c:v>55.200128388671871</c:v>
                </c:pt>
                <c:pt idx="11">
                  <c:v>132.34547472222224</c:v>
                </c:pt>
                <c:pt idx="12">
                  <c:v>42.192332373046867</c:v>
                </c:pt>
                <c:pt idx="13">
                  <c:v>53.88701666992187</c:v>
                </c:pt>
                <c:pt idx="14">
                  <c:v>45.337472450195328</c:v>
                </c:pt>
                <c:pt idx="15">
                  <c:v>49.12051941503907</c:v>
                </c:pt>
                <c:pt idx="16">
                  <c:v>67.284598143849209</c:v>
                </c:pt>
                <c:pt idx="17">
                  <c:v>36.819058058593754</c:v>
                </c:pt>
                <c:pt idx="18">
                  <c:v>39.89850856153847</c:v>
                </c:pt>
                <c:pt idx="19">
                  <c:v>30.041686161132823</c:v>
                </c:pt>
                <c:pt idx="20">
                  <c:v>31.266320479492187</c:v>
                </c:pt>
                <c:pt idx="21">
                  <c:v>28.707086242187497</c:v>
                </c:pt>
                <c:pt idx="22">
                  <c:v>40.605906624023433</c:v>
                </c:pt>
                <c:pt idx="23">
                  <c:v>28.828253920634918</c:v>
                </c:pt>
                <c:pt idx="24">
                  <c:v>33.256564817382809</c:v>
                </c:pt>
                <c:pt idx="25">
                  <c:v>32.387231337890618</c:v>
                </c:pt>
                <c:pt idx="26">
                  <c:v>34.354411583333331</c:v>
                </c:pt>
                <c:pt idx="27">
                  <c:v>39.044797251984129</c:v>
                </c:pt>
                <c:pt idx="28">
                  <c:v>49.504310380859373</c:v>
                </c:pt>
                <c:pt idx="29">
                  <c:v>36.593102222656263</c:v>
                </c:pt>
                <c:pt idx="30">
                  <c:v>44.102546398809523</c:v>
                </c:pt>
                <c:pt idx="31">
                  <c:v>46.726428779296853</c:v>
                </c:pt>
                <c:pt idx="32">
                  <c:v>32.971834847222233</c:v>
                </c:pt>
                <c:pt idx="33">
                  <c:v>25.831068302734376</c:v>
                </c:pt>
                <c:pt idx="34">
                  <c:v>33.053068002929678</c:v>
                </c:pt>
                <c:pt idx="35">
                  <c:v>24.318309587890624</c:v>
                </c:pt>
                <c:pt idx="36">
                  <c:v>20.520972998046876</c:v>
                </c:pt>
                <c:pt idx="37">
                  <c:v>17.593087941406253</c:v>
                </c:pt>
                <c:pt idx="38">
                  <c:v>31.668320865384612</c:v>
                </c:pt>
                <c:pt idx="39">
                  <c:v>25.570983962890626</c:v>
                </c:pt>
                <c:pt idx="40">
                  <c:v>38.091326099206348</c:v>
                </c:pt>
                <c:pt idx="41">
                  <c:v>27.102194334960945</c:v>
                </c:pt>
                <c:pt idx="42">
                  <c:v>47.423360076171889</c:v>
                </c:pt>
                <c:pt idx="43">
                  <c:v>53.208447581730766</c:v>
                </c:pt>
                <c:pt idx="44">
                  <c:v>59.631911295898448</c:v>
                </c:pt>
                <c:pt idx="45">
                  <c:v>69.187025800781257</c:v>
                </c:pt>
                <c:pt idx="46">
                  <c:v>107.16011289843746</c:v>
                </c:pt>
                <c:pt idx="47">
                  <c:v>73.545868700396809</c:v>
                </c:pt>
                <c:pt idx="48">
                  <c:v>30.021680592773443</c:v>
                </c:pt>
                <c:pt idx="49">
                  <c:v>22.412589874999991</c:v>
                </c:pt>
                <c:pt idx="50">
                  <c:v>45.396317395833321</c:v>
                </c:pt>
                <c:pt idx="51">
                  <c:v>31.498514935515871</c:v>
                </c:pt>
                <c:pt idx="52">
                  <c:v>28.492379799804688</c:v>
                </c:pt>
                <c:pt idx="53">
                  <c:v>33.808531357007581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3C-4A38-8AFF-E1817CCC7D62}"/>
            </c:ext>
          </c:extLst>
        </c:ser>
        <c:ser>
          <c:idx val="6"/>
          <c:order val="6"/>
          <c:tx>
            <c:strRef>
              <c:f>Sheet1!$C$66</c:f>
              <c:strCache>
                <c:ptCount val="1"/>
                <c:pt idx="0">
                  <c:v>AEP Dayton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Sheet1!$D$66:$BE$66</c:f>
              <c:numCache>
                <c:formatCode>#,##0.00</c:formatCode>
                <c:ptCount val="54"/>
                <c:pt idx="0">
                  <c:v>41.451086953125014</c:v>
                </c:pt>
                <c:pt idx="1">
                  <c:v>51.097349746093769</c:v>
                </c:pt>
                <c:pt idx="2">
                  <c:v>50.310268931640643</c:v>
                </c:pt>
                <c:pt idx="3">
                  <c:v>37.410923978174601</c:v>
                </c:pt>
                <c:pt idx="4">
                  <c:v>32.153772558593758</c:v>
                </c:pt>
                <c:pt idx="5">
                  <c:v>34.709669501953115</c:v>
                </c:pt>
                <c:pt idx="6">
                  <c:v>44.635360783730164</c:v>
                </c:pt>
                <c:pt idx="7">
                  <c:v>38.089502343749999</c:v>
                </c:pt>
                <c:pt idx="8">
                  <c:v>38.017161944444446</c:v>
                </c:pt>
                <c:pt idx="9">
                  <c:v>41.806956083984382</c:v>
                </c:pt>
                <c:pt idx="10">
                  <c:v>41.772417763671875</c:v>
                </c:pt>
                <c:pt idx="11">
                  <c:v>79.351583283730179</c:v>
                </c:pt>
                <c:pt idx="12">
                  <c:v>36.018476103515631</c:v>
                </c:pt>
                <c:pt idx="13">
                  <c:v>50.487840683593745</c:v>
                </c:pt>
                <c:pt idx="14">
                  <c:v>38.234623320312501</c:v>
                </c:pt>
                <c:pt idx="15">
                  <c:v>40.068190000000001</c:v>
                </c:pt>
                <c:pt idx="16">
                  <c:v>43.107304533730151</c:v>
                </c:pt>
                <c:pt idx="17">
                  <c:v>36.571755771484384</c:v>
                </c:pt>
                <c:pt idx="18">
                  <c:v>35.906114451923074</c:v>
                </c:pt>
                <c:pt idx="19">
                  <c:v>30.830603544921882</c:v>
                </c:pt>
                <c:pt idx="20">
                  <c:v>27.466274697265614</c:v>
                </c:pt>
                <c:pt idx="21">
                  <c:v>31.331062939453119</c:v>
                </c:pt>
                <c:pt idx="22">
                  <c:v>37.764263886718759</c:v>
                </c:pt>
                <c:pt idx="23">
                  <c:v>32.442105446428577</c:v>
                </c:pt>
                <c:pt idx="24">
                  <c:v>30.987138056640639</c:v>
                </c:pt>
                <c:pt idx="25">
                  <c:v>33.05749094726562</c:v>
                </c:pt>
                <c:pt idx="26">
                  <c:v>36.590803630952387</c:v>
                </c:pt>
                <c:pt idx="27">
                  <c:v>32.10412905753968</c:v>
                </c:pt>
                <c:pt idx="28">
                  <c:v>39.582188720703122</c:v>
                </c:pt>
                <c:pt idx="29">
                  <c:v>41.904238066406236</c:v>
                </c:pt>
                <c:pt idx="30">
                  <c:v>39.421229632936502</c:v>
                </c:pt>
                <c:pt idx="31">
                  <c:v>38.257041064453134</c:v>
                </c:pt>
                <c:pt idx="32">
                  <c:v>31.43610829365079</c:v>
                </c:pt>
                <c:pt idx="33">
                  <c:v>28.377392499999996</c:v>
                </c:pt>
                <c:pt idx="34">
                  <c:v>33.447289902343748</c:v>
                </c:pt>
                <c:pt idx="35">
                  <c:v>31.069310029296872</c:v>
                </c:pt>
                <c:pt idx="36">
                  <c:v>22.059420146484378</c:v>
                </c:pt>
                <c:pt idx="37">
                  <c:v>22.001264811523441</c:v>
                </c:pt>
                <c:pt idx="38">
                  <c:v>28.843564067307685</c:v>
                </c:pt>
                <c:pt idx="39">
                  <c:v>26.351193564453119</c:v>
                </c:pt>
                <c:pt idx="40">
                  <c:v>34.621264027777784</c:v>
                </c:pt>
                <c:pt idx="41">
                  <c:v>35.869099208984373</c:v>
                </c:pt>
                <c:pt idx="42">
                  <c:v>50.634066757812512</c:v>
                </c:pt>
                <c:pt idx="43">
                  <c:v>59.692029105769222</c:v>
                </c:pt>
                <c:pt idx="44">
                  <c:v>47.353783564453131</c:v>
                </c:pt>
                <c:pt idx="45">
                  <c:v>97.966579931640638</c:v>
                </c:pt>
                <c:pt idx="46">
                  <c:v>102.98987596679692</c:v>
                </c:pt>
                <c:pt idx="47">
                  <c:v>77.87553788690478</c:v>
                </c:pt>
                <c:pt idx="48">
                  <c:v>32.045521113281254</c:v>
                </c:pt>
                <c:pt idx="49">
                  <c:v>33.401455742187494</c:v>
                </c:pt>
                <c:pt idx="50">
                  <c:v>37.978551195436516</c:v>
                </c:pt>
                <c:pt idx="51">
                  <c:v>35.663822867063494</c:v>
                </c:pt>
                <c:pt idx="52">
                  <c:v>31.404473124023443</c:v>
                </c:pt>
                <c:pt idx="53">
                  <c:v>36.525705160984849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3C-4A38-8AFF-E1817CCC7D62}"/>
            </c:ext>
          </c:extLst>
        </c:ser>
        <c:ser>
          <c:idx val="7"/>
          <c:order val="7"/>
          <c:tx>
            <c:strRef>
              <c:f>Sheet1!$C$67</c:f>
              <c:strCache>
                <c:ptCount val="1"/>
                <c:pt idx="0">
                  <c:v>Cinergy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Sheet1!$D$67:$BE$67</c:f>
              <c:numCache>
                <c:formatCode>#,##0.00</c:formatCode>
                <c:ptCount val="54"/>
                <c:pt idx="0">
                  <c:v>41.488797080078136</c:v>
                </c:pt>
                <c:pt idx="1">
                  <c:v>50.985843300781255</c:v>
                </c:pt>
                <c:pt idx="2">
                  <c:v>50.268828780273431</c:v>
                </c:pt>
                <c:pt idx="3">
                  <c:v>37.525041934523813</c:v>
                </c:pt>
                <c:pt idx="4">
                  <c:v>32.221690878906244</c:v>
                </c:pt>
                <c:pt idx="5">
                  <c:v>34.827419687500004</c:v>
                </c:pt>
                <c:pt idx="6">
                  <c:v>44.932445357142846</c:v>
                </c:pt>
                <c:pt idx="7">
                  <c:v>38.199312265625004</c:v>
                </c:pt>
                <c:pt idx="8">
                  <c:v>37.715632986111103</c:v>
                </c:pt>
                <c:pt idx="9">
                  <c:v>41.987925156249993</c:v>
                </c:pt>
                <c:pt idx="10">
                  <c:v>41.924110576171877</c:v>
                </c:pt>
                <c:pt idx="11">
                  <c:v>79.291454067460307</c:v>
                </c:pt>
                <c:pt idx="12">
                  <c:v>36.103588144531251</c:v>
                </c:pt>
                <c:pt idx="13">
                  <c:v>50.610264160156234</c:v>
                </c:pt>
                <c:pt idx="14">
                  <c:v>38.224814638671887</c:v>
                </c:pt>
                <c:pt idx="15">
                  <c:v>39.049467128906258</c:v>
                </c:pt>
                <c:pt idx="16">
                  <c:v>42.983203065476189</c:v>
                </c:pt>
                <c:pt idx="17">
                  <c:v>35.431994833984376</c:v>
                </c:pt>
                <c:pt idx="18">
                  <c:v>35.234762865384596</c:v>
                </c:pt>
                <c:pt idx="19">
                  <c:v>30.793894384765622</c:v>
                </c:pt>
                <c:pt idx="20">
                  <c:v>27.255926289062497</c:v>
                </c:pt>
                <c:pt idx="21">
                  <c:v>31.587512695312501</c:v>
                </c:pt>
                <c:pt idx="22">
                  <c:v>38.382545029296871</c:v>
                </c:pt>
                <c:pt idx="23">
                  <c:v>32.453721736111113</c:v>
                </c:pt>
                <c:pt idx="24">
                  <c:v>31.073804345703124</c:v>
                </c:pt>
                <c:pt idx="25">
                  <c:v>33.234170273437506</c:v>
                </c:pt>
                <c:pt idx="26">
                  <c:v>36.864877966269844</c:v>
                </c:pt>
                <c:pt idx="27">
                  <c:v>32.037018710317462</c:v>
                </c:pt>
                <c:pt idx="28">
                  <c:v>38.43211967773437</c:v>
                </c:pt>
                <c:pt idx="29">
                  <c:v>42.271576689453127</c:v>
                </c:pt>
                <c:pt idx="30">
                  <c:v>39.444371587301603</c:v>
                </c:pt>
                <c:pt idx="31">
                  <c:v>38.586422685546871</c:v>
                </c:pt>
                <c:pt idx="32">
                  <c:v>31.493926150793651</c:v>
                </c:pt>
                <c:pt idx="33">
                  <c:v>28.478751738281261</c:v>
                </c:pt>
                <c:pt idx="34">
                  <c:v>33.813751992187498</c:v>
                </c:pt>
                <c:pt idx="35">
                  <c:v>31.287337099609363</c:v>
                </c:pt>
                <c:pt idx="36">
                  <c:v>22.100511777343751</c:v>
                </c:pt>
                <c:pt idx="37">
                  <c:v>22.022013418945317</c:v>
                </c:pt>
                <c:pt idx="38">
                  <c:v>29.212062211538452</c:v>
                </c:pt>
                <c:pt idx="39">
                  <c:v>26.384724130859375</c:v>
                </c:pt>
                <c:pt idx="40">
                  <c:v>35.00061179563491</c:v>
                </c:pt>
                <c:pt idx="41">
                  <c:v>36.392821035156253</c:v>
                </c:pt>
                <c:pt idx="42">
                  <c:v>50.820207685546869</c:v>
                </c:pt>
                <c:pt idx="43">
                  <c:v>59.065737538461534</c:v>
                </c:pt>
                <c:pt idx="44">
                  <c:v>47.295838554687492</c:v>
                </c:pt>
                <c:pt idx="45">
                  <c:v>98.175654921875022</c:v>
                </c:pt>
                <c:pt idx="46">
                  <c:v>103.11580923828124</c:v>
                </c:pt>
                <c:pt idx="47">
                  <c:v>77.477740089285675</c:v>
                </c:pt>
                <c:pt idx="48">
                  <c:v>31.9691290234375</c:v>
                </c:pt>
                <c:pt idx="49">
                  <c:v>33.341951933593734</c:v>
                </c:pt>
                <c:pt idx="50">
                  <c:v>38.098583238095237</c:v>
                </c:pt>
                <c:pt idx="51">
                  <c:v>35.485830892857145</c:v>
                </c:pt>
                <c:pt idx="52">
                  <c:v>31.490961844726566</c:v>
                </c:pt>
                <c:pt idx="53">
                  <c:v>38.199913371212119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3C-4A38-8AFF-E1817CCC7D62}"/>
            </c:ext>
          </c:extLst>
        </c:ser>
        <c:ser>
          <c:idx val="8"/>
          <c:order val="8"/>
          <c:tx>
            <c:strRef>
              <c:f>Sheet1!$C$68</c:f>
              <c:strCache>
                <c:ptCount val="1"/>
                <c:pt idx="0">
                  <c:v>NI Hub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Sheet1!$D$68:$BE$68</c:f>
              <c:numCache>
                <c:formatCode>#,##0.00</c:formatCode>
                <c:ptCount val="54"/>
                <c:pt idx="0">
                  <c:v>39.612896863281264</c:v>
                </c:pt>
                <c:pt idx="1">
                  <c:v>45.46599732519531</c:v>
                </c:pt>
                <c:pt idx="2">
                  <c:v>47.308313137695315</c:v>
                </c:pt>
                <c:pt idx="3">
                  <c:v>31.727422125992067</c:v>
                </c:pt>
                <c:pt idx="4">
                  <c:v>30.441801791015621</c:v>
                </c:pt>
                <c:pt idx="5">
                  <c:v>32.770161261718748</c:v>
                </c:pt>
                <c:pt idx="6">
                  <c:v>44.877897271825397</c:v>
                </c:pt>
                <c:pt idx="7">
                  <c:v>35.019350765624992</c:v>
                </c:pt>
                <c:pt idx="8">
                  <c:v>34.838090073412694</c:v>
                </c:pt>
                <c:pt idx="9">
                  <c:v>39.428378864257809</c:v>
                </c:pt>
                <c:pt idx="10">
                  <c:v>41.11704862597658</c:v>
                </c:pt>
                <c:pt idx="11">
                  <c:v>72.99622284523808</c:v>
                </c:pt>
                <c:pt idx="12">
                  <c:v>34.355717211914069</c:v>
                </c:pt>
                <c:pt idx="13">
                  <c:v>48.442515457031263</c:v>
                </c:pt>
                <c:pt idx="14">
                  <c:v>37.030601145507809</c:v>
                </c:pt>
                <c:pt idx="15">
                  <c:v>38.673259170898433</c:v>
                </c:pt>
                <c:pt idx="16">
                  <c:v>39.963556904761916</c:v>
                </c:pt>
                <c:pt idx="17">
                  <c:v>30.605513267578125</c:v>
                </c:pt>
                <c:pt idx="18">
                  <c:v>33.950207826923084</c:v>
                </c:pt>
                <c:pt idx="19">
                  <c:v>29.947609584960937</c:v>
                </c:pt>
                <c:pt idx="20">
                  <c:v>26.738570957031257</c:v>
                </c:pt>
                <c:pt idx="21">
                  <c:v>29.587132090820305</c:v>
                </c:pt>
                <c:pt idx="22">
                  <c:v>37.576820068359396</c:v>
                </c:pt>
                <c:pt idx="23">
                  <c:v>31.571357599206348</c:v>
                </c:pt>
                <c:pt idx="24">
                  <c:v>29.354624452148443</c:v>
                </c:pt>
                <c:pt idx="25">
                  <c:v>33.630935440429681</c:v>
                </c:pt>
                <c:pt idx="26">
                  <c:v>34.552619896825405</c:v>
                </c:pt>
                <c:pt idx="27">
                  <c:v>30.295690178571437</c:v>
                </c:pt>
                <c:pt idx="28">
                  <c:v>31.943508934570318</c:v>
                </c:pt>
                <c:pt idx="29">
                  <c:v>32.675592639648428</c:v>
                </c:pt>
                <c:pt idx="30">
                  <c:v>35.347505255952377</c:v>
                </c:pt>
                <c:pt idx="31">
                  <c:v>34.304644281249992</c:v>
                </c:pt>
                <c:pt idx="32">
                  <c:v>28.969230282738096</c:v>
                </c:pt>
                <c:pt idx="33">
                  <c:v>26.528173235351556</c:v>
                </c:pt>
                <c:pt idx="34">
                  <c:v>29.700623769531255</c:v>
                </c:pt>
                <c:pt idx="35">
                  <c:v>26.234041500976559</c:v>
                </c:pt>
                <c:pt idx="36">
                  <c:v>21.235253418945316</c:v>
                </c:pt>
                <c:pt idx="37">
                  <c:v>19.739657540039055</c:v>
                </c:pt>
                <c:pt idx="38">
                  <c:v>25.499949344230771</c:v>
                </c:pt>
                <c:pt idx="39">
                  <c:v>24.293826967773434</c:v>
                </c:pt>
                <c:pt idx="40">
                  <c:v>33.043639490079364</c:v>
                </c:pt>
                <c:pt idx="41">
                  <c:v>31.983159952148441</c:v>
                </c:pt>
                <c:pt idx="42">
                  <c:v>48.446931396484381</c:v>
                </c:pt>
                <c:pt idx="43">
                  <c:v>52.5889435298077</c:v>
                </c:pt>
                <c:pt idx="44">
                  <c:v>41.939459648437492</c:v>
                </c:pt>
                <c:pt idx="45">
                  <c:v>87.490182657226541</c:v>
                </c:pt>
                <c:pt idx="46">
                  <c:v>96.299498681640628</c:v>
                </c:pt>
                <c:pt idx="47">
                  <c:v>68.408140891865116</c:v>
                </c:pt>
                <c:pt idx="48">
                  <c:v>29.547351805664064</c:v>
                </c:pt>
                <c:pt idx="49">
                  <c:v>28.865263314453124</c:v>
                </c:pt>
                <c:pt idx="50">
                  <c:v>37.521002055555542</c:v>
                </c:pt>
                <c:pt idx="51">
                  <c:v>31.091725743055559</c:v>
                </c:pt>
                <c:pt idx="52">
                  <c:v>28.589051429687494</c:v>
                </c:pt>
                <c:pt idx="53">
                  <c:v>31.313585550189391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23C-4A38-8AFF-E1817CCC7D62}"/>
            </c:ext>
          </c:extLst>
        </c:ser>
        <c:ser>
          <c:idx val="9"/>
          <c:order val="9"/>
          <c:tx>
            <c:strRef>
              <c:f>Sheet1!$C$69</c:f>
              <c:strCache>
                <c:ptCount val="1"/>
                <c:pt idx="0">
                  <c:v>ERCOT Houston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Sheet1!$D$69:$BE$69</c:f>
              <c:numCache>
                <c:formatCode>#,##0.00</c:formatCode>
                <c:ptCount val="54"/>
                <c:pt idx="0">
                  <c:v>49.694167480468757</c:v>
                </c:pt>
                <c:pt idx="1">
                  <c:v>41.930664062500007</c:v>
                </c:pt>
                <c:pt idx="2">
                  <c:v>111.00009521484377</c:v>
                </c:pt>
                <c:pt idx="3">
                  <c:v>29.544866071428554</c:v>
                </c:pt>
                <c:pt idx="4">
                  <c:v>25.356325683593752</c:v>
                </c:pt>
                <c:pt idx="5">
                  <c:v>30.825715332031248</c:v>
                </c:pt>
                <c:pt idx="6">
                  <c:v>31.618534226190476</c:v>
                </c:pt>
                <c:pt idx="7">
                  <c:v>27.927487792968755</c:v>
                </c:pt>
                <c:pt idx="8">
                  <c:v>28.835245535714289</c:v>
                </c:pt>
                <c:pt idx="9">
                  <c:v>36.626384277343753</c:v>
                </c:pt>
                <c:pt idx="10">
                  <c:v>43.148923339843755</c:v>
                </c:pt>
                <c:pt idx="11">
                  <c:v>57.726661706349176</c:v>
                </c:pt>
                <c:pt idx="12">
                  <c:v>36.768386230468735</c:v>
                </c:pt>
                <c:pt idx="13">
                  <c:v>44.823835449218755</c:v>
                </c:pt>
                <c:pt idx="14">
                  <c:v>38.568947753906251</c:v>
                </c:pt>
                <c:pt idx="15">
                  <c:v>33.674279785156259</c:v>
                </c:pt>
                <c:pt idx="16">
                  <c:v>26.530957341269843</c:v>
                </c:pt>
                <c:pt idx="17">
                  <c:v>27.875180664062505</c:v>
                </c:pt>
                <c:pt idx="18">
                  <c:v>34.771600961538461</c:v>
                </c:pt>
                <c:pt idx="19">
                  <c:v>23.322177734375007</c:v>
                </c:pt>
                <c:pt idx="20">
                  <c:v>20.53059082031249</c:v>
                </c:pt>
                <c:pt idx="21">
                  <c:v>24.409040527343741</c:v>
                </c:pt>
                <c:pt idx="22">
                  <c:v>33.207656250000007</c:v>
                </c:pt>
                <c:pt idx="23">
                  <c:v>29.754362599206353</c:v>
                </c:pt>
                <c:pt idx="24">
                  <c:v>27.700273437500005</c:v>
                </c:pt>
                <c:pt idx="25">
                  <c:v>46.152717285156264</c:v>
                </c:pt>
                <c:pt idx="26">
                  <c:v>33.043561507936509</c:v>
                </c:pt>
                <c:pt idx="27">
                  <c:v>29.19860119047619</c:v>
                </c:pt>
                <c:pt idx="28">
                  <c:v>33.29329345703124</c:v>
                </c:pt>
                <c:pt idx="29">
                  <c:v>34.823249511718757</c:v>
                </c:pt>
                <c:pt idx="30">
                  <c:v>40.482115575396833</c:v>
                </c:pt>
                <c:pt idx="31">
                  <c:v>40.993491210937492</c:v>
                </c:pt>
                <c:pt idx="32">
                  <c:v>28.242909226190456</c:v>
                </c:pt>
                <c:pt idx="33">
                  <c:v>31.913725585937499</c:v>
                </c:pt>
                <c:pt idx="34">
                  <c:v>122.40767822265624</c:v>
                </c:pt>
                <c:pt idx="35">
                  <c:v>25.18681396484374</c:v>
                </c:pt>
                <c:pt idx="36">
                  <c:v>25.389455566406252</c:v>
                </c:pt>
                <c:pt idx="37">
                  <c:v>24.163076171874994</c:v>
                </c:pt>
                <c:pt idx="38">
                  <c:v>28.463254807692316</c:v>
                </c:pt>
                <c:pt idx="39">
                  <c:v>32.336191406250009</c:v>
                </c:pt>
                <c:pt idx="40">
                  <c:v>592.22788690476182</c:v>
                </c:pt>
                <c:pt idx="41">
                  <c:v>54.102773437499991</c:v>
                </c:pt>
                <c:pt idx="42">
                  <c:v>47.07127197265627</c:v>
                </c:pt>
                <c:pt idx="43">
                  <c:v>47.843759615384613</c:v>
                </c:pt>
                <c:pt idx="44">
                  <c:v>48.174821777343759</c:v>
                </c:pt>
                <c:pt idx="45">
                  <c:v>125.81371093750003</c:v>
                </c:pt>
                <c:pt idx="46">
                  <c:v>126.78043945312503</c:v>
                </c:pt>
                <c:pt idx="47">
                  <c:v>58.898390376984118</c:v>
                </c:pt>
                <c:pt idx="48">
                  <c:v>27.171103515624999</c:v>
                </c:pt>
                <c:pt idx="49">
                  <c:v>57.526582031250008</c:v>
                </c:pt>
                <c:pt idx="50">
                  <c:v>190.2019746393928</c:v>
                </c:pt>
                <c:pt idx="51">
                  <c:v>30.498748228458048</c:v>
                </c:pt>
                <c:pt idx="52">
                  <c:v>26.252270507812497</c:v>
                </c:pt>
                <c:pt idx="53">
                  <c:v>54.867066761363638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23C-4A38-8AFF-E1817CCC7D62}"/>
            </c:ext>
          </c:extLst>
        </c:ser>
        <c:ser>
          <c:idx val="10"/>
          <c:order val="10"/>
          <c:tx>
            <c:strRef>
              <c:f>Sheet1!$C$70</c:f>
              <c:strCache>
                <c:ptCount val="1"/>
                <c:pt idx="0">
                  <c:v>ERCOT North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Sheet1!$D$70:$BE$70</c:f>
              <c:numCache>
                <c:formatCode>#,##0.00</c:formatCode>
                <c:ptCount val="54"/>
                <c:pt idx="0">
                  <c:v>50.755690917968764</c:v>
                </c:pt>
                <c:pt idx="1">
                  <c:v>40.202160644531247</c:v>
                </c:pt>
                <c:pt idx="2">
                  <c:v>106.84378173828125</c:v>
                </c:pt>
                <c:pt idx="3">
                  <c:v>28.962276785714291</c:v>
                </c:pt>
                <c:pt idx="4">
                  <c:v>25.273820800781262</c:v>
                </c:pt>
                <c:pt idx="5">
                  <c:v>31.306391601562503</c:v>
                </c:pt>
                <c:pt idx="6">
                  <c:v>32.226475694444453</c:v>
                </c:pt>
                <c:pt idx="7">
                  <c:v>28.259047851562507</c:v>
                </c:pt>
                <c:pt idx="8">
                  <c:v>29.044474206349211</c:v>
                </c:pt>
                <c:pt idx="9">
                  <c:v>35.193894042968758</c:v>
                </c:pt>
                <c:pt idx="10">
                  <c:v>38.431984863281251</c:v>
                </c:pt>
                <c:pt idx="11">
                  <c:v>60.188559027777771</c:v>
                </c:pt>
                <c:pt idx="12">
                  <c:v>35.855332031250001</c:v>
                </c:pt>
                <c:pt idx="13">
                  <c:v>40.574257812500001</c:v>
                </c:pt>
                <c:pt idx="14">
                  <c:v>37.938735351562507</c:v>
                </c:pt>
                <c:pt idx="15">
                  <c:v>34.462575683593748</c:v>
                </c:pt>
                <c:pt idx="16">
                  <c:v>26.624528769841273</c:v>
                </c:pt>
                <c:pt idx="17">
                  <c:v>27.696826171875006</c:v>
                </c:pt>
                <c:pt idx="18">
                  <c:v>35.113086538461538</c:v>
                </c:pt>
                <c:pt idx="19">
                  <c:v>20.858798828125007</c:v>
                </c:pt>
                <c:pt idx="20">
                  <c:v>19.673029785156263</c:v>
                </c:pt>
                <c:pt idx="21">
                  <c:v>22.350983886718744</c:v>
                </c:pt>
                <c:pt idx="22">
                  <c:v>30.610273437499995</c:v>
                </c:pt>
                <c:pt idx="23">
                  <c:v>25.720223214285713</c:v>
                </c:pt>
                <c:pt idx="24">
                  <c:v>22.746433105468753</c:v>
                </c:pt>
                <c:pt idx="25">
                  <c:v>27.890290527343748</c:v>
                </c:pt>
                <c:pt idx="26">
                  <c:v>29.419799107142854</c:v>
                </c:pt>
                <c:pt idx="27">
                  <c:v>23.559124503968256</c:v>
                </c:pt>
                <c:pt idx="28">
                  <c:v>31.786008300781262</c:v>
                </c:pt>
                <c:pt idx="29">
                  <c:v>34.927832031250006</c:v>
                </c:pt>
                <c:pt idx="30">
                  <c:v>40.341046626984145</c:v>
                </c:pt>
                <c:pt idx="31">
                  <c:v>38.433217773437505</c:v>
                </c:pt>
                <c:pt idx="32">
                  <c:v>28.034399801587305</c:v>
                </c:pt>
                <c:pt idx="33">
                  <c:v>30.218378906250006</c:v>
                </c:pt>
                <c:pt idx="34">
                  <c:v>122.30172851562504</c:v>
                </c:pt>
                <c:pt idx="35">
                  <c:v>24.505498046875001</c:v>
                </c:pt>
                <c:pt idx="36">
                  <c:v>24.492431640624993</c:v>
                </c:pt>
                <c:pt idx="37">
                  <c:v>20.057102050781253</c:v>
                </c:pt>
                <c:pt idx="38">
                  <c:v>27.769141826923082</c:v>
                </c:pt>
                <c:pt idx="39">
                  <c:v>31.137822265625001</c:v>
                </c:pt>
                <c:pt idx="40">
                  <c:v>592.90912450396786</c:v>
                </c:pt>
                <c:pt idx="41">
                  <c:v>43.486250000000005</c:v>
                </c:pt>
                <c:pt idx="42">
                  <c:v>46.140817871093766</c:v>
                </c:pt>
                <c:pt idx="43">
                  <c:v>45.537185096153834</c:v>
                </c:pt>
                <c:pt idx="44">
                  <c:v>45.644868164062501</c:v>
                </c:pt>
                <c:pt idx="45">
                  <c:v>79.032241210937514</c:v>
                </c:pt>
                <c:pt idx="46">
                  <c:v>129.61944580078125</c:v>
                </c:pt>
                <c:pt idx="47">
                  <c:v>56.342827380952379</c:v>
                </c:pt>
                <c:pt idx="48">
                  <c:v>26.897644042968754</c:v>
                </c:pt>
                <c:pt idx="49">
                  <c:v>54.980754394531267</c:v>
                </c:pt>
                <c:pt idx="50">
                  <c:v>188.28167052469132</c:v>
                </c:pt>
                <c:pt idx="51">
                  <c:v>29.276180594923161</c:v>
                </c:pt>
                <c:pt idx="52">
                  <c:v>25.473854980468751</c:v>
                </c:pt>
                <c:pt idx="53">
                  <c:v>49.053707386363634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3C-4A38-8AFF-E1817CCC7D62}"/>
            </c:ext>
          </c:extLst>
        </c:ser>
        <c:ser>
          <c:idx val="11"/>
          <c:order val="11"/>
          <c:tx>
            <c:strRef>
              <c:f>Sheet1!$C$71</c:f>
              <c:strCache>
                <c:ptCount val="1"/>
                <c:pt idx="0">
                  <c:v>ERCOT South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Sheet1!$D$71:$BE$71</c:f>
              <c:numCache>
                <c:formatCode>#,##0.00</c:formatCode>
                <c:ptCount val="54"/>
                <c:pt idx="0">
                  <c:v>55.323972167968762</c:v>
                </c:pt>
                <c:pt idx="1">
                  <c:v>39.6252978515625</c:v>
                </c:pt>
                <c:pt idx="2">
                  <c:v>106.81442871093749</c:v>
                </c:pt>
                <c:pt idx="3">
                  <c:v>29.354828869047626</c:v>
                </c:pt>
                <c:pt idx="4">
                  <c:v>25.648288574218743</c:v>
                </c:pt>
                <c:pt idx="5">
                  <c:v>29.951386718749998</c:v>
                </c:pt>
                <c:pt idx="6">
                  <c:v>31.210275297619049</c:v>
                </c:pt>
                <c:pt idx="7">
                  <c:v>28.586511230468751</c:v>
                </c:pt>
                <c:pt idx="8">
                  <c:v>28.708407738095232</c:v>
                </c:pt>
                <c:pt idx="9">
                  <c:v>36.230866699218758</c:v>
                </c:pt>
                <c:pt idx="10">
                  <c:v>40.352358398437502</c:v>
                </c:pt>
                <c:pt idx="11">
                  <c:v>59.069300595238097</c:v>
                </c:pt>
                <c:pt idx="12">
                  <c:v>36.304406738281251</c:v>
                </c:pt>
                <c:pt idx="13">
                  <c:v>41.673994140624984</c:v>
                </c:pt>
                <c:pt idx="14">
                  <c:v>38.124675292968753</c:v>
                </c:pt>
                <c:pt idx="15">
                  <c:v>34.437966308593751</c:v>
                </c:pt>
                <c:pt idx="16">
                  <c:v>26.435344742063496</c:v>
                </c:pt>
                <c:pt idx="17">
                  <c:v>27.865429687499994</c:v>
                </c:pt>
                <c:pt idx="18">
                  <c:v>34.586947115384625</c:v>
                </c:pt>
                <c:pt idx="19">
                  <c:v>23.201174316406249</c:v>
                </c:pt>
                <c:pt idx="20">
                  <c:v>20.267778320312491</c:v>
                </c:pt>
                <c:pt idx="21">
                  <c:v>22.831770019531245</c:v>
                </c:pt>
                <c:pt idx="22">
                  <c:v>30.974855957031252</c:v>
                </c:pt>
                <c:pt idx="23">
                  <c:v>28.905121527777784</c:v>
                </c:pt>
                <c:pt idx="24">
                  <c:v>24.182224121093753</c:v>
                </c:pt>
                <c:pt idx="25">
                  <c:v>35.500275878906244</c:v>
                </c:pt>
                <c:pt idx="26">
                  <c:v>30.679335317460314</c:v>
                </c:pt>
                <c:pt idx="27">
                  <c:v>26.539970238095233</c:v>
                </c:pt>
                <c:pt idx="28">
                  <c:v>33.080983886718748</c:v>
                </c:pt>
                <c:pt idx="29">
                  <c:v>33.536315917968743</c:v>
                </c:pt>
                <c:pt idx="30">
                  <c:v>39.918117559523822</c:v>
                </c:pt>
                <c:pt idx="31">
                  <c:v>38.715910644531249</c:v>
                </c:pt>
                <c:pt idx="32">
                  <c:v>29.056044146825403</c:v>
                </c:pt>
                <c:pt idx="33">
                  <c:v>29.078244628906251</c:v>
                </c:pt>
                <c:pt idx="34">
                  <c:v>119.47083740234378</c:v>
                </c:pt>
                <c:pt idx="35">
                  <c:v>25.04742431640625</c:v>
                </c:pt>
                <c:pt idx="36">
                  <c:v>24.259626464843752</c:v>
                </c:pt>
                <c:pt idx="37">
                  <c:v>22.036308593749997</c:v>
                </c:pt>
                <c:pt idx="38">
                  <c:v>26.663098557692305</c:v>
                </c:pt>
                <c:pt idx="39">
                  <c:v>31.141801757812498</c:v>
                </c:pt>
                <c:pt idx="40">
                  <c:v>586.04110863095229</c:v>
                </c:pt>
                <c:pt idx="41">
                  <c:v>42.596975097656241</c:v>
                </c:pt>
                <c:pt idx="42">
                  <c:v>43.886821289062496</c:v>
                </c:pt>
                <c:pt idx="43">
                  <c:v>43.671050480769225</c:v>
                </c:pt>
                <c:pt idx="44">
                  <c:v>42.868159179687488</c:v>
                </c:pt>
                <c:pt idx="45">
                  <c:v>85.360087890624996</c:v>
                </c:pt>
                <c:pt idx="46">
                  <c:v>118.90484375</c:v>
                </c:pt>
                <c:pt idx="47">
                  <c:v>56.166865079365074</c:v>
                </c:pt>
                <c:pt idx="48">
                  <c:v>25.853935546875</c:v>
                </c:pt>
                <c:pt idx="49">
                  <c:v>54.408579101562502</c:v>
                </c:pt>
                <c:pt idx="50">
                  <c:v>166.00970612087426</c:v>
                </c:pt>
                <c:pt idx="51">
                  <c:v>29.801390424225247</c:v>
                </c:pt>
                <c:pt idx="52">
                  <c:v>25.633010253906257</c:v>
                </c:pt>
                <c:pt idx="53">
                  <c:v>48.830248579545447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3C-4A38-8AFF-E1817CCC7D62}"/>
            </c:ext>
          </c:extLst>
        </c:ser>
        <c:ser>
          <c:idx val="12"/>
          <c:order val="12"/>
          <c:tx>
            <c:strRef>
              <c:f>Sheet1!$C$72</c:f>
              <c:strCache>
                <c:ptCount val="1"/>
                <c:pt idx="0">
                  <c:v>Palo Verde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Sheet1!$D$72:$BE$72</c:f>
              <c:numCache>
                <c:formatCode>#,##0.00</c:formatCode>
                <c:ptCount val="54"/>
                <c:pt idx="0">
                  <c:v>32.430468750000003</c:v>
                </c:pt>
                <c:pt idx="1">
                  <c:v>36.866093749999997</c:v>
                </c:pt>
                <c:pt idx="2">
                  <c:v>42.871093750000007</c:v>
                </c:pt>
                <c:pt idx="3">
                  <c:v>33.560156250000006</c:v>
                </c:pt>
                <c:pt idx="4">
                  <c:v>25.353281250000002</c:v>
                </c:pt>
                <c:pt idx="5">
                  <c:v>25.953076923076935</c:v>
                </c:pt>
                <c:pt idx="6">
                  <c:v>36.29349206349206</c:v>
                </c:pt>
                <c:pt idx="7">
                  <c:v>31.014769230769229</c:v>
                </c:pt>
                <c:pt idx="8">
                  <c:v>32.511999999999993</c:v>
                </c:pt>
                <c:pt idx="9">
                  <c:v>38.131384615384611</c:v>
                </c:pt>
                <c:pt idx="10">
                  <c:v>42.04296875</c:v>
                </c:pt>
                <c:pt idx="11">
                  <c:v>47.590967741935479</c:v>
                </c:pt>
                <c:pt idx="12">
                  <c:v>37.624062500000001</c:v>
                </c:pt>
                <c:pt idx="13">
                  <c:v>42.762769230769244</c:v>
                </c:pt>
                <c:pt idx="14">
                  <c:v>43.211212121212121</c:v>
                </c:pt>
                <c:pt idx="15">
                  <c:v>36.127031249999987</c:v>
                </c:pt>
                <c:pt idx="16">
                  <c:v>25.419180327868858</c:v>
                </c:pt>
                <c:pt idx="17">
                  <c:v>26.831111111111106</c:v>
                </c:pt>
                <c:pt idx="18">
                  <c:v>33.160312500000011</c:v>
                </c:pt>
                <c:pt idx="19">
                  <c:v>23.980158730158735</c:v>
                </c:pt>
                <c:pt idx="20">
                  <c:v>19.007377049180324</c:v>
                </c:pt>
                <c:pt idx="21">
                  <c:v>22.532187499999996</c:v>
                </c:pt>
                <c:pt idx="22">
                  <c:v>34.896093749999999</c:v>
                </c:pt>
                <c:pt idx="23">
                  <c:v>25.215322580645164</c:v>
                </c:pt>
                <c:pt idx="24">
                  <c:v>23.400322580645167</c:v>
                </c:pt>
                <c:pt idx="25">
                  <c:v>32.938906250000002</c:v>
                </c:pt>
                <c:pt idx="26">
                  <c:v>44.240952380952386</c:v>
                </c:pt>
                <c:pt idx="27">
                  <c:v>30.908548387096779</c:v>
                </c:pt>
                <c:pt idx="28">
                  <c:v>26.38622950819672</c:v>
                </c:pt>
                <c:pt idx="29">
                  <c:v>25.705625000000001</c:v>
                </c:pt>
                <c:pt idx="30">
                  <c:v>69.31</c:v>
                </c:pt>
                <c:pt idx="31">
                  <c:v>42.254262295081972</c:v>
                </c:pt>
                <c:pt idx="32">
                  <c:v>43.625409836065586</c:v>
                </c:pt>
                <c:pt idx="33">
                  <c:v>18.291875000000005</c:v>
                </c:pt>
                <c:pt idx="34">
                  <c:v>42.098253968253964</c:v>
                </c:pt>
                <c:pt idx="35">
                  <c:v>36.370645161290319</c:v>
                </c:pt>
                <c:pt idx="36">
                  <c:v>22.147419354838707</c:v>
                </c:pt>
                <c:pt idx="37">
                  <c:v>19.698437499999997</c:v>
                </c:pt>
                <c:pt idx="38">
                  <c:v>80.149062499999999</c:v>
                </c:pt>
                <c:pt idx="39">
                  <c:v>36.306984126984119</c:v>
                </c:pt>
                <c:pt idx="40">
                  <c:v>40.704918032786885</c:v>
                </c:pt>
                <c:pt idx="41">
                  <c:v>47.497142857142869</c:v>
                </c:pt>
                <c:pt idx="42">
                  <c:v>79.662968750000005</c:v>
                </c:pt>
                <c:pt idx="43">
                  <c:v>53.675483870967746</c:v>
                </c:pt>
                <c:pt idx="44">
                  <c:v>38.835483870967742</c:v>
                </c:pt>
                <c:pt idx="45">
                  <c:v>60.592741935483872</c:v>
                </c:pt>
                <c:pt idx="46">
                  <c:v>128.47765625</c:v>
                </c:pt>
                <c:pt idx="47">
                  <c:v>131.93573770491804</c:v>
                </c:pt>
                <c:pt idx="48">
                  <c:v>83.312096774193549</c:v>
                </c:pt>
                <c:pt idx="49">
                  <c:v>30.681269841269842</c:v>
                </c:pt>
                <c:pt idx="50">
                  <c:v>72.059838709677422</c:v>
                </c:pt>
                <c:pt idx="51">
                  <c:v>50.106721311475411</c:v>
                </c:pt>
                <c:pt idx="52">
                  <c:v>29.977704918032785</c:v>
                </c:pt>
                <c:pt idx="53">
                  <c:v>21.293181818181818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3C-4A38-8AFF-E1817CCC7D62}"/>
            </c:ext>
          </c:extLst>
        </c:ser>
        <c:ser>
          <c:idx val="13"/>
          <c:order val="13"/>
          <c:tx>
            <c:strRef>
              <c:f>Sheet1!$C$73</c:f>
              <c:strCache>
                <c:ptCount val="1"/>
                <c:pt idx="0">
                  <c:v>SP 15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Sheet1!$D$73:$BE$73</c:f>
              <c:numCache>
                <c:formatCode>#,##0.00</c:formatCode>
                <c:ptCount val="54"/>
                <c:pt idx="0">
                  <c:v>30.515116445312522</c:v>
                </c:pt>
                <c:pt idx="1">
                  <c:v>33.011711513798716</c:v>
                </c:pt>
                <c:pt idx="2">
                  <c:v>42.068564527191569</c:v>
                </c:pt>
                <c:pt idx="3">
                  <c:v>32.950429456168834</c:v>
                </c:pt>
                <c:pt idx="4">
                  <c:v>25.307843413149342</c:v>
                </c:pt>
                <c:pt idx="5">
                  <c:v>22.80274092532467</c:v>
                </c:pt>
                <c:pt idx="6">
                  <c:v>35.896205914884867</c:v>
                </c:pt>
                <c:pt idx="7">
                  <c:v>42.475329612418847</c:v>
                </c:pt>
                <c:pt idx="8">
                  <c:v>42.911978651315792</c:v>
                </c:pt>
                <c:pt idx="9">
                  <c:v>45.579805629058441</c:v>
                </c:pt>
                <c:pt idx="10">
                  <c:v>48.084160511363628</c:v>
                </c:pt>
                <c:pt idx="11">
                  <c:v>53.600572129934207</c:v>
                </c:pt>
                <c:pt idx="12">
                  <c:v>45.337906345373376</c:v>
                </c:pt>
                <c:pt idx="13">
                  <c:v>40.900113140016224</c:v>
                </c:pt>
                <c:pt idx="14">
                  <c:v>46.183565756087653</c:v>
                </c:pt>
                <c:pt idx="15">
                  <c:v>41.445947460091979</c:v>
                </c:pt>
                <c:pt idx="16">
                  <c:v>28.829850453771133</c:v>
                </c:pt>
                <c:pt idx="17">
                  <c:v>29.03807379386982</c:v>
                </c:pt>
                <c:pt idx="18">
                  <c:v>35.943119470128089</c:v>
                </c:pt>
                <c:pt idx="19">
                  <c:v>32.371010031004026</c:v>
                </c:pt>
                <c:pt idx="20">
                  <c:v>21.909217117018397</c:v>
                </c:pt>
                <c:pt idx="21">
                  <c:v>21.147224745129879</c:v>
                </c:pt>
                <c:pt idx="22">
                  <c:v>35.217113687499996</c:v>
                </c:pt>
                <c:pt idx="23">
                  <c:v>32.804729900021115</c:v>
                </c:pt>
                <c:pt idx="24">
                  <c:v>27.142658075794955</c:v>
                </c:pt>
                <c:pt idx="25">
                  <c:v>32.083006007440474</c:v>
                </c:pt>
                <c:pt idx="26">
                  <c:v>43.369349766774882</c:v>
                </c:pt>
                <c:pt idx="27">
                  <c:v>48.204032704495603</c:v>
                </c:pt>
                <c:pt idx="28">
                  <c:v>34.474168695211048</c:v>
                </c:pt>
                <c:pt idx="29">
                  <c:v>23.95443183306277</c:v>
                </c:pt>
                <c:pt idx="30">
                  <c:v>51.003023567139003</c:v>
                </c:pt>
                <c:pt idx="31">
                  <c:v>44.596426804537728</c:v>
                </c:pt>
                <c:pt idx="32">
                  <c:v>46.967846090536931</c:v>
                </c:pt>
                <c:pt idx="33">
                  <c:v>25.542138015982516</c:v>
                </c:pt>
                <c:pt idx="34">
                  <c:v>34.362179649943805</c:v>
                </c:pt>
                <c:pt idx="35">
                  <c:v>41.878156186230292</c:v>
                </c:pt>
                <c:pt idx="36">
                  <c:v>27.10574382224026</c:v>
                </c:pt>
                <c:pt idx="37">
                  <c:v>18.219003655979439</c:v>
                </c:pt>
                <c:pt idx="38">
                  <c:v>48.38556450282158</c:v>
                </c:pt>
                <c:pt idx="39">
                  <c:v>47.105372697345658</c:v>
                </c:pt>
                <c:pt idx="40">
                  <c:v>42.414147915021921</c:v>
                </c:pt>
                <c:pt idx="41">
                  <c:v>32.446672731906489</c:v>
                </c:pt>
                <c:pt idx="42">
                  <c:v>69.334495088435375</c:v>
                </c:pt>
                <c:pt idx="43">
                  <c:v>57.389233285173155</c:v>
                </c:pt>
                <c:pt idx="44">
                  <c:v>43.412753255893655</c:v>
                </c:pt>
                <c:pt idx="45">
                  <c:v>56.398528106872277</c:v>
                </c:pt>
                <c:pt idx="46">
                  <c:v>114.02364096827132</c:v>
                </c:pt>
                <c:pt idx="47">
                  <c:v>131.23822152941133</c:v>
                </c:pt>
                <c:pt idx="48">
                  <c:v>84.408843338541644</c:v>
                </c:pt>
                <c:pt idx="49">
                  <c:v>26.055953528440309</c:v>
                </c:pt>
                <c:pt idx="50">
                  <c:v>64.766740272752131</c:v>
                </c:pt>
                <c:pt idx="51">
                  <c:v>46.365914146616539</c:v>
                </c:pt>
                <c:pt idx="52">
                  <c:v>31.473864601859855</c:v>
                </c:pt>
                <c:pt idx="53">
                  <c:v>8.6197923092948709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3C-4A38-8AFF-E1817CCC7D62}"/>
            </c:ext>
          </c:extLst>
        </c:ser>
        <c:ser>
          <c:idx val="14"/>
          <c:order val="14"/>
          <c:tx>
            <c:strRef>
              <c:f>Sheet1!$C$74</c:f>
              <c:strCache>
                <c:ptCount val="1"/>
                <c:pt idx="0">
                  <c:v>NP 15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Sheet1!$D$74:$BE$74</c:f>
              <c:numCache>
                <c:formatCode>#,##0.00</c:formatCode>
                <c:ptCount val="54"/>
                <c:pt idx="0">
                  <c:v>30.24114454975328</c:v>
                </c:pt>
                <c:pt idx="1">
                  <c:v>31.694038658685063</c:v>
                </c:pt>
                <c:pt idx="2">
                  <c:v>41.130466008522738</c:v>
                </c:pt>
                <c:pt idx="3">
                  <c:v>32.790118090503235</c:v>
                </c:pt>
                <c:pt idx="4">
                  <c:v>25.843621564529215</c:v>
                </c:pt>
                <c:pt idx="5">
                  <c:v>26.883430413961047</c:v>
                </c:pt>
                <c:pt idx="6">
                  <c:v>32.092331157483542</c:v>
                </c:pt>
                <c:pt idx="7">
                  <c:v>35.354487767857144</c:v>
                </c:pt>
                <c:pt idx="8">
                  <c:v>38.341412275904609</c:v>
                </c:pt>
                <c:pt idx="9">
                  <c:v>53.221846702516224</c:v>
                </c:pt>
                <c:pt idx="10">
                  <c:v>43.118555716314944</c:v>
                </c:pt>
                <c:pt idx="11">
                  <c:v>54.453317212171072</c:v>
                </c:pt>
                <c:pt idx="12">
                  <c:v>47.006490310470774</c:v>
                </c:pt>
                <c:pt idx="13">
                  <c:v>43.800113599161243</c:v>
                </c:pt>
                <c:pt idx="14">
                  <c:v>46.219888831825891</c:v>
                </c:pt>
                <c:pt idx="15">
                  <c:v>42.75064843777055</c:v>
                </c:pt>
                <c:pt idx="16">
                  <c:v>30.826490857906492</c:v>
                </c:pt>
                <c:pt idx="17">
                  <c:v>36.661938962643021</c:v>
                </c:pt>
                <c:pt idx="18">
                  <c:v>36.175045137228835</c:v>
                </c:pt>
                <c:pt idx="19">
                  <c:v>31.309796634826355</c:v>
                </c:pt>
                <c:pt idx="20">
                  <c:v>23.238426047889615</c:v>
                </c:pt>
                <c:pt idx="21">
                  <c:v>25.958117773133125</c:v>
                </c:pt>
                <c:pt idx="22">
                  <c:v>35.980332387929025</c:v>
                </c:pt>
                <c:pt idx="23">
                  <c:v>36.942520320092108</c:v>
                </c:pt>
                <c:pt idx="24">
                  <c:v>29.92399809991776</c:v>
                </c:pt>
                <c:pt idx="25">
                  <c:v>36.316399976055187</c:v>
                </c:pt>
                <c:pt idx="26">
                  <c:v>47.946497504058435</c:v>
                </c:pt>
                <c:pt idx="27">
                  <c:v>48.663296223684213</c:v>
                </c:pt>
                <c:pt idx="28">
                  <c:v>34.379404778409103</c:v>
                </c:pt>
                <c:pt idx="29">
                  <c:v>24.592463957792205</c:v>
                </c:pt>
                <c:pt idx="30">
                  <c:v>46.127856415169539</c:v>
                </c:pt>
                <c:pt idx="31">
                  <c:v>50.82164682193104</c:v>
                </c:pt>
                <c:pt idx="32">
                  <c:v>49.302507014601495</c:v>
                </c:pt>
                <c:pt idx="33">
                  <c:v>25.533130753188782</c:v>
                </c:pt>
                <c:pt idx="34">
                  <c:v>34.120838849098824</c:v>
                </c:pt>
                <c:pt idx="35">
                  <c:v>41.649988198621543</c:v>
                </c:pt>
                <c:pt idx="36">
                  <c:v>28.089764534496751</c:v>
                </c:pt>
                <c:pt idx="37">
                  <c:v>22.089160764880951</c:v>
                </c:pt>
                <c:pt idx="38">
                  <c:v>48.430959979746447</c:v>
                </c:pt>
                <c:pt idx="39">
                  <c:v>51.239563331376146</c:v>
                </c:pt>
                <c:pt idx="40">
                  <c:v>40.946394117735728</c:v>
                </c:pt>
                <c:pt idx="41">
                  <c:v>38.773463049617078</c:v>
                </c:pt>
                <c:pt idx="42">
                  <c:v>71.632068287646845</c:v>
                </c:pt>
                <c:pt idx="43">
                  <c:v>63.719225430330077</c:v>
                </c:pt>
                <c:pt idx="44">
                  <c:v>49.573147868009848</c:v>
                </c:pt>
                <c:pt idx="45">
                  <c:v>71.314105313176398</c:v>
                </c:pt>
                <c:pt idx="46">
                  <c:v>115.01298944134786</c:v>
                </c:pt>
                <c:pt idx="47">
                  <c:v>142.78170924232185</c:v>
                </c:pt>
                <c:pt idx="48">
                  <c:v>97.02910540609976</c:v>
                </c:pt>
                <c:pt idx="49">
                  <c:v>31.806113050472256</c:v>
                </c:pt>
                <c:pt idx="50">
                  <c:v>51.080826769918865</c:v>
                </c:pt>
                <c:pt idx="51">
                  <c:v>59.518755768829628</c:v>
                </c:pt>
                <c:pt idx="52">
                  <c:v>47.753594561602227</c:v>
                </c:pt>
                <c:pt idx="53">
                  <c:v>22.522428922008544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3C-4A38-8AFF-E1817CCC7D62}"/>
            </c:ext>
          </c:extLst>
        </c:ser>
        <c:ser>
          <c:idx val="15"/>
          <c:order val="15"/>
          <c:tx>
            <c:strRef>
              <c:f>Sheet1!$C$75</c:f>
              <c:strCache>
                <c:ptCount val="1"/>
                <c:pt idx="0">
                  <c:v>Mid C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Sheet1!$D$75:$BE$75</c:f>
              <c:numCache>
                <c:formatCode>#,##0.00</c:formatCode>
                <c:ptCount val="54"/>
                <c:pt idx="0">
                  <c:v>26.340468749999999</c:v>
                </c:pt>
                <c:pt idx="1">
                  <c:v>27.286249999999995</c:v>
                </c:pt>
                <c:pt idx="2">
                  <c:v>33.397500000000015</c:v>
                </c:pt>
                <c:pt idx="3">
                  <c:v>30.906093749999997</c:v>
                </c:pt>
                <c:pt idx="4">
                  <c:v>23.229218750000008</c:v>
                </c:pt>
                <c:pt idx="5">
                  <c:v>12.017692307692307</c:v>
                </c:pt>
                <c:pt idx="6">
                  <c:v>26.9057142857143</c:v>
                </c:pt>
                <c:pt idx="7">
                  <c:v>29.446000000000005</c:v>
                </c:pt>
                <c:pt idx="8">
                  <c:v>30.320000000000007</c:v>
                </c:pt>
                <c:pt idx="9">
                  <c:v>33.439538461538454</c:v>
                </c:pt>
                <c:pt idx="10">
                  <c:v>42.477500000000006</c:v>
                </c:pt>
                <c:pt idx="11">
                  <c:v>47.446612903225798</c:v>
                </c:pt>
                <c:pt idx="12">
                  <c:v>43.603750000000005</c:v>
                </c:pt>
                <c:pt idx="13">
                  <c:v>33.838307692307687</c:v>
                </c:pt>
                <c:pt idx="14">
                  <c:v>40.372878787878776</c:v>
                </c:pt>
                <c:pt idx="15">
                  <c:v>32.739843750000006</c:v>
                </c:pt>
                <c:pt idx="16">
                  <c:v>20.717049180327873</c:v>
                </c:pt>
                <c:pt idx="17">
                  <c:v>28.650317460317464</c:v>
                </c:pt>
                <c:pt idx="18">
                  <c:v>33.344531250000003</c:v>
                </c:pt>
                <c:pt idx="19">
                  <c:v>21.909841269841273</c:v>
                </c:pt>
                <c:pt idx="20">
                  <c:v>17.523114754098362</c:v>
                </c:pt>
                <c:pt idx="21">
                  <c:v>16.668125</c:v>
                </c:pt>
                <c:pt idx="22">
                  <c:v>32.027968749999999</c:v>
                </c:pt>
                <c:pt idx="23">
                  <c:v>25.693387096774195</c:v>
                </c:pt>
                <c:pt idx="24">
                  <c:v>23.318548387096779</c:v>
                </c:pt>
                <c:pt idx="25">
                  <c:v>16.274843750000002</c:v>
                </c:pt>
                <c:pt idx="26">
                  <c:v>38.276507936507947</c:v>
                </c:pt>
                <c:pt idx="27">
                  <c:v>27.148064516129033</c:v>
                </c:pt>
                <c:pt idx="28">
                  <c:v>21.811311475409838</c:v>
                </c:pt>
                <c:pt idx="29">
                  <c:v>18.307187499999998</c:v>
                </c:pt>
                <c:pt idx="30">
                  <c:v>61.464285714285715</c:v>
                </c:pt>
                <c:pt idx="31">
                  <c:v>50.383770491803276</c:v>
                </c:pt>
                <c:pt idx="32">
                  <c:v>54.606393442622952</c:v>
                </c:pt>
                <c:pt idx="33">
                  <c:v>18.408906250000005</c:v>
                </c:pt>
                <c:pt idx="34">
                  <c:v>32.749841269841276</c:v>
                </c:pt>
                <c:pt idx="35">
                  <c:v>37.336612903225813</c:v>
                </c:pt>
                <c:pt idx="36">
                  <c:v>22.91403225806452</c:v>
                </c:pt>
                <c:pt idx="37">
                  <c:v>14.525312500000002</c:v>
                </c:pt>
                <c:pt idx="38">
                  <c:v>33.355468750000007</c:v>
                </c:pt>
                <c:pt idx="39">
                  <c:v>31.174444444444458</c:v>
                </c:pt>
                <c:pt idx="40">
                  <c:v>34.119016393442628</c:v>
                </c:pt>
                <c:pt idx="41">
                  <c:v>52.180634920634937</c:v>
                </c:pt>
                <c:pt idx="42">
                  <c:v>91.340156250000007</c:v>
                </c:pt>
                <c:pt idx="43">
                  <c:v>60.617903225806465</c:v>
                </c:pt>
                <c:pt idx="44">
                  <c:v>39.609354838709677</c:v>
                </c:pt>
                <c:pt idx="45">
                  <c:v>59.141451612903232</c:v>
                </c:pt>
                <c:pt idx="46">
                  <c:v>138.03187499999999</c:v>
                </c:pt>
                <c:pt idx="47">
                  <c:v>153.20704918032789</c:v>
                </c:pt>
                <c:pt idx="48">
                  <c:v>105.23758064516129</c:v>
                </c:pt>
                <c:pt idx="49">
                  <c:v>56.390793650793647</c:v>
                </c:pt>
                <c:pt idx="50">
                  <c:v>82.571129032258057</c:v>
                </c:pt>
                <c:pt idx="51">
                  <c:v>80.132786885245892</c:v>
                </c:pt>
                <c:pt idx="52">
                  <c:v>101.53409836065575</c:v>
                </c:pt>
                <c:pt idx="53">
                  <c:v>31.725303030303035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3C-4A38-8AFF-E1817CCC7D62}"/>
            </c:ext>
          </c:extLst>
        </c:ser>
        <c:ser>
          <c:idx val="16"/>
          <c:order val="16"/>
          <c:tx>
            <c:strRef>
              <c:f>Sheet1!$C$76</c:f>
              <c:strCache>
                <c:ptCount val="1"/>
                <c:pt idx="0">
                  <c:v>ERCOT West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Sheet1!$D$76:$BE$76</c:f>
              <c:numCache>
                <c:formatCode>#,##0.00</c:formatCode>
                <c:ptCount val="54"/>
                <c:pt idx="0">
                  <c:v>44.045515136718748</c:v>
                </c:pt>
                <c:pt idx="1">
                  <c:v>32.527326660156241</c:v>
                </c:pt>
                <c:pt idx="2">
                  <c:v>107.99931884765626</c:v>
                </c:pt>
                <c:pt idx="3">
                  <c:v>25.141532738095243</c:v>
                </c:pt>
                <c:pt idx="4">
                  <c:v>22.386582031250001</c:v>
                </c:pt>
                <c:pt idx="5">
                  <c:v>30.746459960937493</c:v>
                </c:pt>
                <c:pt idx="6">
                  <c:v>32.112728174603177</c:v>
                </c:pt>
                <c:pt idx="7">
                  <c:v>28.814428710937499</c:v>
                </c:pt>
                <c:pt idx="8">
                  <c:v>26.779603174603171</c:v>
                </c:pt>
                <c:pt idx="9">
                  <c:v>33.793859863281241</c:v>
                </c:pt>
                <c:pt idx="10">
                  <c:v>38.988039550781245</c:v>
                </c:pt>
                <c:pt idx="11">
                  <c:v>60.688715277777789</c:v>
                </c:pt>
                <c:pt idx="12">
                  <c:v>36.511301269531252</c:v>
                </c:pt>
                <c:pt idx="13">
                  <c:v>40.715671386718761</c:v>
                </c:pt>
                <c:pt idx="14">
                  <c:v>37.175153808593763</c:v>
                </c:pt>
                <c:pt idx="15">
                  <c:v>34.137402343750011</c:v>
                </c:pt>
                <c:pt idx="16">
                  <c:v>26.590034722222224</c:v>
                </c:pt>
                <c:pt idx="17">
                  <c:v>28.270329589843762</c:v>
                </c:pt>
                <c:pt idx="18">
                  <c:v>35.146574519230789</c:v>
                </c:pt>
                <c:pt idx="19">
                  <c:v>20.522995605468758</c:v>
                </c:pt>
                <c:pt idx="20">
                  <c:v>18.654545898437501</c:v>
                </c:pt>
                <c:pt idx="21">
                  <c:v>20.813508300781255</c:v>
                </c:pt>
                <c:pt idx="22">
                  <c:v>30.13850830078125</c:v>
                </c:pt>
                <c:pt idx="23">
                  <c:v>26.087876984126982</c:v>
                </c:pt>
                <c:pt idx="24">
                  <c:v>21.219472656250005</c:v>
                </c:pt>
                <c:pt idx="25">
                  <c:v>26.678684082031253</c:v>
                </c:pt>
                <c:pt idx="26">
                  <c:v>28.632579365079362</c:v>
                </c:pt>
                <c:pt idx="27">
                  <c:v>23.46141865079365</c:v>
                </c:pt>
                <c:pt idx="28">
                  <c:v>30.740278320312502</c:v>
                </c:pt>
                <c:pt idx="29">
                  <c:v>27.703237304687502</c:v>
                </c:pt>
                <c:pt idx="30">
                  <c:v>38.82652777777777</c:v>
                </c:pt>
                <c:pt idx="31">
                  <c:v>37.711459960937503</c:v>
                </c:pt>
                <c:pt idx="32">
                  <c:v>26.861669146825392</c:v>
                </c:pt>
                <c:pt idx="33">
                  <c:v>27.728427734374993</c:v>
                </c:pt>
                <c:pt idx="34">
                  <c:v>121.16230224609372</c:v>
                </c:pt>
                <c:pt idx="35">
                  <c:v>23.135541992187505</c:v>
                </c:pt>
                <c:pt idx="36">
                  <c:v>24.211206054687501</c:v>
                </c:pt>
                <c:pt idx="37">
                  <c:v>18.436269531250002</c:v>
                </c:pt>
                <c:pt idx="38">
                  <c:v>26.704420673076925</c:v>
                </c:pt>
                <c:pt idx="39">
                  <c:v>27.071333007812495</c:v>
                </c:pt>
                <c:pt idx="40">
                  <c:v>591.3361210317463</c:v>
                </c:pt>
                <c:pt idx="41">
                  <c:v>38.031225585937513</c:v>
                </c:pt>
                <c:pt idx="42">
                  <c:v>42.941721191406252</c:v>
                </c:pt>
                <c:pt idx="43">
                  <c:v>37.202437499999988</c:v>
                </c:pt>
                <c:pt idx="44">
                  <c:v>39.952670898437503</c:v>
                </c:pt>
                <c:pt idx="45">
                  <c:v>66.672590332031248</c:v>
                </c:pt>
                <c:pt idx="46">
                  <c:v>128.17138671874997</c:v>
                </c:pt>
                <c:pt idx="47">
                  <c:v>51.523625992063501</c:v>
                </c:pt>
                <c:pt idx="48">
                  <c:v>24.053054199218753</c:v>
                </c:pt>
                <c:pt idx="49">
                  <c:v>53.814145507812498</c:v>
                </c:pt>
                <c:pt idx="50">
                  <c:v>185.39870000314943</c:v>
                </c:pt>
                <c:pt idx="51">
                  <c:v>31.175121409674986</c:v>
                </c:pt>
                <c:pt idx="52">
                  <c:v>27.790742187500005</c:v>
                </c:pt>
                <c:pt idx="53">
                  <c:v>49.632563920454544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3C-4A38-8AFF-E1817CCC7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9391487"/>
        <c:axId val="1439396767"/>
      </c:scatterChart>
      <c:valAx>
        <c:axId val="1439391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396767"/>
        <c:crosses val="autoZero"/>
        <c:crossBetween val="midCat"/>
      </c:valAx>
      <c:valAx>
        <c:axId val="143939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391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OffPeak Nosso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Sheet1!$C$31</c:f>
              <c:strCache>
                <c:ptCount val="1"/>
                <c:pt idx="0">
                  <c:v>Mass Hub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Sheet1!$D$31:$BE$31</c:f>
              <c:numCache>
                <c:formatCode>#,##0.00</c:formatCode>
                <c:ptCount val="54"/>
                <c:pt idx="0">
                  <c:v>51.296866359447002</c:v>
                </c:pt>
                <c:pt idx="1">
                  <c:v>37.848691756272395</c:v>
                </c:pt>
                <c:pt idx="2">
                  <c:v>39.487150537634406</c:v>
                </c:pt>
                <c:pt idx="3">
                  <c:v>32.54365949820788</c:v>
                </c:pt>
                <c:pt idx="4">
                  <c:v>27.603770856507236</c:v>
                </c:pt>
                <c:pt idx="5">
                  <c:v>22.925189964157706</c:v>
                </c:pt>
                <c:pt idx="6">
                  <c:v>30.909390681003583</c:v>
                </c:pt>
                <c:pt idx="7">
                  <c:v>38.534706093189968</c:v>
                </c:pt>
                <c:pt idx="8">
                  <c:v>73.472530721966208</c:v>
                </c:pt>
                <c:pt idx="9">
                  <c:v>34.163784946236554</c:v>
                </c:pt>
                <c:pt idx="10">
                  <c:v>30.396476702508963</c:v>
                </c:pt>
                <c:pt idx="11">
                  <c:v>50.455003584229395</c:v>
                </c:pt>
                <c:pt idx="12">
                  <c:v>124.76260368663596</c:v>
                </c:pt>
                <c:pt idx="13">
                  <c:v>32.368480286738354</c:v>
                </c:pt>
                <c:pt idx="14">
                  <c:v>26.807985663082434</c:v>
                </c:pt>
                <c:pt idx="15">
                  <c:v>31.098681003584232</c:v>
                </c:pt>
                <c:pt idx="16">
                  <c:v>75.979220430107532</c:v>
                </c:pt>
                <c:pt idx="17">
                  <c:v>18.786734767025091</c:v>
                </c:pt>
                <c:pt idx="18">
                  <c:v>22.47921146953405</c:v>
                </c:pt>
                <c:pt idx="19">
                  <c:v>20.068053763440858</c:v>
                </c:pt>
                <c:pt idx="20">
                  <c:v>22.432013348164627</c:v>
                </c:pt>
                <c:pt idx="21">
                  <c:v>18.637881720430109</c:v>
                </c:pt>
                <c:pt idx="22">
                  <c:v>21.726508960573472</c:v>
                </c:pt>
                <c:pt idx="23">
                  <c:v>28.685555555555556</c:v>
                </c:pt>
                <c:pt idx="24">
                  <c:v>30.078360215053763</c:v>
                </c:pt>
                <c:pt idx="25">
                  <c:v>22.796591397849465</c:v>
                </c:pt>
                <c:pt idx="26">
                  <c:v>19.339096774193546</c:v>
                </c:pt>
                <c:pt idx="27">
                  <c:v>40.938265232974906</c:v>
                </c:pt>
                <c:pt idx="28">
                  <c:v>55.177005376344084</c:v>
                </c:pt>
                <c:pt idx="29">
                  <c:v>27.375885304659501</c:v>
                </c:pt>
                <c:pt idx="30">
                  <c:v>30.551161290322579</c:v>
                </c:pt>
                <c:pt idx="31">
                  <c:v>41.079598566308242</c:v>
                </c:pt>
                <c:pt idx="32">
                  <c:v>39.050039426523291</c:v>
                </c:pt>
                <c:pt idx="33">
                  <c:v>21.593573476702506</c:v>
                </c:pt>
                <c:pt idx="34">
                  <c:v>21.001247311827957</c:v>
                </c:pt>
                <c:pt idx="35">
                  <c:v>28.389189964157705</c:v>
                </c:pt>
                <c:pt idx="36">
                  <c:v>18.584808676307009</c:v>
                </c:pt>
                <c:pt idx="37">
                  <c:v>16.940093189964159</c:v>
                </c:pt>
                <c:pt idx="38">
                  <c:v>17.676243727598564</c:v>
                </c:pt>
                <c:pt idx="39">
                  <c:v>26.185519713261652</c:v>
                </c:pt>
                <c:pt idx="40">
                  <c:v>45.302378136200723</c:v>
                </c:pt>
                <c:pt idx="41">
                  <c:v>24.473648745519711</c:v>
                </c:pt>
                <c:pt idx="42">
                  <c:v>36.748724014336922</c:v>
                </c:pt>
                <c:pt idx="43">
                  <c:v>53.057878136200713</c:v>
                </c:pt>
                <c:pt idx="44">
                  <c:v>101.5824539170507</c:v>
                </c:pt>
                <c:pt idx="45">
                  <c:v>65.072724014336913</c:v>
                </c:pt>
                <c:pt idx="46">
                  <c:v>74.159089852923003</c:v>
                </c:pt>
                <c:pt idx="47">
                  <c:v>72.748222222222225</c:v>
                </c:pt>
                <c:pt idx="48">
                  <c:v>44.912369431643619</c:v>
                </c:pt>
                <c:pt idx="49">
                  <c:v>25.160627240143366</c:v>
                </c:pt>
                <c:pt idx="50">
                  <c:v>29.893921146953403</c:v>
                </c:pt>
                <c:pt idx="51">
                  <c:v>30.864130824372761</c:v>
                </c:pt>
                <c:pt idx="52">
                  <c:v>36.943845454545453</c:v>
                </c:pt>
                <c:pt idx="53">
                  <c:v>24.162336093857832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B7-458A-B703-E2372828FEE9}"/>
            </c:ext>
          </c:extLst>
        </c:ser>
        <c:ser>
          <c:idx val="1"/>
          <c:order val="1"/>
          <c:tx>
            <c:strRef>
              <c:f>Sheet1!$C$32</c:f>
              <c:strCache>
                <c:ptCount val="1"/>
                <c:pt idx="0">
                  <c:v>NY Zone 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Sheet1!$D$32:$BE$32</c:f>
              <c:numCache>
                <c:formatCode>#,##0.00</c:formatCode>
                <c:ptCount val="54"/>
                <c:pt idx="0">
                  <c:v>37.032868663594463</c:v>
                </c:pt>
                <c:pt idx="1">
                  <c:v>32.98023655913979</c:v>
                </c:pt>
                <c:pt idx="2">
                  <c:v>34.503304659498205</c:v>
                </c:pt>
                <c:pt idx="3">
                  <c:v>29.562806451612904</c:v>
                </c:pt>
                <c:pt idx="4">
                  <c:v>24.381701890989987</c:v>
                </c:pt>
                <c:pt idx="5">
                  <c:v>21.391197132616487</c:v>
                </c:pt>
                <c:pt idx="6">
                  <c:v>27.721376344086021</c:v>
                </c:pt>
                <c:pt idx="7">
                  <c:v>31.027853046594984</c:v>
                </c:pt>
                <c:pt idx="8">
                  <c:v>36.364420122887871</c:v>
                </c:pt>
                <c:pt idx="9">
                  <c:v>30.080548387096773</c:v>
                </c:pt>
                <c:pt idx="10">
                  <c:v>28.313258064516134</c:v>
                </c:pt>
                <c:pt idx="11">
                  <c:v>29.42195698924731</c:v>
                </c:pt>
                <c:pt idx="12">
                  <c:v>73.581209677419352</c:v>
                </c:pt>
                <c:pt idx="13">
                  <c:v>28.369978494623656</c:v>
                </c:pt>
                <c:pt idx="14">
                  <c:v>23.791720430107528</c:v>
                </c:pt>
                <c:pt idx="15">
                  <c:v>24.710781362007168</c:v>
                </c:pt>
                <c:pt idx="16">
                  <c:v>41.529708141321045</c:v>
                </c:pt>
                <c:pt idx="17">
                  <c:v>16.369519713261649</c:v>
                </c:pt>
                <c:pt idx="18">
                  <c:v>18.573093189964158</c:v>
                </c:pt>
                <c:pt idx="19">
                  <c:v>13.684541218637994</c:v>
                </c:pt>
                <c:pt idx="20">
                  <c:v>13.619454949944382</c:v>
                </c:pt>
                <c:pt idx="21">
                  <c:v>16.043666666666667</c:v>
                </c:pt>
                <c:pt idx="22">
                  <c:v>20.118397849462365</c:v>
                </c:pt>
                <c:pt idx="23">
                  <c:v>17.12534507477444</c:v>
                </c:pt>
                <c:pt idx="24">
                  <c:v>21.500092165898618</c:v>
                </c:pt>
                <c:pt idx="25">
                  <c:v>14.04462724014337</c:v>
                </c:pt>
                <c:pt idx="26">
                  <c:v>17.20305376344086</c:v>
                </c:pt>
                <c:pt idx="27">
                  <c:v>18.970018945212491</c:v>
                </c:pt>
                <c:pt idx="28">
                  <c:v>29.598152841781872</c:v>
                </c:pt>
                <c:pt idx="29">
                  <c:v>19.864817204301076</c:v>
                </c:pt>
                <c:pt idx="30">
                  <c:v>23.349677419354844</c:v>
                </c:pt>
                <c:pt idx="31">
                  <c:v>24.294716845878138</c:v>
                </c:pt>
                <c:pt idx="32">
                  <c:v>25.894623655913978</c:v>
                </c:pt>
                <c:pt idx="33">
                  <c:v>15.296720430107527</c:v>
                </c:pt>
                <c:pt idx="34">
                  <c:v>17.764580645161292</c:v>
                </c:pt>
                <c:pt idx="35">
                  <c:v>15.108591397849461</c:v>
                </c:pt>
                <c:pt idx="36">
                  <c:v>12.555784204671859</c:v>
                </c:pt>
                <c:pt idx="37">
                  <c:v>11.622985663082437</c:v>
                </c:pt>
                <c:pt idx="38">
                  <c:v>15.898659498207884</c:v>
                </c:pt>
                <c:pt idx="39">
                  <c:v>12.472189964157707</c:v>
                </c:pt>
                <c:pt idx="40">
                  <c:v>20.893191244239635</c:v>
                </c:pt>
                <c:pt idx="41">
                  <c:v>13.84461512791991</c:v>
                </c:pt>
                <c:pt idx="42">
                  <c:v>28.71816845878136</c:v>
                </c:pt>
                <c:pt idx="43">
                  <c:v>32.440774193548386</c:v>
                </c:pt>
                <c:pt idx="44">
                  <c:v>57.393548387096764</c:v>
                </c:pt>
                <c:pt idx="45">
                  <c:v>35.149240143369177</c:v>
                </c:pt>
                <c:pt idx="46">
                  <c:v>61.21443010752688</c:v>
                </c:pt>
                <c:pt idx="47">
                  <c:v>39.155445468509981</c:v>
                </c:pt>
                <c:pt idx="48">
                  <c:v>24.715802611367128</c:v>
                </c:pt>
                <c:pt idx="49">
                  <c:v>17.624915708812257</c:v>
                </c:pt>
                <c:pt idx="50">
                  <c:v>23.509250896057342</c:v>
                </c:pt>
                <c:pt idx="51">
                  <c:v>23.42192300086516</c:v>
                </c:pt>
                <c:pt idx="52">
                  <c:v>30.060170559881346</c:v>
                </c:pt>
                <c:pt idx="53">
                  <c:v>22.331888888888887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B7-458A-B703-E2372828FEE9}"/>
            </c:ext>
          </c:extLst>
        </c:ser>
        <c:ser>
          <c:idx val="2"/>
          <c:order val="2"/>
          <c:tx>
            <c:strRef>
              <c:f>Sheet1!$C$33</c:f>
              <c:strCache>
                <c:ptCount val="1"/>
                <c:pt idx="0">
                  <c:v>NY Zone 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Sheet1!$D$33:$BE$33</c:f>
              <c:numCache>
                <c:formatCode>#,##0.00</c:formatCode>
                <c:ptCount val="54"/>
                <c:pt idx="0">
                  <c:v>49.832369431643627</c:v>
                </c:pt>
                <c:pt idx="1">
                  <c:v>38.196659498207886</c:v>
                </c:pt>
                <c:pt idx="2">
                  <c:v>39.869953405017917</c:v>
                </c:pt>
                <c:pt idx="3">
                  <c:v>32.446896057347672</c:v>
                </c:pt>
                <c:pt idx="4">
                  <c:v>28.417174638487211</c:v>
                </c:pt>
                <c:pt idx="5">
                  <c:v>23.559394265232971</c:v>
                </c:pt>
                <c:pt idx="6">
                  <c:v>30.394480286738354</c:v>
                </c:pt>
                <c:pt idx="7">
                  <c:v>37.821014336917557</c:v>
                </c:pt>
                <c:pt idx="8">
                  <c:v>57.854911674347164</c:v>
                </c:pt>
                <c:pt idx="9">
                  <c:v>34.56705376344086</c:v>
                </c:pt>
                <c:pt idx="10">
                  <c:v>32.063405017921148</c:v>
                </c:pt>
                <c:pt idx="11">
                  <c:v>38.270164874551966</c:v>
                </c:pt>
                <c:pt idx="12">
                  <c:v>109.67565284178185</c:v>
                </c:pt>
                <c:pt idx="13">
                  <c:v>32.258878136200714</c:v>
                </c:pt>
                <c:pt idx="14">
                  <c:v>26.454078853046592</c:v>
                </c:pt>
                <c:pt idx="15">
                  <c:v>28.987458781362008</c:v>
                </c:pt>
                <c:pt idx="16">
                  <c:v>62.256413210445466</c:v>
                </c:pt>
                <c:pt idx="17">
                  <c:v>19.012609318996414</c:v>
                </c:pt>
                <c:pt idx="18">
                  <c:v>21.203415770609322</c:v>
                </c:pt>
                <c:pt idx="19">
                  <c:v>18.284695340501795</c:v>
                </c:pt>
                <c:pt idx="20">
                  <c:v>22.880767519466072</c:v>
                </c:pt>
                <c:pt idx="21">
                  <c:v>20.057222222222222</c:v>
                </c:pt>
                <c:pt idx="22">
                  <c:v>22.48600716845878</c:v>
                </c:pt>
                <c:pt idx="23">
                  <c:v>25.351709430231125</c:v>
                </c:pt>
                <c:pt idx="24">
                  <c:v>30.768744239631342</c:v>
                </c:pt>
                <c:pt idx="25">
                  <c:v>21.996236559139785</c:v>
                </c:pt>
                <c:pt idx="26">
                  <c:v>19.90031899641577</c:v>
                </c:pt>
                <c:pt idx="27">
                  <c:v>29.121787506400409</c:v>
                </c:pt>
                <c:pt idx="28">
                  <c:v>41.133663594470043</c:v>
                </c:pt>
                <c:pt idx="29">
                  <c:v>23.368924731182798</c:v>
                </c:pt>
                <c:pt idx="30">
                  <c:v>26.079046594982078</c:v>
                </c:pt>
                <c:pt idx="31">
                  <c:v>30.732365591397848</c:v>
                </c:pt>
                <c:pt idx="32">
                  <c:v>33.469243471582182</c:v>
                </c:pt>
                <c:pt idx="33">
                  <c:v>18.819888888888887</c:v>
                </c:pt>
                <c:pt idx="34">
                  <c:v>19.617218637992831</c:v>
                </c:pt>
                <c:pt idx="35">
                  <c:v>21.045688172043011</c:v>
                </c:pt>
                <c:pt idx="36">
                  <c:v>17.643225806451614</c:v>
                </c:pt>
                <c:pt idx="37">
                  <c:v>13.957222222222223</c:v>
                </c:pt>
                <c:pt idx="38">
                  <c:v>17.03194982078853</c:v>
                </c:pt>
                <c:pt idx="39">
                  <c:v>21.185268817204303</c:v>
                </c:pt>
                <c:pt idx="40">
                  <c:v>37.94180107526882</c:v>
                </c:pt>
                <c:pt idx="41">
                  <c:v>23.607132863675687</c:v>
                </c:pt>
                <c:pt idx="42">
                  <c:v>35.481172043010751</c:v>
                </c:pt>
                <c:pt idx="43">
                  <c:v>44.915075268817198</c:v>
                </c:pt>
                <c:pt idx="44">
                  <c:v>87.243513824884801</c:v>
                </c:pt>
                <c:pt idx="45">
                  <c:v>62.264602150537634</c:v>
                </c:pt>
                <c:pt idx="46">
                  <c:v>72.464491039426534</c:v>
                </c:pt>
                <c:pt idx="47">
                  <c:v>65.566993087557606</c:v>
                </c:pt>
                <c:pt idx="48">
                  <c:v>36.858421658986167</c:v>
                </c:pt>
                <c:pt idx="49">
                  <c:v>22.970536398467431</c:v>
                </c:pt>
                <c:pt idx="50">
                  <c:v>25.714297491039428</c:v>
                </c:pt>
                <c:pt idx="51">
                  <c:v>27.253833889506861</c:v>
                </c:pt>
                <c:pt idx="52">
                  <c:v>36.448939562476831</c:v>
                </c:pt>
                <c:pt idx="53">
                  <c:v>23.927555555555557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B7-458A-B703-E2372828FEE9}"/>
            </c:ext>
          </c:extLst>
        </c:ser>
        <c:ser>
          <c:idx val="3"/>
          <c:order val="3"/>
          <c:tx>
            <c:strRef>
              <c:f>Sheet1!$C$34</c:f>
              <c:strCache>
                <c:ptCount val="1"/>
                <c:pt idx="0">
                  <c:v>NY Zone J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Sheet1!$D$34:$BE$34</c:f>
              <c:numCache>
                <c:formatCode>#,##0.00</c:formatCode>
                <c:ptCount val="54"/>
                <c:pt idx="0">
                  <c:v>51.161274961597542</c:v>
                </c:pt>
                <c:pt idx="1">
                  <c:v>39.794799283154113</c:v>
                </c:pt>
                <c:pt idx="2">
                  <c:v>42.363906810035843</c:v>
                </c:pt>
                <c:pt idx="3">
                  <c:v>33.005652329749104</c:v>
                </c:pt>
                <c:pt idx="4">
                  <c:v>29.190281794586578</c:v>
                </c:pt>
                <c:pt idx="5">
                  <c:v>23.921107526881723</c:v>
                </c:pt>
                <c:pt idx="6">
                  <c:v>31.51432974910394</c:v>
                </c:pt>
                <c:pt idx="7">
                  <c:v>38.191788530465949</c:v>
                </c:pt>
                <c:pt idx="8">
                  <c:v>59.372173579109067</c:v>
                </c:pt>
                <c:pt idx="9">
                  <c:v>34.966254480286736</c:v>
                </c:pt>
                <c:pt idx="10">
                  <c:v>34.444086021505377</c:v>
                </c:pt>
                <c:pt idx="11">
                  <c:v>38.17682078853047</c:v>
                </c:pt>
                <c:pt idx="12">
                  <c:v>110.80913594470046</c:v>
                </c:pt>
                <c:pt idx="13">
                  <c:v>32.583774193548386</c:v>
                </c:pt>
                <c:pt idx="14">
                  <c:v>26.740491039426526</c:v>
                </c:pt>
                <c:pt idx="15">
                  <c:v>29.155935483870966</c:v>
                </c:pt>
                <c:pt idx="16">
                  <c:v>62.649124423963137</c:v>
                </c:pt>
                <c:pt idx="17">
                  <c:v>19.334329749103944</c:v>
                </c:pt>
                <c:pt idx="18">
                  <c:v>21.914577060931901</c:v>
                </c:pt>
                <c:pt idx="19">
                  <c:v>18.604017921146951</c:v>
                </c:pt>
                <c:pt idx="20">
                  <c:v>23.245472747497221</c:v>
                </c:pt>
                <c:pt idx="21">
                  <c:v>20.706</c:v>
                </c:pt>
                <c:pt idx="22">
                  <c:v>23.470032258064517</c:v>
                </c:pt>
                <c:pt idx="23">
                  <c:v>25.644837597330365</c:v>
                </c:pt>
                <c:pt idx="24">
                  <c:v>31.019327956989244</c:v>
                </c:pt>
                <c:pt idx="25">
                  <c:v>23.146419354838713</c:v>
                </c:pt>
                <c:pt idx="26">
                  <c:v>21.334315412186381</c:v>
                </c:pt>
                <c:pt idx="27">
                  <c:v>29.886137480798769</c:v>
                </c:pt>
                <c:pt idx="28">
                  <c:v>43.005145929339477</c:v>
                </c:pt>
                <c:pt idx="29">
                  <c:v>24.130146953405017</c:v>
                </c:pt>
                <c:pt idx="30">
                  <c:v>27.585476702508959</c:v>
                </c:pt>
                <c:pt idx="31">
                  <c:v>31.206659498207888</c:v>
                </c:pt>
                <c:pt idx="32">
                  <c:v>33.971586021505374</c:v>
                </c:pt>
                <c:pt idx="33">
                  <c:v>20.270584229390682</c:v>
                </c:pt>
                <c:pt idx="34">
                  <c:v>20.802702508960575</c:v>
                </c:pt>
                <c:pt idx="35">
                  <c:v>21.381075268817202</c:v>
                </c:pt>
                <c:pt idx="36">
                  <c:v>18.117141268075638</c:v>
                </c:pt>
                <c:pt idx="37">
                  <c:v>14.259394265232975</c:v>
                </c:pt>
                <c:pt idx="38">
                  <c:v>17.748326164874552</c:v>
                </c:pt>
                <c:pt idx="39">
                  <c:v>21.52146953405018</c:v>
                </c:pt>
                <c:pt idx="40">
                  <c:v>39.105337941628264</c:v>
                </c:pt>
                <c:pt idx="41">
                  <c:v>24.03318304288716</c:v>
                </c:pt>
                <c:pt idx="42">
                  <c:v>36.836175627240138</c:v>
                </c:pt>
                <c:pt idx="43">
                  <c:v>45.872469534050175</c:v>
                </c:pt>
                <c:pt idx="44">
                  <c:v>88.458678955453152</c:v>
                </c:pt>
                <c:pt idx="45">
                  <c:v>63.297992831541215</c:v>
                </c:pt>
                <c:pt idx="46">
                  <c:v>74.259928315412182</c:v>
                </c:pt>
                <c:pt idx="47">
                  <c:v>66.52692396313364</c:v>
                </c:pt>
                <c:pt idx="48">
                  <c:v>37.143759600614437</c:v>
                </c:pt>
                <c:pt idx="49">
                  <c:v>23.300735632183905</c:v>
                </c:pt>
                <c:pt idx="50">
                  <c:v>26.238448028673833</c:v>
                </c:pt>
                <c:pt idx="51">
                  <c:v>27.636859349894944</c:v>
                </c:pt>
                <c:pt idx="52">
                  <c:v>37.509284390063037</c:v>
                </c:pt>
                <c:pt idx="53">
                  <c:v>24.476444444444443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B7-458A-B703-E2372828FEE9}"/>
            </c:ext>
          </c:extLst>
        </c:ser>
        <c:ser>
          <c:idx val="4"/>
          <c:order val="4"/>
          <c:tx>
            <c:strRef>
              <c:f>Sheet1!$C$35</c:f>
              <c:strCache>
                <c:ptCount val="1"/>
                <c:pt idx="0">
                  <c:v>PJM West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Sheet1!$D$35:$BE$35</c:f>
              <c:numCache>
                <c:formatCode>#,##0.00</c:formatCode>
                <c:ptCount val="54"/>
                <c:pt idx="0">
                  <c:v>41.578717357910911</c:v>
                </c:pt>
                <c:pt idx="1">
                  <c:v>34.073795698924734</c:v>
                </c:pt>
                <c:pt idx="2">
                  <c:v>33.979060931899639</c:v>
                </c:pt>
                <c:pt idx="3">
                  <c:v>31.896204301075269</c:v>
                </c:pt>
                <c:pt idx="4">
                  <c:v>28.550674823878381</c:v>
                </c:pt>
                <c:pt idx="5">
                  <c:v>23.868584229390677</c:v>
                </c:pt>
                <c:pt idx="6">
                  <c:v>26.3534229390681</c:v>
                </c:pt>
                <c:pt idx="7">
                  <c:v>31.292283154121861</c:v>
                </c:pt>
                <c:pt idx="8">
                  <c:v>33.64162442396313</c:v>
                </c:pt>
                <c:pt idx="9">
                  <c:v>31.076566308243731</c:v>
                </c:pt>
                <c:pt idx="10">
                  <c:v>28.67313978494624</c:v>
                </c:pt>
                <c:pt idx="11">
                  <c:v>32.954774193548381</c:v>
                </c:pt>
                <c:pt idx="12">
                  <c:v>75.767427035330243</c:v>
                </c:pt>
                <c:pt idx="13">
                  <c:v>32.419921146953406</c:v>
                </c:pt>
                <c:pt idx="14">
                  <c:v>27.762207885304662</c:v>
                </c:pt>
                <c:pt idx="15">
                  <c:v>30.251068100358424</c:v>
                </c:pt>
                <c:pt idx="16">
                  <c:v>45.347515360983103</c:v>
                </c:pt>
                <c:pt idx="17">
                  <c:v>25.62824014336918</c:v>
                </c:pt>
                <c:pt idx="18">
                  <c:v>23.18509318996416</c:v>
                </c:pt>
                <c:pt idx="19">
                  <c:v>23.37556630824373</c:v>
                </c:pt>
                <c:pt idx="20">
                  <c:v>25.254738598442714</c:v>
                </c:pt>
                <c:pt idx="21">
                  <c:v>21.0236164874552</c:v>
                </c:pt>
                <c:pt idx="22">
                  <c:v>22.789408602150541</c:v>
                </c:pt>
                <c:pt idx="23">
                  <c:v>25.739426523297492</c:v>
                </c:pt>
                <c:pt idx="24">
                  <c:v>26.821432411674351</c:v>
                </c:pt>
                <c:pt idx="25">
                  <c:v>22.619584229390682</c:v>
                </c:pt>
                <c:pt idx="26">
                  <c:v>21.91022580645161</c:v>
                </c:pt>
                <c:pt idx="27">
                  <c:v>27.646648745519713</c:v>
                </c:pt>
                <c:pt idx="28">
                  <c:v>41.514711981566826</c:v>
                </c:pt>
                <c:pt idx="29">
                  <c:v>26.223602150537634</c:v>
                </c:pt>
                <c:pt idx="30">
                  <c:v>24.317541218637995</c:v>
                </c:pt>
                <c:pt idx="31">
                  <c:v>30.413071684587816</c:v>
                </c:pt>
                <c:pt idx="32">
                  <c:v>27.751643625192013</c:v>
                </c:pt>
                <c:pt idx="33">
                  <c:v>20.281756272401434</c:v>
                </c:pt>
                <c:pt idx="34">
                  <c:v>20.168591397849461</c:v>
                </c:pt>
                <c:pt idx="35">
                  <c:v>22.603118279569895</c:v>
                </c:pt>
                <c:pt idx="36">
                  <c:v>18.024412309974046</c:v>
                </c:pt>
                <c:pt idx="37">
                  <c:v>14.567286738351255</c:v>
                </c:pt>
                <c:pt idx="38">
                  <c:v>16.527161290322582</c:v>
                </c:pt>
                <c:pt idx="39">
                  <c:v>19.666247311827956</c:v>
                </c:pt>
                <c:pt idx="40">
                  <c:v>27.673275729646701</c:v>
                </c:pt>
                <c:pt idx="41">
                  <c:v>23.018985663082436</c:v>
                </c:pt>
                <c:pt idx="42">
                  <c:v>31.685784946236563</c:v>
                </c:pt>
                <c:pt idx="43">
                  <c:v>46.920946236559139</c:v>
                </c:pt>
                <c:pt idx="44">
                  <c:v>51.972269585253457</c:v>
                </c:pt>
                <c:pt idx="45">
                  <c:v>60.19919713261649</c:v>
                </c:pt>
                <c:pt idx="46">
                  <c:v>67.690129032258071</c:v>
                </c:pt>
                <c:pt idx="47">
                  <c:v>61.581353355580269</c:v>
                </c:pt>
                <c:pt idx="48">
                  <c:v>29.256540706605222</c:v>
                </c:pt>
                <c:pt idx="49">
                  <c:v>23.281329749103943</c:v>
                </c:pt>
                <c:pt idx="50">
                  <c:v>23.084802867383512</c:v>
                </c:pt>
                <c:pt idx="51">
                  <c:v>32.060279569892479</c:v>
                </c:pt>
                <c:pt idx="52">
                  <c:v>30.478301816833522</c:v>
                </c:pt>
                <c:pt idx="53">
                  <c:v>23.49981609195402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B7-458A-B703-E2372828FEE9}"/>
            </c:ext>
          </c:extLst>
        </c:ser>
        <c:ser>
          <c:idx val="5"/>
          <c:order val="5"/>
          <c:tx>
            <c:strRef>
              <c:f>Sheet1!$C$36</c:f>
              <c:strCache>
                <c:ptCount val="1"/>
                <c:pt idx="0">
                  <c:v>PJM East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Sheet1!$D$36:$BE$36</c:f>
              <c:numCache>
                <c:formatCode>#,##0.00</c:formatCode>
                <c:ptCount val="54"/>
                <c:pt idx="0">
                  <c:v>48.083571428571425</c:v>
                </c:pt>
                <c:pt idx="1">
                  <c:v>36.092243727598564</c:v>
                </c:pt>
                <c:pt idx="2">
                  <c:v>37.203688172043009</c:v>
                </c:pt>
                <c:pt idx="3">
                  <c:v>31.937677419354841</c:v>
                </c:pt>
                <c:pt idx="4">
                  <c:v>29.177601038190584</c:v>
                </c:pt>
                <c:pt idx="5">
                  <c:v>23.388035842293906</c:v>
                </c:pt>
                <c:pt idx="6">
                  <c:v>29.063060931899642</c:v>
                </c:pt>
                <c:pt idx="7">
                  <c:v>33.259293906810036</c:v>
                </c:pt>
                <c:pt idx="8">
                  <c:v>34.311420890937022</c:v>
                </c:pt>
                <c:pt idx="9">
                  <c:v>32.601010752688175</c:v>
                </c:pt>
                <c:pt idx="10">
                  <c:v>30.45610752688172</c:v>
                </c:pt>
                <c:pt idx="11">
                  <c:v>33.582250896057353</c:v>
                </c:pt>
                <c:pt idx="12">
                  <c:v>92.80697388632872</c:v>
                </c:pt>
                <c:pt idx="13">
                  <c:v>32.843103942652327</c:v>
                </c:pt>
                <c:pt idx="14">
                  <c:v>26.12511111111111</c:v>
                </c:pt>
                <c:pt idx="15">
                  <c:v>38.056275985663078</c:v>
                </c:pt>
                <c:pt idx="16">
                  <c:v>55.255990783410141</c:v>
                </c:pt>
                <c:pt idx="17">
                  <c:v>24.929222222222222</c:v>
                </c:pt>
                <c:pt idx="18">
                  <c:v>20.540412186379928</c:v>
                </c:pt>
                <c:pt idx="19">
                  <c:v>23.924777777777777</c:v>
                </c:pt>
                <c:pt idx="20">
                  <c:v>27.279276974416018</c:v>
                </c:pt>
                <c:pt idx="21">
                  <c:v>19.281114695340502</c:v>
                </c:pt>
                <c:pt idx="22">
                  <c:v>21.88145878136201</c:v>
                </c:pt>
                <c:pt idx="23">
                  <c:v>20.956806451612902</c:v>
                </c:pt>
                <c:pt idx="24">
                  <c:v>28.99066052227343</c:v>
                </c:pt>
                <c:pt idx="25">
                  <c:v>21.984344086021505</c:v>
                </c:pt>
                <c:pt idx="26">
                  <c:v>19.496293906810038</c:v>
                </c:pt>
                <c:pt idx="27">
                  <c:v>30.979917562724012</c:v>
                </c:pt>
                <c:pt idx="28">
                  <c:v>45.176466973886328</c:v>
                </c:pt>
                <c:pt idx="29">
                  <c:v>24.124985663082438</c:v>
                </c:pt>
                <c:pt idx="30">
                  <c:v>24.36968100358423</c:v>
                </c:pt>
                <c:pt idx="31">
                  <c:v>33.634921146953403</c:v>
                </c:pt>
                <c:pt idx="32">
                  <c:v>28.109600614439326</c:v>
                </c:pt>
                <c:pt idx="33">
                  <c:v>19.133071684587815</c:v>
                </c:pt>
                <c:pt idx="34">
                  <c:v>19.015007168458784</c:v>
                </c:pt>
                <c:pt idx="35">
                  <c:v>19.379817204301077</c:v>
                </c:pt>
                <c:pt idx="36">
                  <c:v>17.356863181312573</c:v>
                </c:pt>
                <c:pt idx="37">
                  <c:v>13.666727598566309</c:v>
                </c:pt>
                <c:pt idx="38">
                  <c:v>15.57025448028674</c:v>
                </c:pt>
                <c:pt idx="39">
                  <c:v>18.875394265232973</c:v>
                </c:pt>
                <c:pt idx="40">
                  <c:v>32.46409370199693</c:v>
                </c:pt>
                <c:pt idx="41">
                  <c:v>21.19268458781362</c:v>
                </c:pt>
                <c:pt idx="42">
                  <c:v>30.895795698924729</c:v>
                </c:pt>
                <c:pt idx="43">
                  <c:v>42.39137275985663</c:v>
                </c:pt>
                <c:pt idx="44">
                  <c:v>54.478141321044546</c:v>
                </c:pt>
                <c:pt idx="45">
                  <c:v>54.540469534050182</c:v>
                </c:pt>
                <c:pt idx="46">
                  <c:v>64.93725448028674</c:v>
                </c:pt>
                <c:pt idx="47">
                  <c:v>58.797000370782349</c:v>
                </c:pt>
                <c:pt idx="48">
                  <c:v>26.868467741935486</c:v>
                </c:pt>
                <c:pt idx="49">
                  <c:v>17.471865282412555</c:v>
                </c:pt>
                <c:pt idx="50">
                  <c:v>20.126082437275986</c:v>
                </c:pt>
                <c:pt idx="51">
                  <c:v>24.936168458781356</c:v>
                </c:pt>
                <c:pt idx="52">
                  <c:v>27.067408231368187</c:v>
                </c:pt>
                <c:pt idx="53">
                  <c:v>20.294620689655172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B7-458A-B703-E2372828FEE9}"/>
            </c:ext>
          </c:extLst>
        </c:ser>
        <c:ser>
          <c:idx val="6"/>
          <c:order val="6"/>
          <c:tx>
            <c:strRef>
              <c:f>Sheet1!$C$37</c:f>
              <c:strCache>
                <c:ptCount val="1"/>
                <c:pt idx="0">
                  <c:v>AEP Dayton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Sheet1!$D$37:$BE$37</c:f>
              <c:numCache>
                <c:formatCode>#,##0.00</c:formatCode>
                <c:ptCount val="54"/>
                <c:pt idx="0">
                  <c:v>33.347884024577574</c:v>
                </c:pt>
                <c:pt idx="1">
                  <c:v>30.961928315412191</c:v>
                </c:pt>
                <c:pt idx="2">
                  <c:v>31.972670250896059</c:v>
                </c:pt>
                <c:pt idx="3">
                  <c:v>30.547093189964158</c:v>
                </c:pt>
                <c:pt idx="4">
                  <c:v>25.68882461994809</c:v>
                </c:pt>
                <c:pt idx="5">
                  <c:v>21.720017921146951</c:v>
                </c:pt>
                <c:pt idx="6">
                  <c:v>25.605992831541219</c:v>
                </c:pt>
                <c:pt idx="7">
                  <c:v>29.721530465949822</c:v>
                </c:pt>
                <c:pt idx="8">
                  <c:v>30.705595238095242</c:v>
                </c:pt>
                <c:pt idx="9">
                  <c:v>28.693759856630823</c:v>
                </c:pt>
                <c:pt idx="10">
                  <c:v>26.279329749103947</c:v>
                </c:pt>
                <c:pt idx="11">
                  <c:v>28.579713261648749</c:v>
                </c:pt>
                <c:pt idx="12">
                  <c:v>55.541236559139783</c:v>
                </c:pt>
                <c:pt idx="13">
                  <c:v>30.851795698924729</c:v>
                </c:pt>
                <c:pt idx="14">
                  <c:v>26.495060931899644</c:v>
                </c:pt>
                <c:pt idx="15">
                  <c:v>30.12110035842294</c:v>
                </c:pt>
                <c:pt idx="16">
                  <c:v>33.943471070148483</c:v>
                </c:pt>
                <c:pt idx="17">
                  <c:v>24.430885304659498</c:v>
                </c:pt>
                <c:pt idx="18">
                  <c:v>22.768344086021504</c:v>
                </c:pt>
                <c:pt idx="19">
                  <c:v>22.008093189964157</c:v>
                </c:pt>
                <c:pt idx="20">
                  <c:v>21.947886540600667</c:v>
                </c:pt>
                <c:pt idx="21">
                  <c:v>21.22931899641577</c:v>
                </c:pt>
                <c:pt idx="22">
                  <c:v>22.398551971326167</c:v>
                </c:pt>
                <c:pt idx="23">
                  <c:v>25.043734890619206</c:v>
                </c:pt>
                <c:pt idx="24">
                  <c:v>25.45239247311828</c:v>
                </c:pt>
                <c:pt idx="25">
                  <c:v>22.470820788530464</c:v>
                </c:pt>
                <c:pt idx="26">
                  <c:v>22.564992831541218</c:v>
                </c:pt>
                <c:pt idx="27">
                  <c:v>26.184466073414907</c:v>
                </c:pt>
                <c:pt idx="28">
                  <c:v>34.112392985151054</c:v>
                </c:pt>
                <c:pt idx="29">
                  <c:v>27.232039426523301</c:v>
                </c:pt>
                <c:pt idx="30">
                  <c:v>24.363473118279568</c:v>
                </c:pt>
                <c:pt idx="31">
                  <c:v>29.279265232974911</c:v>
                </c:pt>
                <c:pt idx="32">
                  <c:v>26.956123399897592</c:v>
                </c:pt>
                <c:pt idx="33">
                  <c:v>20.089566308243729</c:v>
                </c:pt>
                <c:pt idx="34">
                  <c:v>20.698157706093195</c:v>
                </c:pt>
                <c:pt idx="35">
                  <c:v>23.335777777777775</c:v>
                </c:pt>
                <c:pt idx="36">
                  <c:v>17.674867383512545</c:v>
                </c:pt>
                <c:pt idx="37">
                  <c:v>14.84194982078853</c:v>
                </c:pt>
                <c:pt idx="38">
                  <c:v>17.344182795698927</c:v>
                </c:pt>
                <c:pt idx="39">
                  <c:v>19.694526881720432</c:v>
                </c:pt>
                <c:pt idx="40">
                  <c:v>26.50538402457757</c:v>
                </c:pt>
                <c:pt idx="41">
                  <c:v>23.336759856630824</c:v>
                </c:pt>
                <c:pt idx="42">
                  <c:v>32.231960573476705</c:v>
                </c:pt>
                <c:pt idx="43">
                  <c:v>46.117534050179216</c:v>
                </c:pt>
                <c:pt idx="44">
                  <c:v>43.98985407066052</c:v>
                </c:pt>
                <c:pt idx="45">
                  <c:v>57.759818740399375</c:v>
                </c:pt>
                <c:pt idx="46">
                  <c:v>65.376225806451615</c:v>
                </c:pt>
                <c:pt idx="47">
                  <c:v>60.394781362007166</c:v>
                </c:pt>
                <c:pt idx="48">
                  <c:v>26.509850230414745</c:v>
                </c:pt>
                <c:pt idx="49">
                  <c:v>22.587222222222223</c:v>
                </c:pt>
                <c:pt idx="50">
                  <c:v>23.075562724014336</c:v>
                </c:pt>
                <c:pt idx="51">
                  <c:v>26.13768458781362</c:v>
                </c:pt>
                <c:pt idx="52">
                  <c:v>25.081234705228031</c:v>
                </c:pt>
                <c:pt idx="53">
                  <c:v>23.632151614668857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B7-458A-B703-E2372828FEE9}"/>
            </c:ext>
          </c:extLst>
        </c:ser>
        <c:ser>
          <c:idx val="7"/>
          <c:order val="7"/>
          <c:tx>
            <c:strRef>
              <c:f>Sheet1!$C$38</c:f>
              <c:strCache>
                <c:ptCount val="1"/>
                <c:pt idx="0">
                  <c:v>Cinergy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Sheet1!$D$38:$BE$38</c:f>
              <c:numCache>
                <c:formatCode>#,##0.00</c:formatCode>
                <c:ptCount val="54"/>
                <c:pt idx="0">
                  <c:v>33.298033794162826</c:v>
                </c:pt>
                <c:pt idx="1">
                  <c:v>31.009340501792114</c:v>
                </c:pt>
                <c:pt idx="2">
                  <c:v>32.125118279569897</c:v>
                </c:pt>
                <c:pt idx="3">
                  <c:v>30.676046594982079</c:v>
                </c:pt>
                <c:pt idx="4">
                  <c:v>25.688591027067108</c:v>
                </c:pt>
                <c:pt idx="5">
                  <c:v>21.837681003584233</c:v>
                </c:pt>
                <c:pt idx="6">
                  <c:v>25.724408602150536</c:v>
                </c:pt>
                <c:pt idx="7">
                  <c:v>29.811258064516128</c:v>
                </c:pt>
                <c:pt idx="8">
                  <c:v>30.590199692780342</c:v>
                </c:pt>
                <c:pt idx="9">
                  <c:v>28.865225806451615</c:v>
                </c:pt>
                <c:pt idx="10">
                  <c:v>26.415559139784946</c:v>
                </c:pt>
                <c:pt idx="11">
                  <c:v>28.627401433691755</c:v>
                </c:pt>
                <c:pt idx="12">
                  <c:v>55.214420122887866</c:v>
                </c:pt>
                <c:pt idx="13">
                  <c:v>31.09567025089606</c:v>
                </c:pt>
                <c:pt idx="14">
                  <c:v>26.585681003584227</c:v>
                </c:pt>
                <c:pt idx="15">
                  <c:v>29.954075268817206</c:v>
                </c:pt>
                <c:pt idx="16">
                  <c:v>33.825161546338968</c:v>
                </c:pt>
                <c:pt idx="17">
                  <c:v>24.376419354838713</c:v>
                </c:pt>
                <c:pt idx="18">
                  <c:v>22.842021505376341</c:v>
                </c:pt>
                <c:pt idx="19">
                  <c:v>21.997132616487452</c:v>
                </c:pt>
                <c:pt idx="20">
                  <c:v>22.072717834631074</c:v>
                </c:pt>
                <c:pt idx="21">
                  <c:v>21.379215053763442</c:v>
                </c:pt>
                <c:pt idx="22">
                  <c:v>22.513336917562725</c:v>
                </c:pt>
                <c:pt idx="23">
                  <c:v>24.973278581139539</c:v>
                </c:pt>
                <c:pt idx="24">
                  <c:v>25.481344086021505</c:v>
                </c:pt>
                <c:pt idx="25">
                  <c:v>22.570086021505375</c:v>
                </c:pt>
                <c:pt idx="26">
                  <c:v>22.690290322580648</c:v>
                </c:pt>
                <c:pt idx="27">
                  <c:v>26.094084538375977</c:v>
                </c:pt>
                <c:pt idx="28">
                  <c:v>33.19622759856631</c:v>
                </c:pt>
                <c:pt idx="29">
                  <c:v>27.39832616487455</c:v>
                </c:pt>
                <c:pt idx="30">
                  <c:v>24.422025089605736</c:v>
                </c:pt>
                <c:pt idx="31">
                  <c:v>29.34837275985663</c:v>
                </c:pt>
                <c:pt idx="32">
                  <c:v>26.969953149001537</c:v>
                </c:pt>
                <c:pt idx="33">
                  <c:v>20.184967741935484</c:v>
                </c:pt>
                <c:pt idx="34">
                  <c:v>20.775709677419353</c:v>
                </c:pt>
                <c:pt idx="35">
                  <c:v>23.38905376344086</c:v>
                </c:pt>
                <c:pt idx="36">
                  <c:v>17.671227660363368</c:v>
                </c:pt>
                <c:pt idx="37">
                  <c:v>14.852569892473118</c:v>
                </c:pt>
                <c:pt idx="38">
                  <c:v>17.429290322580645</c:v>
                </c:pt>
                <c:pt idx="39">
                  <c:v>19.5925017921147</c:v>
                </c:pt>
                <c:pt idx="40">
                  <c:v>26.498646953405018</c:v>
                </c:pt>
                <c:pt idx="41">
                  <c:v>23.430964157706089</c:v>
                </c:pt>
                <c:pt idx="42">
                  <c:v>32.313236559139789</c:v>
                </c:pt>
                <c:pt idx="43">
                  <c:v>45.306498207885305</c:v>
                </c:pt>
                <c:pt idx="44">
                  <c:v>43.693049155145935</c:v>
                </c:pt>
                <c:pt idx="45">
                  <c:v>57.612471326164872</c:v>
                </c:pt>
                <c:pt idx="46">
                  <c:v>65.358139784946232</c:v>
                </c:pt>
                <c:pt idx="47">
                  <c:v>59.920229390681008</c:v>
                </c:pt>
                <c:pt idx="48">
                  <c:v>26.348091397849462</c:v>
                </c:pt>
                <c:pt idx="49">
                  <c:v>22.551111111111112</c:v>
                </c:pt>
                <c:pt idx="50">
                  <c:v>23.140146953405019</c:v>
                </c:pt>
                <c:pt idx="51">
                  <c:v>26.065799283154124</c:v>
                </c:pt>
                <c:pt idx="52">
                  <c:v>25.104175009269557</c:v>
                </c:pt>
                <c:pt idx="53">
                  <c:v>23.491459496442257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B7-458A-B703-E2372828FEE9}"/>
            </c:ext>
          </c:extLst>
        </c:ser>
        <c:ser>
          <c:idx val="8"/>
          <c:order val="8"/>
          <c:tx>
            <c:strRef>
              <c:f>Sheet1!$C$39</c:f>
              <c:strCache>
                <c:ptCount val="1"/>
                <c:pt idx="0">
                  <c:v>NI Hub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Sheet1!$D$39:$BE$39</c:f>
              <c:numCache>
                <c:formatCode>#,##0.00</c:formatCode>
                <c:ptCount val="54"/>
                <c:pt idx="0">
                  <c:v>28.365737327188938</c:v>
                </c:pt>
                <c:pt idx="1">
                  <c:v>24.09255555555556</c:v>
                </c:pt>
                <c:pt idx="2">
                  <c:v>25.695250896057349</c:v>
                </c:pt>
                <c:pt idx="3">
                  <c:v>20.597534050179213</c:v>
                </c:pt>
                <c:pt idx="4">
                  <c:v>24.09860585836114</c:v>
                </c:pt>
                <c:pt idx="5">
                  <c:v>19.812279569892471</c:v>
                </c:pt>
                <c:pt idx="6">
                  <c:v>23.774541218637992</c:v>
                </c:pt>
                <c:pt idx="7">
                  <c:v>23.10483870967742</c:v>
                </c:pt>
                <c:pt idx="8">
                  <c:v>27.405944700460832</c:v>
                </c:pt>
                <c:pt idx="9">
                  <c:v>25.874584229390681</c:v>
                </c:pt>
                <c:pt idx="10">
                  <c:v>23.870684587813624</c:v>
                </c:pt>
                <c:pt idx="11">
                  <c:v>26.149584229390683</c:v>
                </c:pt>
                <c:pt idx="12">
                  <c:v>46.07847542242704</c:v>
                </c:pt>
                <c:pt idx="13">
                  <c:v>27.005200716845877</c:v>
                </c:pt>
                <c:pt idx="14">
                  <c:v>24.014017921146955</c:v>
                </c:pt>
                <c:pt idx="15">
                  <c:v>25.285017921146949</c:v>
                </c:pt>
                <c:pt idx="16">
                  <c:v>27.835195852534564</c:v>
                </c:pt>
                <c:pt idx="17">
                  <c:v>18.379376344086022</c:v>
                </c:pt>
                <c:pt idx="18">
                  <c:v>21.306949820788532</c:v>
                </c:pt>
                <c:pt idx="19">
                  <c:v>19.738121863799282</c:v>
                </c:pt>
                <c:pt idx="20">
                  <c:v>19.842135706340382</c:v>
                </c:pt>
                <c:pt idx="21">
                  <c:v>18.19563082437276</c:v>
                </c:pt>
                <c:pt idx="22">
                  <c:v>21.276777777777777</c:v>
                </c:pt>
                <c:pt idx="23">
                  <c:v>23.444842293906813</c:v>
                </c:pt>
                <c:pt idx="24">
                  <c:v>23.188306451612902</c:v>
                </c:pt>
                <c:pt idx="25">
                  <c:v>20.113939068100358</c:v>
                </c:pt>
                <c:pt idx="26">
                  <c:v>18.337401433691756</c:v>
                </c:pt>
                <c:pt idx="27">
                  <c:v>21.493344086021505</c:v>
                </c:pt>
                <c:pt idx="28">
                  <c:v>22.854642857142853</c:v>
                </c:pt>
                <c:pt idx="29">
                  <c:v>18.778000000000002</c:v>
                </c:pt>
                <c:pt idx="30">
                  <c:v>22.038691756272403</c:v>
                </c:pt>
                <c:pt idx="31">
                  <c:v>24.745315412186375</c:v>
                </c:pt>
                <c:pt idx="32">
                  <c:v>22.725783410138249</c:v>
                </c:pt>
                <c:pt idx="33">
                  <c:v>18.287035842293907</c:v>
                </c:pt>
                <c:pt idx="34">
                  <c:v>17.056290322580647</c:v>
                </c:pt>
                <c:pt idx="35">
                  <c:v>16.94454480286738</c:v>
                </c:pt>
                <c:pt idx="36">
                  <c:v>16.37061920652577</c:v>
                </c:pt>
                <c:pt idx="37">
                  <c:v>12.41815770609319</c:v>
                </c:pt>
                <c:pt idx="38">
                  <c:v>15.267154121863799</c:v>
                </c:pt>
                <c:pt idx="39">
                  <c:v>16.659799283154122</c:v>
                </c:pt>
                <c:pt idx="40">
                  <c:v>24.988302611367128</c:v>
                </c:pt>
                <c:pt idx="41">
                  <c:v>21.212881720430108</c:v>
                </c:pt>
                <c:pt idx="42">
                  <c:v>30.059279569892471</c:v>
                </c:pt>
                <c:pt idx="43">
                  <c:v>36.044835125448024</c:v>
                </c:pt>
                <c:pt idx="44">
                  <c:v>35.337546082949309</c:v>
                </c:pt>
                <c:pt idx="45">
                  <c:v>47.594390681003581</c:v>
                </c:pt>
                <c:pt idx="46">
                  <c:v>60.494186379928315</c:v>
                </c:pt>
                <c:pt idx="47">
                  <c:v>43.373978494623657</c:v>
                </c:pt>
                <c:pt idx="48">
                  <c:v>22.818207117255508</c:v>
                </c:pt>
                <c:pt idx="49">
                  <c:v>15.336743789395625</c:v>
                </c:pt>
                <c:pt idx="50">
                  <c:v>21.778172043010755</c:v>
                </c:pt>
                <c:pt idx="51">
                  <c:v>20.639609318996417</c:v>
                </c:pt>
                <c:pt idx="52">
                  <c:v>22.894942528735637</c:v>
                </c:pt>
                <c:pt idx="53">
                  <c:v>15.612743295019158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1B7-458A-B703-E2372828FEE9}"/>
            </c:ext>
          </c:extLst>
        </c:ser>
        <c:ser>
          <c:idx val="9"/>
          <c:order val="9"/>
          <c:tx>
            <c:strRef>
              <c:f>Sheet1!$C$40</c:f>
              <c:strCache>
                <c:ptCount val="1"/>
                <c:pt idx="0">
                  <c:v>ERCOT Houston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Sheet1!$D$40:$BE$40</c:f>
              <c:numCache>
                <c:formatCode>#,##0.00</c:formatCode>
                <c:ptCount val="54"/>
                <c:pt idx="0">
                  <c:v>28.792995391705066</c:v>
                </c:pt>
                <c:pt idx="1">
                  <c:v>26.111336917562724</c:v>
                </c:pt>
                <c:pt idx="2">
                  <c:v>26.0621935483871</c:v>
                </c:pt>
                <c:pt idx="3">
                  <c:v>21.418881720430107</c:v>
                </c:pt>
                <c:pt idx="4">
                  <c:v>17.818427882832779</c:v>
                </c:pt>
                <c:pt idx="5">
                  <c:v>15.593275985663084</c:v>
                </c:pt>
                <c:pt idx="6">
                  <c:v>19.09759139784946</c:v>
                </c:pt>
                <c:pt idx="7">
                  <c:v>21.150172043010752</c:v>
                </c:pt>
                <c:pt idx="8">
                  <c:v>22.638437019969277</c:v>
                </c:pt>
                <c:pt idx="9">
                  <c:v>25.558698924731186</c:v>
                </c:pt>
                <c:pt idx="10">
                  <c:v>24.006551971326164</c:v>
                </c:pt>
                <c:pt idx="11">
                  <c:v>25.971541218637991</c:v>
                </c:pt>
                <c:pt idx="12">
                  <c:v>32.398306451612903</c:v>
                </c:pt>
                <c:pt idx="13">
                  <c:v>29.50877419354839</c:v>
                </c:pt>
                <c:pt idx="14">
                  <c:v>26.784053763440863</c:v>
                </c:pt>
                <c:pt idx="15">
                  <c:v>23.937885304659499</c:v>
                </c:pt>
                <c:pt idx="16">
                  <c:v>19.345460829493092</c:v>
                </c:pt>
                <c:pt idx="17">
                  <c:v>18.209286738351253</c:v>
                </c:pt>
                <c:pt idx="18">
                  <c:v>18.644146953405016</c:v>
                </c:pt>
                <c:pt idx="19">
                  <c:v>15.067688172043011</c:v>
                </c:pt>
                <c:pt idx="20">
                  <c:v>12.695928809788654</c:v>
                </c:pt>
                <c:pt idx="21">
                  <c:v>12.968508960573478</c:v>
                </c:pt>
                <c:pt idx="22">
                  <c:v>18.550523297491036</c:v>
                </c:pt>
                <c:pt idx="23">
                  <c:v>16.590422939068102</c:v>
                </c:pt>
                <c:pt idx="24">
                  <c:v>17.379857910906299</c:v>
                </c:pt>
                <c:pt idx="25">
                  <c:v>20.988688172043013</c:v>
                </c:pt>
                <c:pt idx="26">
                  <c:v>19.935666666666666</c:v>
                </c:pt>
                <c:pt idx="27">
                  <c:v>18.296793968607094</c:v>
                </c:pt>
                <c:pt idx="28">
                  <c:v>21.803218125960058</c:v>
                </c:pt>
                <c:pt idx="29">
                  <c:v>21.155616487455195</c:v>
                </c:pt>
                <c:pt idx="30">
                  <c:v>27.129236559139784</c:v>
                </c:pt>
                <c:pt idx="31">
                  <c:v>25.555974910394266</c:v>
                </c:pt>
                <c:pt idx="32">
                  <c:v>20.077050691244239</c:v>
                </c:pt>
                <c:pt idx="33">
                  <c:v>19.028960573476706</c:v>
                </c:pt>
                <c:pt idx="34">
                  <c:v>21.584390681003583</c:v>
                </c:pt>
                <c:pt idx="35">
                  <c:v>17.980663082437275</c:v>
                </c:pt>
                <c:pt idx="36">
                  <c:v>14.836277345198368</c:v>
                </c:pt>
                <c:pt idx="37">
                  <c:v>13.490698924731182</c:v>
                </c:pt>
                <c:pt idx="38">
                  <c:v>18.018763440860212</c:v>
                </c:pt>
                <c:pt idx="39">
                  <c:v>18.575293906810035</c:v>
                </c:pt>
                <c:pt idx="40">
                  <c:v>513.02547619047607</c:v>
                </c:pt>
                <c:pt idx="41">
                  <c:v>22.95231541218638</c:v>
                </c:pt>
                <c:pt idx="42">
                  <c:v>31.178316648127549</c:v>
                </c:pt>
                <c:pt idx="43">
                  <c:v>31.927272401433687</c:v>
                </c:pt>
                <c:pt idx="44">
                  <c:v>31.520698924731182</c:v>
                </c:pt>
                <c:pt idx="45">
                  <c:v>60.236752688172039</c:v>
                </c:pt>
                <c:pt idx="46">
                  <c:v>62.690230503028062</c:v>
                </c:pt>
                <c:pt idx="47">
                  <c:v>45.069310344827585</c:v>
                </c:pt>
                <c:pt idx="48">
                  <c:v>18.907290476190472</c:v>
                </c:pt>
                <c:pt idx="49">
                  <c:v>22.281172413793104</c:v>
                </c:pt>
                <c:pt idx="50">
                  <c:v>52.040743021346465</c:v>
                </c:pt>
                <c:pt idx="51">
                  <c:v>21.811176105137395</c:v>
                </c:pt>
                <c:pt idx="52">
                  <c:v>20.655462241997281</c:v>
                </c:pt>
                <c:pt idx="53">
                  <c:v>22.131288724685277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1B7-458A-B703-E2372828FEE9}"/>
            </c:ext>
          </c:extLst>
        </c:ser>
        <c:ser>
          <c:idx val="10"/>
          <c:order val="10"/>
          <c:tx>
            <c:strRef>
              <c:f>Sheet1!$C$41</c:f>
              <c:strCache>
                <c:ptCount val="1"/>
                <c:pt idx="0">
                  <c:v>ERCOT North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Sheet1!$D$41:$BE$41</c:f>
              <c:numCache>
                <c:formatCode>#,##0.00</c:formatCode>
                <c:ptCount val="54"/>
                <c:pt idx="0">
                  <c:v>29.003844086021502</c:v>
                </c:pt>
                <c:pt idx="1">
                  <c:v>26.346229390681003</c:v>
                </c:pt>
                <c:pt idx="2">
                  <c:v>26.107856630824376</c:v>
                </c:pt>
                <c:pt idx="3">
                  <c:v>21.513906810035845</c:v>
                </c:pt>
                <c:pt idx="4">
                  <c:v>17.816566555431962</c:v>
                </c:pt>
                <c:pt idx="5">
                  <c:v>15.571286738351255</c:v>
                </c:pt>
                <c:pt idx="6">
                  <c:v>19.02774551971326</c:v>
                </c:pt>
                <c:pt idx="7">
                  <c:v>21.266666666666666</c:v>
                </c:pt>
                <c:pt idx="8">
                  <c:v>22.624662058371737</c:v>
                </c:pt>
                <c:pt idx="9">
                  <c:v>25.451759856630826</c:v>
                </c:pt>
                <c:pt idx="10">
                  <c:v>23.878240143369172</c:v>
                </c:pt>
                <c:pt idx="11">
                  <c:v>25.720634408602152</c:v>
                </c:pt>
                <c:pt idx="12">
                  <c:v>32.577872503840247</c:v>
                </c:pt>
                <c:pt idx="13">
                  <c:v>29.44930465949821</c:v>
                </c:pt>
                <c:pt idx="14">
                  <c:v>26.556881720430109</c:v>
                </c:pt>
                <c:pt idx="15">
                  <c:v>24.043465949820789</c:v>
                </c:pt>
                <c:pt idx="16">
                  <c:v>19.339297235023043</c:v>
                </c:pt>
                <c:pt idx="17">
                  <c:v>18.067842293906811</c:v>
                </c:pt>
                <c:pt idx="18">
                  <c:v>18.545322580645159</c:v>
                </c:pt>
                <c:pt idx="19">
                  <c:v>14.238308243727596</c:v>
                </c:pt>
                <c:pt idx="20">
                  <c:v>12.646262513904338</c:v>
                </c:pt>
                <c:pt idx="21">
                  <c:v>12.810566308243727</c:v>
                </c:pt>
                <c:pt idx="22">
                  <c:v>18.317469534050179</c:v>
                </c:pt>
                <c:pt idx="23">
                  <c:v>15.990107526881722</c:v>
                </c:pt>
                <c:pt idx="24">
                  <c:v>16.282837941628262</c:v>
                </c:pt>
                <c:pt idx="25">
                  <c:v>18.168369175627237</c:v>
                </c:pt>
                <c:pt idx="26">
                  <c:v>19.25232258064516</c:v>
                </c:pt>
                <c:pt idx="27">
                  <c:v>16.476257570139662</c:v>
                </c:pt>
                <c:pt idx="28">
                  <c:v>21.37513440860215</c:v>
                </c:pt>
                <c:pt idx="29">
                  <c:v>20.672218637992831</c:v>
                </c:pt>
                <c:pt idx="30">
                  <c:v>26.916129032258066</c:v>
                </c:pt>
                <c:pt idx="31">
                  <c:v>25.50283870967742</c:v>
                </c:pt>
                <c:pt idx="32">
                  <c:v>19.817665130568354</c:v>
                </c:pt>
                <c:pt idx="33">
                  <c:v>18.587881720430108</c:v>
                </c:pt>
                <c:pt idx="34">
                  <c:v>21.263225806451612</c:v>
                </c:pt>
                <c:pt idx="35">
                  <c:v>17.345541218637994</c:v>
                </c:pt>
                <c:pt idx="36">
                  <c:v>14.66602892102336</c:v>
                </c:pt>
                <c:pt idx="37">
                  <c:v>12.988505376344087</c:v>
                </c:pt>
                <c:pt idx="38">
                  <c:v>17.702774193548386</c:v>
                </c:pt>
                <c:pt idx="39">
                  <c:v>18.241125448028676</c:v>
                </c:pt>
                <c:pt idx="40">
                  <c:v>512.98281490015358</c:v>
                </c:pt>
                <c:pt idx="41">
                  <c:v>21.789426523297493</c:v>
                </c:pt>
                <c:pt idx="42">
                  <c:v>31.067011494252871</c:v>
                </c:pt>
                <c:pt idx="43">
                  <c:v>31.017989247311828</c:v>
                </c:pt>
                <c:pt idx="44">
                  <c:v>30.00269969278034</c:v>
                </c:pt>
                <c:pt idx="45">
                  <c:v>53.835942652329749</c:v>
                </c:pt>
                <c:pt idx="46">
                  <c:v>62.740220615498707</c:v>
                </c:pt>
                <c:pt idx="47">
                  <c:v>43.947701149425285</c:v>
                </c:pt>
                <c:pt idx="48">
                  <c:v>18.192825396825395</c:v>
                </c:pt>
                <c:pt idx="49">
                  <c:v>21.009445295870584</c:v>
                </c:pt>
                <c:pt idx="50">
                  <c:v>51.036227422003286</c:v>
                </c:pt>
                <c:pt idx="51">
                  <c:v>20.604227160493824</c:v>
                </c:pt>
                <c:pt idx="52">
                  <c:v>20.226492769744159</c:v>
                </c:pt>
                <c:pt idx="53">
                  <c:v>20.040283251231525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1B7-458A-B703-E2372828FEE9}"/>
            </c:ext>
          </c:extLst>
        </c:ser>
        <c:ser>
          <c:idx val="11"/>
          <c:order val="11"/>
          <c:tx>
            <c:strRef>
              <c:f>Sheet1!$C$42</c:f>
              <c:strCache>
                <c:ptCount val="1"/>
                <c:pt idx="0">
                  <c:v>ERCOT South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Sheet1!$D$42:$BE$42</c:f>
              <c:numCache>
                <c:formatCode>#,##0.00</c:formatCode>
                <c:ptCount val="54"/>
                <c:pt idx="0">
                  <c:v>29.307730414746544</c:v>
                </c:pt>
                <c:pt idx="1">
                  <c:v>25.41595340501792</c:v>
                </c:pt>
                <c:pt idx="2">
                  <c:v>25.988645161290322</c:v>
                </c:pt>
                <c:pt idx="3">
                  <c:v>21.65830107526882</c:v>
                </c:pt>
                <c:pt idx="4">
                  <c:v>17.777211716722285</c:v>
                </c:pt>
                <c:pt idx="5">
                  <c:v>15.539756272401434</c:v>
                </c:pt>
                <c:pt idx="6">
                  <c:v>19.10936917562724</c:v>
                </c:pt>
                <c:pt idx="7">
                  <c:v>21.240896057347669</c:v>
                </c:pt>
                <c:pt idx="8">
                  <c:v>22.531132872503843</c:v>
                </c:pt>
                <c:pt idx="9">
                  <c:v>25.333698924731181</c:v>
                </c:pt>
                <c:pt idx="10">
                  <c:v>23.979591397849461</c:v>
                </c:pt>
                <c:pt idx="11">
                  <c:v>25.927888888888891</c:v>
                </c:pt>
                <c:pt idx="12">
                  <c:v>32.387584485407068</c:v>
                </c:pt>
                <c:pt idx="13">
                  <c:v>29.294706093189962</c:v>
                </c:pt>
                <c:pt idx="14">
                  <c:v>26.635136200716847</c:v>
                </c:pt>
                <c:pt idx="15">
                  <c:v>23.917440860215052</c:v>
                </c:pt>
                <c:pt idx="16">
                  <c:v>19.304354838709674</c:v>
                </c:pt>
                <c:pt idx="17">
                  <c:v>18.188609318996416</c:v>
                </c:pt>
                <c:pt idx="18">
                  <c:v>18.671107526881723</c:v>
                </c:pt>
                <c:pt idx="19">
                  <c:v>14.719444444444443</c:v>
                </c:pt>
                <c:pt idx="20">
                  <c:v>12.527096774193547</c:v>
                </c:pt>
                <c:pt idx="21">
                  <c:v>12.826999999999998</c:v>
                </c:pt>
                <c:pt idx="22">
                  <c:v>18.289566308243725</c:v>
                </c:pt>
                <c:pt idx="23">
                  <c:v>16.416759856630822</c:v>
                </c:pt>
                <c:pt idx="24">
                  <c:v>16.314665898617513</c:v>
                </c:pt>
                <c:pt idx="25">
                  <c:v>19.308118279569893</c:v>
                </c:pt>
                <c:pt idx="26">
                  <c:v>19.839706093189964</c:v>
                </c:pt>
                <c:pt idx="27">
                  <c:v>17.755352490421455</c:v>
                </c:pt>
                <c:pt idx="28">
                  <c:v>22.018913210445465</c:v>
                </c:pt>
                <c:pt idx="29">
                  <c:v>21.435057347670249</c:v>
                </c:pt>
                <c:pt idx="30">
                  <c:v>27.206935483870968</c:v>
                </c:pt>
                <c:pt idx="31">
                  <c:v>25.106508960573478</c:v>
                </c:pt>
                <c:pt idx="32">
                  <c:v>19.930218894009219</c:v>
                </c:pt>
                <c:pt idx="33">
                  <c:v>18.221025089605735</c:v>
                </c:pt>
                <c:pt idx="34">
                  <c:v>21.483820788530466</c:v>
                </c:pt>
                <c:pt idx="35">
                  <c:v>18.204440860215055</c:v>
                </c:pt>
                <c:pt idx="36">
                  <c:v>15.030177975528366</c:v>
                </c:pt>
                <c:pt idx="37">
                  <c:v>13.468537634408603</c:v>
                </c:pt>
                <c:pt idx="38">
                  <c:v>17.787867383512545</c:v>
                </c:pt>
                <c:pt idx="39">
                  <c:v>17.943448028673831</c:v>
                </c:pt>
                <c:pt idx="40">
                  <c:v>510.20155913978493</c:v>
                </c:pt>
                <c:pt idx="41">
                  <c:v>21.441974910394265</c:v>
                </c:pt>
                <c:pt idx="42">
                  <c:v>30.441086392287726</c:v>
                </c:pt>
                <c:pt idx="43">
                  <c:v>29.854992831541221</c:v>
                </c:pt>
                <c:pt idx="44">
                  <c:v>27.697215821812595</c:v>
                </c:pt>
                <c:pt idx="45">
                  <c:v>52.691172043010745</c:v>
                </c:pt>
                <c:pt idx="46">
                  <c:v>62.033410579656412</c:v>
                </c:pt>
                <c:pt idx="47">
                  <c:v>44.400804597701153</c:v>
                </c:pt>
                <c:pt idx="48">
                  <c:v>18.369550793650792</c:v>
                </c:pt>
                <c:pt idx="49">
                  <c:v>21.479169433801616</c:v>
                </c:pt>
                <c:pt idx="50">
                  <c:v>50.330623973727427</c:v>
                </c:pt>
                <c:pt idx="51">
                  <c:v>21.945762007168458</c:v>
                </c:pt>
                <c:pt idx="52">
                  <c:v>20.123234705228029</c:v>
                </c:pt>
                <c:pt idx="53">
                  <c:v>22.238017515051997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1B7-458A-B703-E2372828FEE9}"/>
            </c:ext>
          </c:extLst>
        </c:ser>
        <c:ser>
          <c:idx val="12"/>
          <c:order val="12"/>
          <c:tx>
            <c:strRef>
              <c:f>Sheet1!$C$43</c:f>
              <c:strCache>
                <c:ptCount val="1"/>
                <c:pt idx="0">
                  <c:v>Palo Verde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Sheet1!$D$43:$BE$43</c:f>
              <c:numCache>
                <c:formatCode>#,##0.00</c:formatCode>
                <c:ptCount val="54"/>
                <c:pt idx="0">
                  <c:v>20.989451563691841</c:v>
                </c:pt>
                <c:pt idx="1">
                  <c:v>14.849151515151513</c:v>
                </c:pt>
                <c:pt idx="2">
                  <c:v>24.741949275362316</c:v>
                </c:pt>
                <c:pt idx="3">
                  <c:v>24.262559314954057</c:v>
                </c:pt>
                <c:pt idx="4">
                  <c:v>19.155257575757577</c:v>
                </c:pt>
                <c:pt idx="5">
                  <c:v>16.328321789321787</c:v>
                </c:pt>
                <c:pt idx="6">
                  <c:v>20.926206094947513</c:v>
                </c:pt>
                <c:pt idx="7">
                  <c:v>25.647444698703282</c:v>
                </c:pt>
                <c:pt idx="8">
                  <c:v>26.908888053466995</c:v>
                </c:pt>
                <c:pt idx="9">
                  <c:v>27.335878787878784</c:v>
                </c:pt>
                <c:pt idx="10">
                  <c:v>26.463727272727272</c:v>
                </c:pt>
                <c:pt idx="11">
                  <c:v>31.073770531400964</c:v>
                </c:pt>
                <c:pt idx="12">
                  <c:v>39.368287385129491</c:v>
                </c:pt>
                <c:pt idx="13">
                  <c:v>32.674200083542189</c:v>
                </c:pt>
                <c:pt idx="14">
                  <c:v>32.55665656565656</c:v>
                </c:pt>
                <c:pt idx="15">
                  <c:v>30.011954288961959</c:v>
                </c:pt>
                <c:pt idx="16">
                  <c:v>22.38304465709729</c:v>
                </c:pt>
                <c:pt idx="17">
                  <c:v>21.426091630591628</c:v>
                </c:pt>
                <c:pt idx="18">
                  <c:v>23.656327561327561</c:v>
                </c:pt>
                <c:pt idx="19">
                  <c:v>20.409894179894177</c:v>
                </c:pt>
                <c:pt idx="20">
                  <c:v>17.046860446570971</c:v>
                </c:pt>
                <c:pt idx="21">
                  <c:v>16.609292929292931</c:v>
                </c:pt>
                <c:pt idx="22">
                  <c:v>22.506254313319531</c:v>
                </c:pt>
                <c:pt idx="23">
                  <c:v>22.253646616541356</c:v>
                </c:pt>
                <c:pt idx="24">
                  <c:v>21.032033492822968</c:v>
                </c:pt>
                <c:pt idx="25">
                  <c:v>22.83050505050505</c:v>
                </c:pt>
                <c:pt idx="26">
                  <c:v>24.718803030303025</c:v>
                </c:pt>
                <c:pt idx="27">
                  <c:v>24.505534670008355</c:v>
                </c:pt>
                <c:pt idx="28">
                  <c:v>24.928521303258147</c:v>
                </c:pt>
                <c:pt idx="29">
                  <c:v>19.439353383458648</c:v>
                </c:pt>
                <c:pt idx="30">
                  <c:v>32.849931731502664</c:v>
                </c:pt>
                <c:pt idx="31">
                  <c:v>34.045535638613437</c:v>
                </c:pt>
                <c:pt idx="32">
                  <c:v>37.928294068504599</c:v>
                </c:pt>
                <c:pt idx="33">
                  <c:v>14.95165162907268</c:v>
                </c:pt>
                <c:pt idx="34">
                  <c:v>22.892712121212117</c:v>
                </c:pt>
                <c:pt idx="35">
                  <c:v>28.293421900161032</c:v>
                </c:pt>
                <c:pt idx="36">
                  <c:v>21.179055593529274</c:v>
                </c:pt>
                <c:pt idx="37">
                  <c:v>17.163253968253969</c:v>
                </c:pt>
                <c:pt idx="38">
                  <c:v>37.381248196248201</c:v>
                </c:pt>
                <c:pt idx="39">
                  <c:v>28.951308321308321</c:v>
                </c:pt>
                <c:pt idx="40">
                  <c:v>39.14651411136537</c:v>
                </c:pt>
                <c:pt idx="41">
                  <c:v>35.742676767676762</c:v>
                </c:pt>
                <c:pt idx="42">
                  <c:v>49.872604617604622</c:v>
                </c:pt>
                <c:pt idx="43">
                  <c:v>46.433987886382624</c:v>
                </c:pt>
                <c:pt idx="44">
                  <c:v>41.855087337909993</c:v>
                </c:pt>
                <c:pt idx="45">
                  <c:v>66.260388888888883</c:v>
                </c:pt>
                <c:pt idx="46">
                  <c:v>85.078994824016561</c:v>
                </c:pt>
                <c:pt idx="47">
                  <c:v>119.44634795321637</c:v>
                </c:pt>
                <c:pt idx="48">
                  <c:v>91.846847826086957</c:v>
                </c:pt>
                <c:pt idx="49">
                  <c:v>42.127301587301588</c:v>
                </c:pt>
                <c:pt idx="50">
                  <c:v>56.599007246376821</c:v>
                </c:pt>
                <c:pt idx="51">
                  <c:v>50.674330143540658</c:v>
                </c:pt>
                <c:pt idx="52">
                  <c:v>44.364428571428569</c:v>
                </c:pt>
                <c:pt idx="53">
                  <c:v>24.906148325358853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1B7-458A-B703-E2372828FEE9}"/>
            </c:ext>
          </c:extLst>
        </c:ser>
        <c:ser>
          <c:idx val="13"/>
          <c:order val="13"/>
          <c:tx>
            <c:strRef>
              <c:f>Sheet1!$C$44</c:f>
              <c:strCache>
                <c:ptCount val="1"/>
                <c:pt idx="0">
                  <c:v>SP 15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Sheet1!$D$44:$BE$44</c:f>
              <c:numCache>
                <c:formatCode>#,##0.00</c:formatCode>
                <c:ptCount val="54"/>
                <c:pt idx="0">
                  <c:v>22.127334858886346</c:v>
                </c:pt>
                <c:pt idx="1">
                  <c:v>13.350181818181818</c:v>
                </c:pt>
                <c:pt idx="2">
                  <c:v>25.059927536231882</c:v>
                </c:pt>
                <c:pt idx="3">
                  <c:v>24.971964076858814</c:v>
                </c:pt>
                <c:pt idx="4">
                  <c:v>20.408272727272728</c:v>
                </c:pt>
                <c:pt idx="5">
                  <c:v>18.388093073593073</c:v>
                </c:pt>
                <c:pt idx="6">
                  <c:v>23.608646236804134</c:v>
                </c:pt>
                <c:pt idx="7">
                  <c:v>29.146674718196454</c:v>
                </c:pt>
                <c:pt idx="8">
                  <c:v>38.534333333333336</c:v>
                </c:pt>
                <c:pt idx="9">
                  <c:v>36.508088751289989</c:v>
                </c:pt>
                <c:pt idx="10">
                  <c:v>34.90521843825249</c:v>
                </c:pt>
                <c:pt idx="11">
                  <c:v>38.032250233426701</c:v>
                </c:pt>
                <c:pt idx="12">
                  <c:v>47.02996365914786</c:v>
                </c:pt>
                <c:pt idx="13">
                  <c:v>38.568959694989104</c:v>
                </c:pt>
                <c:pt idx="14">
                  <c:v>38.907664473684214</c:v>
                </c:pt>
                <c:pt idx="15">
                  <c:v>37.020208333333336</c:v>
                </c:pt>
                <c:pt idx="16">
                  <c:v>27.473252136752137</c:v>
                </c:pt>
                <c:pt idx="17">
                  <c:v>27.601428571428571</c:v>
                </c:pt>
                <c:pt idx="18">
                  <c:v>30.380361111111114</c:v>
                </c:pt>
                <c:pt idx="19">
                  <c:v>27.161861111111108</c:v>
                </c:pt>
                <c:pt idx="20">
                  <c:v>21.459458333333334</c:v>
                </c:pt>
                <c:pt idx="21">
                  <c:v>20.368954248366013</c:v>
                </c:pt>
                <c:pt idx="22">
                  <c:v>29.029335839599</c:v>
                </c:pt>
                <c:pt idx="23">
                  <c:v>28.461124183006536</c:v>
                </c:pt>
                <c:pt idx="24">
                  <c:v>24.177423245614037</c:v>
                </c:pt>
                <c:pt idx="25">
                  <c:v>25.267759259259261</c:v>
                </c:pt>
                <c:pt idx="26">
                  <c:v>33.730138888888888</c:v>
                </c:pt>
                <c:pt idx="27">
                  <c:v>34.067380952380951</c:v>
                </c:pt>
                <c:pt idx="28">
                  <c:v>31.483999999999998</c:v>
                </c:pt>
                <c:pt idx="29">
                  <c:v>23.269603174603176</c:v>
                </c:pt>
                <c:pt idx="30">
                  <c:v>42.804829059829054</c:v>
                </c:pt>
                <c:pt idx="31">
                  <c:v>47.844141414141411</c:v>
                </c:pt>
                <c:pt idx="32">
                  <c:v>48.233333333333327</c:v>
                </c:pt>
                <c:pt idx="33">
                  <c:v>22.206</c:v>
                </c:pt>
                <c:pt idx="34">
                  <c:v>29.849067599067599</c:v>
                </c:pt>
                <c:pt idx="35">
                  <c:v>36.166287878787877</c:v>
                </c:pt>
                <c:pt idx="36">
                  <c:v>25.186666666666667</c:v>
                </c:pt>
                <c:pt idx="37">
                  <c:v>16.94488888888889</c:v>
                </c:pt>
                <c:pt idx="38">
                  <c:v>46.142714285714284</c:v>
                </c:pt>
                <c:pt idx="39">
                  <c:v>38.042222222222222</c:v>
                </c:pt>
                <c:pt idx="40">
                  <c:v>78.562121212121212</c:v>
                </c:pt>
                <c:pt idx="41">
                  <c:v>37.064923076923073</c:v>
                </c:pt>
                <c:pt idx="42">
                  <c:v>57.398179487179483</c:v>
                </c:pt>
                <c:pt idx="43">
                  <c:v>56.125595238095237</c:v>
                </c:pt>
                <c:pt idx="44">
                  <c:v>46.687681818181822</c:v>
                </c:pt>
                <c:pt idx="45">
                  <c:v>65.39991666666667</c:v>
                </c:pt>
                <c:pt idx="46">
                  <c:v>86.690388888888876</c:v>
                </c:pt>
                <c:pt idx="47">
                  <c:v>127.57222222222224</c:v>
                </c:pt>
                <c:pt idx="48">
                  <c:v>102.93873626373626</c:v>
                </c:pt>
                <c:pt idx="49">
                  <c:v>38.709694989106758</c:v>
                </c:pt>
                <c:pt idx="50">
                  <c:v>52.231697478991599</c:v>
                </c:pt>
                <c:pt idx="51">
                  <c:v>59.033888888888896</c:v>
                </c:pt>
                <c:pt idx="52">
                  <c:v>44.776404040404053</c:v>
                </c:pt>
                <c:pt idx="53">
                  <c:v>26.504185463659145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1B7-458A-B703-E2372828FEE9}"/>
            </c:ext>
          </c:extLst>
        </c:ser>
        <c:ser>
          <c:idx val="14"/>
          <c:order val="14"/>
          <c:tx>
            <c:strRef>
              <c:f>Sheet1!$C$45</c:f>
              <c:strCache>
                <c:ptCount val="1"/>
                <c:pt idx="0">
                  <c:v>NP 15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Sheet1!$D$45:$BE$45</c:f>
              <c:numCache>
                <c:formatCode>#,##0.00</c:formatCode>
                <c:ptCount val="54"/>
                <c:pt idx="0">
                  <c:v>21.658611111111114</c:v>
                </c:pt>
                <c:pt idx="1">
                  <c:v>9.6194052287581702</c:v>
                </c:pt>
                <c:pt idx="2">
                  <c:v>24.193944444444444</c:v>
                </c:pt>
                <c:pt idx="3">
                  <c:v>26.605211640211639</c:v>
                </c:pt>
                <c:pt idx="4">
                  <c:v>20.140202020202022</c:v>
                </c:pt>
                <c:pt idx="5">
                  <c:v>17.586916666666667</c:v>
                </c:pt>
                <c:pt idx="6">
                  <c:v>22.187713675213672</c:v>
                </c:pt>
                <c:pt idx="7">
                  <c:v>28.533804487179484</c:v>
                </c:pt>
                <c:pt idx="8">
                  <c:v>34.392973901098891</c:v>
                </c:pt>
                <c:pt idx="9">
                  <c:v>33.279719169719165</c:v>
                </c:pt>
                <c:pt idx="10">
                  <c:v>34.749194139194138</c:v>
                </c:pt>
                <c:pt idx="11">
                  <c:v>39.196435185185187</c:v>
                </c:pt>
                <c:pt idx="12">
                  <c:v>48.911060606060609</c:v>
                </c:pt>
                <c:pt idx="13">
                  <c:v>39.273771043771042</c:v>
                </c:pt>
                <c:pt idx="14">
                  <c:v>38.924444444444447</c:v>
                </c:pt>
                <c:pt idx="15">
                  <c:v>36.6</c:v>
                </c:pt>
                <c:pt idx="16">
                  <c:v>28.31</c:v>
                </c:pt>
                <c:pt idx="17">
                  <c:v>27.900000000000002</c:v>
                </c:pt>
                <c:pt idx="19">
                  <c:v>29.168333333333333</c:v>
                </c:pt>
                <c:pt idx="20">
                  <c:v>17.7</c:v>
                </c:pt>
                <c:pt idx="21">
                  <c:v>18.666666666666668</c:v>
                </c:pt>
                <c:pt idx="22">
                  <c:v>30.319444444444443</c:v>
                </c:pt>
                <c:pt idx="23">
                  <c:v>29.027777777777775</c:v>
                </c:pt>
                <c:pt idx="24">
                  <c:v>28.625</c:v>
                </c:pt>
                <c:pt idx="25">
                  <c:v>22.375</c:v>
                </c:pt>
                <c:pt idx="26">
                  <c:v>31.25</c:v>
                </c:pt>
                <c:pt idx="32">
                  <c:v>65.658333333333331</c:v>
                </c:pt>
                <c:pt idx="40">
                  <c:v>158.04999999999998</c:v>
                </c:pt>
                <c:pt idx="41">
                  <c:v>36</c:v>
                </c:pt>
                <c:pt idx="43">
                  <c:v>52</c:v>
                </c:pt>
                <c:pt idx="44">
                  <c:v>44.666666666666664</c:v>
                </c:pt>
                <c:pt idx="48">
                  <c:v>70</c:v>
                </c:pt>
                <c:pt idx="49">
                  <c:v>24</c:v>
                </c:pt>
                <c:pt idx="50">
                  <c:v>44.479166666666671</c:v>
                </c:pt>
                <c:pt idx="51">
                  <c:v>60.3</c:v>
                </c:pt>
                <c:pt idx="52">
                  <c:v>146.66666666666666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1B7-458A-B703-E2372828FEE9}"/>
            </c:ext>
          </c:extLst>
        </c:ser>
        <c:ser>
          <c:idx val="15"/>
          <c:order val="15"/>
          <c:tx>
            <c:strRef>
              <c:f>Sheet1!$C$46</c:f>
              <c:strCache>
                <c:ptCount val="1"/>
                <c:pt idx="0">
                  <c:v>Mid C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Sheet1!$D$46:$BE$46</c:f>
              <c:numCache>
                <c:formatCode>0.00</c:formatCode>
                <c:ptCount val="54"/>
                <c:pt idx="0">
                  <c:v>15.853194889397406</c:v>
                </c:pt>
                <c:pt idx="1">
                  <c:v>3.5539393939393942</c:v>
                </c:pt>
                <c:pt idx="2">
                  <c:v>17.875231884057971</c:v>
                </c:pt>
                <c:pt idx="3">
                  <c:v>27.452083124477866</c:v>
                </c:pt>
                <c:pt idx="4">
                  <c:v>19.306015151515151</c:v>
                </c:pt>
                <c:pt idx="5">
                  <c:v>-4.7837662337662325E-2</c:v>
                </c:pt>
                <c:pt idx="6">
                  <c:v>14.080325088082526</c:v>
                </c:pt>
                <c:pt idx="7">
                  <c:v>24.986628527841344</c:v>
                </c:pt>
                <c:pt idx="8">
                  <c:v>27.86434962406015</c:v>
                </c:pt>
                <c:pt idx="9">
                  <c:v>16.729742424242421</c:v>
                </c:pt>
                <c:pt idx="10">
                  <c:v>25.292666666666662</c:v>
                </c:pt>
                <c:pt idx="11">
                  <c:v>34.797674718196454</c:v>
                </c:pt>
                <c:pt idx="12">
                  <c:v>40.334193817878024</c:v>
                </c:pt>
                <c:pt idx="13">
                  <c:v>11.424515873015872</c:v>
                </c:pt>
                <c:pt idx="14">
                  <c:v>29.903761183261185</c:v>
                </c:pt>
                <c:pt idx="15">
                  <c:v>28.144519546949216</c:v>
                </c:pt>
                <c:pt idx="16">
                  <c:v>15.090196172248804</c:v>
                </c:pt>
                <c:pt idx="17">
                  <c:v>22.063629870129873</c:v>
                </c:pt>
                <c:pt idx="18">
                  <c:v>23.19210678210678</c:v>
                </c:pt>
                <c:pt idx="19">
                  <c:v>20.35431216931217</c:v>
                </c:pt>
                <c:pt idx="20">
                  <c:v>15.267507974481658</c:v>
                </c:pt>
                <c:pt idx="21">
                  <c:v>10.421464646464647</c:v>
                </c:pt>
                <c:pt idx="22">
                  <c:v>22.990583160800551</c:v>
                </c:pt>
                <c:pt idx="23">
                  <c:v>19.566411445279865</c:v>
                </c:pt>
                <c:pt idx="24">
                  <c:v>15.932524790236462</c:v>
                </c:pt>
                <c:pt idx="25">
                  <c:v>1.9659259259259263</c:v>
                </c:pt>
                <c:pt idx="26">
                  <c:v>24.159954545454543</c:v>
                </c:pt>
                <c:pt idx="27">
                  <c:v>23.530912002227794</c:v>
                </c:pt>
                <c:pt idx="28">
                  <c:v>16.7052798663325</c:v>
                </c:pt>
                <c:pt idx="29">
                  <c:v>5.1253358395989972</c:v>
                </c:pt>
                <c:pt idx="30">
                  <c:v>30.704371090770405</c:v>
                </c:pt>
                <c:pt idx="31">
                  <c:v>43.097686668361725</c:v>
                </c:pt>
                <c:pt idx="32">
                  <c:v>62.480718462823724</c:v>
                </c:pt>
                <c:pt idx="33">
                  <c:v>12.694347535505429</c:v>
                </c:pt>
                <c:pt idx="34">
                  <c:v>24.059106060606059</c:v>
                </c:pt>
                <c:pt idx="35">
                  <c:v>29.681182769726249</c:v>
                </c:pt>
                <c:pt idx="36">
                  <c:v>18.864641148325362</c:v>
                </c:pt>
                <c:pt idx="37">
                  <c:v>7.0575057720057712</c:v>
                </c:pt>
                <c:pt idx="38">
                  <c:v>16.296334776334778</c:v>
                </c:pt>
                <c:pt idx="39">
                  <c:v>25.561132756132753</c:v>
                </c:pt>
                <c:pt idx="40">
                  <c:v>28.072074752097638</c:v>
                </c:pt>
                <c:pt idx="41">
                  <c:v>31.181957545378598</c:v>
                </c:pt>
                <c:pt idx="42">
                  <c:v>45.886392496392489</c:v>
                </c:pt>
                <c:pt idx="43">
                  <c:v>45.727908103592313</c:v>
                </c:pt>
                <c:pt idx="44">
                  <c:v>34.666482837528605</c:v>
                </c:pt>
                <c:pt idx="45">
                  <c:v>41.768920634920633</c:v>
                </c:pt>
                <c:pt idx="46">
                  <c:v>62.453201173222908</c:v>
                </c:pt>
                <c:pt idx="47">
                  <c:v>133.58834419381787</c:v>
                </c:pt>
                <c:pt idx="48">
                  <c:v>100.25704538520215</c:v>
                </c:pt>
                <c:pt idx="49">
                  <c:v>44.369314954051788</c:v>
                </c:pt>
                <c:pt idx="50">
                  <c:v>50.917260869565212</c:v>
                </c:pt>
                <c:pt idx="51">
                  <c:v>64.21924242424241</c:v>
                </c:pt>
                <c:pt idx="52">
                  <c:v>79.346634920634926</c:v>
                </c:pt>
                <c:pt idx="53">
                  <c:v>26.752256778309413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1B7-458A-B703-E2372828FEE9}"/>
            </c:ext>
          </c:extLst>
        </c:ser>
        <c:ser>
          <c:idx val="16"/>
          <c:order val="16"/>
          <c:tx>
            <c:strRef>
              <c:f>Sheet1!$C$47</c:f>
              <c:strCache>
                <c:ptCount val="1"/>
                <c:pt idx="0">
                  <c:v>ERCOT West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Sheet1!$D$47:$BE$47</c:f>
              <c:numCache>
                <c:formatCode>0.00</c:formatCode>
                <c:ptCount val="54"/>
                <c:pt idx="0">
                  <c:v>19.985549155145932</c:v>
                </c:pt>
                <c:pt idx="1">
                  <c:v>12.548634408602153</c:v>
                </c:pt>
                <c:pt idx="2">
                  <c:v>25.58903225806452</c:v>
                </c:pt>
                <c:pt idx="3">
                  <c:v>15.205093189964158</c:v>
                </c:pt>
                <c:pt idx="4">
                  <c:v>12.79</c:v>
                </c:pt>
                <c:pt idx="5">
                  <c:v>11.478275985663082</c:v>
                </c:pt>
                <c:pt idx="6">
                  <c:v>18.0467311827957</c:v>
                </c:pt>
                <c:pt idx="7">
                  <c:v>18.45724372759857</c:v>
                </c:pt>
                <c:pt idx="8">
                  <c:v>20.108966973886329</c:v>
                </c:pt>
                <c:pt idx="9">
                  <c:v>22.777971326164874</c:v>
                </c:pt>
                <c:pt idx="10">
                  <c:v>23.914996415770606</c:v>
                </c:pt>
                <c:pt idx="11">
                  <c:v>25.287232974910395</c:v>
                </c:pt>
                <c:pt idx="12">
                  <c:v>32.584043778801849</c:v>
                </c:pt>
                <c:pt idx="13">
                  <c:v>29.419641577060929</c:v>
                </c:pt>
                <c:pt idx="14">
                  <c:v>26.507587813620074</c:v>
                </c:pt>
                <c:pt idx="15">
                  <c:v>23.808146953405018</c:v>
                </c:pt>
                <c:pt idx="16">
                  <c:v>19.392753456221197</c:v>
                </c:pt>
                <c:pt idx="17">
                  <c:v>18.055315412186378</c:v>
                </c:pt>
                <c:pt idx="18">
                  <c:v>18.548544802867383</c:v>
                </c:pt>
                <c:pt idx="19">
                  <c:v>13.892340501792114</c:v>
                </c:pt>
                <c:pt idx="20">
                  <c:v>12.307619577308119</c:v>
                </c:pt>
                <c:pt idx="21">
                  <c:v>12.378688172043011</c:v>
                </c:pt>
                <c:pt idx="22">
                  <c:v>18.189164874551974</c:v>
                </c:pt>
                <c:pt idx="23">
                  <c:v>15.707799283154122</c:v>
                </c:pt>
                <c:pt idx="24">
                  <c:v>13.998310291858681</c:v>
                </c:pt>
                <c:pt idx="25">
                  <c:v>16.686964157706093</c:v>
                </c:pt>
                <c:pt idx="26">
                  <c:v>19.225845878136202</c:v>
                </c:pt>
                <c:pt idx="27" formatCode="#,##0.00">
                  <c:v>15.937682363119514</c:v>
                </c:pt>
                <c:pt idx="28">
                  <c:v>19.4427688172043</c:v>
                </c:pt>
                <c:pt idx="29">
                  <c:v>16.229175627240142</c:v>
                </c:pt>
                <c:pt idx="30">
                  <c:v>26.71393189964158</c:v>
                </c:pt>
                <c:pt idx="31" formatCode="#,##0.00">
                  <c:v>24.071724014336919</c:v>
                </c:pt>
                <c:pt idx="32">
                  <c:v>18.551117511520737</c:v>
                </c:pt>
                <c:pt idx="33">
                  <c:v>17.169412186379926</c:v>
                </c:pt>
                <c:pt idx="34">
                  <c:v>20.695071684587816</c:v>
                </c:pt>
                <c:pt idx="35" formatCode="#,##0.00">
                  <c:v>15.421043010752689</c:v>
                </c:pt>
                <c:pt idx="36">
                  <c:v>12.662365591397849</c:v>
                </c:pt>
                <c:pt idx="37">
                  <c:v>11.537845878136201</c:v>
                </c:pt>
                <c:pt idx="38">
                  <c:v>17.37268100358423</c:v>
                </c:pt>
                <c:pt idx="39" formatCode="#,##0.00">
                  <c:v>14.2456164874552</c:v>
                </c:pt>
                <c:pt idx="40">
                  <c:v>512.24398233486943</c:v>
                </c:pt>
                <c:pt idx="41">
                  <c:v>19.448559139784948</c:v>
                </c:pt>
                <c:pt idx="42">
                  <c:v>29.713055246570264</c:v>
                </c:pt>
                <c:pt idx="43" formatCode="#,##0.00">
                  <c:v>23.791387096774191</c:v>
                </c:pt>
                <c:pt idx="44">
                  <c:v>24.241482334869431</c:v>
                </c:pt>
                <c:pt idx="45">
                  <c:v>49.451161290322581</c:v>
                </c:pt>
                <c:pt idx="46">
                  <c:v>62.753097886540594</c:v>
                </c:pt>
                <c:pt idx="47" formatCode="#,##0.00">
                  <c:v>42.741609195402297</c:v>
                </c:pt>
                <c:pt idx="48">
                  <c:v>20.350577777777776</c:v>
                </c:pt>
                <c:pt idx="49">
                  <c:v>22.340263942103022</c:v>
                </c:pt>
                <c:pt idx="50">
                  <c:v>53.78913382594417</c:v>
                </c:pt>
                <c:pt idx="51" formatCode="#,##0.00">
                  <c:v>25.26274950219036</c:v>
                </c:pt>
                <c:pt idx="52">
                  <c:v>26.592841923124457</c:v>
                </c:pt>
                <c:pt idx="53" formatCode="#,##0.00">
                  <c:v>21.345093048713739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1B7-458A-B703-E2372828F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9391487"/>
        <c:axId val="1439396767"/>
      </c:scatterChart>
      <c:valAx>
        <c:axId val="1439391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396767"/>
        <c:crosses val="autoZero"/>
        <c:crossBetween val="midCat"/>
      </c:valAx>
      <c:valAx>
        <c:axId val="143939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391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OffPeak JP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Sheet1!$C$78</c:f>
              <c:strCache>
                <c:ptCount val="1"/>
                <c:pt idx="0">
                  <c:v>Mass Hub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Sheet1!$D$78:$BE$78</c:f>
              <c:numCache>
                <c:formatCode>#,##0.00</c:formatCode>
                <c:ptCount val="54"/>
                <c:pt idx="0">
                  <c:v>51.30131863929148</c:v>
                </c:pt>
                <c:pt idx="1">
                  <c:v>37.850595238095231</c:v>
                </c:pt>
                <c:pt idx="2">
                  <c:v>39.460384963768135</c:v>
                </c:pt>
                <c:pt idx="3">
                  <c:v>32.516622101449258</c:v>
                </c:pt>
                <c:pt idx="4">
                  <c:v>27.601070632266282</c:v>
                </c:pt>
                <c:pt idx="5">
                  <c:v>22.926753663003662</c:v>
                </c:pt>
                <c:pt idx="6">
                  <c:v>30.926911231884059</c:v>
                </c:pt>
                <c:pt idx="7">
                  <c:v>38.427999456521725</c:v>
                </c:pt>
                <c:pt idx="8">
                  <c:v>72.617844806763287</c:v>
                </c:pt>
                <c:pt idx="9">
                  <c:v>34.133154761904763</c:v>
                </c:pt>
                <c:pt idx="10">
                  <c:v>30.454148550724629</c:v>
                </c:pt>
                <c:pt idx="11">
                  <c:v>125.17613546698865</c:v>
                </c:pt>
                <c:pt idx="12">
                  <c:v>51.12213387681161</c:v>
                </c:pt>
                <c:pt idx="13">
                  <c:v>32.324491758241756</c:v>
                </c:pt>
                <c:pt idx="14">
                  <c:v>26.776259057971</c:v>
                </c:pt>
                <c:pt idx="15">
                  <c:v>31.050057065217377</c:v>
                </c:pt>
                <c:pt idx="16">
                  <c:v>74.709404790660244</c:v>
                </c:pt>
                <c:pt idx="17">
                  <c:v>18.747051282051284</c:v>
                </c:pt>
                <c:pt idx="18">
                  <c:v>22.344044384057977</c:v>
                </c:pt>
                <c:pt idx="19">
                  <c:v>20.198206884057964</c:v>
                </c:pt>
                <c:pt idx="20">
                  <c:v>22.403306059882148</c:v>
                </c:pt>
                <c:pt idx="21">
                  <c:v>18.611707875457874</c:v>
                </c:pt>
                <c:pt idx="22">
                  <c:v>21.732721920289862</c:v>
                </c:pt>
                <c:pt idx="23">
                  <c:v>28.745413949275392</c:v>
                </c:pt>
                <c:pt idx="24">
                  <c:v>30.265937600644122</c:v>
                </c:pt>
                <c:pt idx="25">
                  <c:v>22.968333333333337</c:v>
                </c:pt>
                <c:pt idx="26">
                  <c:v>19.421938405797103</c:v>
                </c:pt>
                <c:pt idx="27">
                  <c:v>41.756125543478241</c:v>
                </c:pt>
                <c:pt idx="28">
                  <c:v>55.496529991948492</c:v>
                </c:pt>
                <c:pt idx="29">
                  <c:v>27.304478021978021</c:v>
                </c:pt>
                <c:pt idx="30">
                  <c:v>30.489334239130443</c:v>
                </c:pt>
                <c:pt idx="31">
                  <c:v>41.010236594202915</c:v>
                </c:pt>
                <c:pt idx="32">
                  <c:v>39.191856078904991</c:v>
                </c:pt>
                <c:pt idx="33">
                  <c:v>21.524391025641023</c:v>
                </c:pt>
                <c:pt idx="34">
                  <c:v>20.984103260869563</c:v>
                </c:pt>
                <c:pt idx="35">
                  <c:v>28.369598913043479</c:v>
                </c:pt>
                <c:pt idx="36">
                  <c:v>18.641600374263412</c:v>
                </c:pt>
                <c:pt idx="37">
                  <c:v>16.940228937728929</c:v>
                </c:pt>
                <c:pt idx="38">
                  <c:v>17.690131340579711</c:v>
                </c:pt>
                <c:pt idx="39">
                  <c:v>26.173853442028989</c:v>
                </c:pt>
                <c:pt idx="40">
                  <c:v>44.505381642512084</c:v>
                </c:pt>
                <c:pt idx="41">
                  <c:v>24.44638278388279</c:v>
                </c:pt>
                <c:pt idx="42">
                  <c:v>36.688609601449272</c:v>
                </c:pt>
                <c:pt idx="43">
                  <c:v>52.980072826086932</c:v>
                </c:pt>
                <c:pt idx="44">
                  <c:v>101.60859561191631</c:v>
                </c:pt>
                <c:pt idx="45">
                  <c:v>65.145709706959735</c:v>
                </c:pt>
                <c:pt idx="46">
                  <c:v>74.060688405797123</c:v>
                </c:pt>
                <c:pt idx="47">
                  <c:v>72.93076920289856</c:v>
                </c:pt>
                <c:pt idx="48">
                  <c:v>44.423459138486308</c:v>
                </c:pt>
                <c:pt idx="49">
                  <c:v>25.12394688644688</c:v>
                </c:pt>
                <c:pt idx="50">
                  <c:v>27.828422101449277</c:v>
                </c:pt>
                <c:pt idx="51">
                  <c:v>29.662061231884042</c:v>
                </c:pt>
                <c:pt idx="52">
                  <c:v>36.963337314859047</c:v>
                </c:pt>
                <c:pt idx="53">
                  <c:v>24.686708333333332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96-4123-9EDC-6CAFA9576409}"/>
            </c:ext>
          </c:extLst>
        </c:ser>
        <c:ser>
          <c:idx val="1"/>
          <c:order val="1"/>
          <c:tx>
            <c:strRef>
              <c:f>Sheet1!$C$79</c:f>
              <c:strCache>
                <c:ptCount val="1"/>
                <c:pt idx="0">
                  <c:v>NY Zone 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Sheet1!$D$79:$BE$79</c:f>
              <c:numCache>
                <c:formatCode>#,##0.00</c:formatCode>
                <c:ptCount val="54"/>
                <c:pt idx="0">
                  <c:v>35.779313405797105</c:v>
                </c:pt>
                <c:pt idx="1">
                  <c:v>31.184803113553112</c:v>
                </c:pt>
                <c:pt idx="2">
                  <c:v>33.652490942028983</c:v>
                </c:pt>
                <c:pt idx="3">
                  <c:v>27.712640036231885</c:v>
                </c:pt>
                <c:pt idx="4">
                  <c:v>23.968829033285562</c:v>
                </c:pt>
                <c:pt idx="5">
                  <c:v>20.569913003663</c:v>
                </c:pt>
                <c:pt idx="6">
                  <c:v>27.271308876811592</c:v>
                </c:pt>
                <c:pt idx="7">
                  <c:v>30.6151650362319</c:v>
                </c:pt>
                <c:pt idx="8">
                  <c:v>35.609952294685982</c:v>
                </c:pt>
                <c:pt idx="9">
                  <c:v>28.352330586080591</c:v>
                </c:pt>
                <c:pt idx="10">
                  <c:v>26.087404891304349</c:v>
                </c:pt>
                <c:pt idx="11">
                  <c:v>74.738565619967801</c:v>
                </c:pt>
                <c:pt idx="12">
                  <c:v>29.252230615942018</c:v>
                </c:pt>
                <c:pt idx="13">
                  <c:v>27.261304945054935</c:v>
                </c:pt>
                <c:pt idx="14">
                  <c:v>23.849180253623189</c:v>
                </c:pt>
                <c:pt idx="15">
                  <c:v>21.799227355072471</c:v>
                </c:pt>
                <c:pt idx="16">
                  <c:v>37.643325281803556</c:v>
                </c:pt>
                <c:pt idx="17">
                  <c:v>18.227133699633701</c:v>
                </c:pt>
                <c:pt idx="18">
                  <c:v>20.449230072463759</c:v>
                </c:pt>
                <c:pt idx="19">
                  <c:v>14.298236956521748</c:v>
                </c:pt>
                <c:pt idx="20">
                  <c:v>13.624288899506292</c:v>
                </c:pt>
                <c:pt idx="21">
                  <c:v>15.5952152014652</c:v>
                </c:pt>
                <c:pt idx="22">
                  <c:v>19.290855978260876</c:v>
                </c:pt>
                <c:pt idx="23">
                  <c:v>17.244110869565226</c:v>
                </c:pt>
                <c:pt idx="24">
                  <c:v>19.385393719806771</c:v>
                </c:pt>
                <c:pt idx="25">
                  <c:v>14.500613553113546</c:v>
                </c:pt>
                <c:pt idx="26">
                  <c:v>17.318980978260868</c:v>
                </c:pt>
                <c:pt idx="27">
                  <c:v>19.652653804347828</c:v>
                </c:pt>
                <c:pt idx="28">
                  <c:v>32.735488727858289</c:v>
                </c:pt>
                <c:pt idx="29">
                  <c:v>19.573479853479853</c:v>
                </c:pt>
                <c:pt idx="30">
                  <c:v>24.992744565217389</c:v>
                </c:pt>
                <c:pt idx="31">
                  <c:v>25.771142210144923</c:v>
                </c:pt>
                <c:pt idx="32">
                  <c:v>24.19980173107891</c:v>
                </c:pt>
                <c:pt idx="33">
                  <c:v>17.639899267399269</c:v>
                </c:pt>
                <c:pt idx="34">
                  <c:v>18.183161231884057</c:v>
                </c:pt>
                <c:pt idx="35">
                  <c:v>15.149791666666669</c:v>
                </c:pt>
                <c:pt idx="36">
                  <c:v>12.147014851090933</c:v>
                </c:pt>
                <c:pt idx="37">
                  <c:v>11.094748168498169</c:v>
                </c:pt>
                <c:pt idx="38">
                  <c:v>16.159148550724638</c:v>
                </c:pt>
                <c:pt idx="39">
                  <c:v>12.360023731884054</c:v>
                </c:pt>
                <c:pt idx="40">
                  <c:v>18.313758051529796</c:v>
                </c:pt>
                <c:pt idx="41">
                  <c:v>15.232032967032959</c:v>
                </c:pt>
                <c:pt idx="42">
                  <c:v>28.87459239130434</c:v>
                </c:pt>
                <c:pt idx="43">
                  <c:v>33.41592717391304</c:v>
                </c:pt>
                <c:pt idx="44">
                  <c:v>57.409709541062796</c:v>
                </c:pt>
                <c:pt idx="45">
                  <c:v>35.014789377289382</c:v>
                </c:pt>
                <c:pt idx="46">
                  <c:v>61.654189311594202</c:v>
                </c:pt>
                <c:pt idx="47">
                  <c:v>38.449748731884071</c:v>
                </c:pt>
                <c:pt idx="48">
                  <c:v>20.384306964573263</c:v>
                </c:pt>
                <c:pt idx="49">
                  <c:v>17.29942307692307</c:v>
                </c:pt>
                <c:pt idx="50">
                  <c:v>24.063858695652176</c:v>
                </c:pt>
                <c:pt idx="51">
                  <c:v>22.106439311594212</c:v>
                </c:pt>
                <c:pt idx="52">
                  <c:v>27.585581501831498</c:v>
                </c:pt>
                <c:pt idx="53">
                  <c:v>22.678620370370371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96-4123-9EDC-6CAFA9576409}"/>
            </c:ext>
          </c:extLst>
        </c:ser>
        <c:ser>
          <c:idx val="2"/>
          <c:order val="2"/>
          <c:tx>
            <c:strRef>
              <c:f>Sheet1!$C$80</c:f>
              <c:strCache>
                <c:ptCount val="1"/>
                <c:pt idx="0">
                  <c:v>NY Zone 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Sheet1!$D$80:$BE$80</c:f>
              <c:numCache>
                <c:formatCode>#,##0.00</c:formatCode>
                <c:ptCount val="54"/>
                <c:pt idx="0">
                  <c:v>49.229429347826084</c:v>
                </c:pt>
                <c:pt idx="1">
                  <c:v>35.886799450549439</c:v>
                </c:pt>
                <c:pt idx="2">
                  <c:v>39.740421195652168</c:v>
                </c:pt>
                <c:pt idx="3">
                  <c:v>30.484731521739121</c:v>
                </c:pt>
                <c:pt idx="4">
                  <c:v>27.569314580347193</c:v>
                </c:pt>
                <c:pt idx="5">
                  <c:v>22.281291208791199</c:v>
                </c:pt>
                <c:pt idx="6">
                  <c:v>30.822210144927531</c:v>
                </c:pt>
                <c:pt idx="7">
                  <c:v>36.205649818840577</c:v>
                </c:pt>
                <c:pt idx="8">
                  <c:v>56.707361111111105</c:v>
                </c:pt>
                <c:pt idx="9">
                  <c:v>33.444134615384613</c:v>
                </c:pt>
                <c:pt idx="10">
                  <c:v>31.241820652173907</c:v>
                </c:pt>
                <c:pt idx="11">
                  <c:v>104.25991747181963</c:v>
                </c:pt>
                <c:pt idx="12">
                  <c:v>36.510255434782614</c:v>
                </c:pt>
                <c:pt idx="13">
                  <c:v>30.387303113553116</c:v>
                </c:pt>
                <c:pt idx="14">
                  <c:v>25.834510869565232</c:v>
                </c:pt>
                <c:pt idx="15">
                  <c:v>26.259342210144922</c:v>
                </c:pt>
                <c:pt idx="16">
                  <c:v>58.731627415458931</c:v>
                </c:pt>
                <c:pt idx="17">
                  <c:v>19.32760989010988</c:v>
                </c:pt>
                <c:pt idx="18">
                  <c:v>22.11728713768116</c:v>
                </c:pt>
                <c:pt idx="19">
                  <c:v>17.28061014492754</c:v>
                </c:pt>
                <c:pt idx="20">
                  <c:v>20.397999084249086</c:v>
                </c:pt>
                <c:pt idx="21">
                  <c:v>19.320544871794873</c:v>
                </c:pt>
                <c:pt idx="22">
                  <c:v>22.198464673913044</c:v>
                </c:pt>
                <c:pt idx="23">
                  <c:v>25.744134963768118</c:v>
                </c:pt>
                <c:pt idx="24">
                  <c:v>29.326884259259263</c:v>
                </c:pt>
                <c:pt idx="25">
                  <c:v>21.279184981684978</c:v>
                </c:pt>
                <c:pt idx="26">
                  <c:v>19.207495471014489</c:v>
                </c:pt>
                <c:pt idx="27">
                  <c:v>28.660226630434785</c:v>
                </c:pt>
                <c:pt idx="28">
                  <c:v>44.676771739130423</c:v>
                </c:pt>
                <c:pt idx="29">
                  <c:v>22.602216117216113</c:v>
                </c:pt>
                <c:pt idx="30">
                  <c:v>27.774356884057969</c:v>
                </c:pt>
                <c:pt idx="31">
                  <c:v>31.149132789855052</c:v>
                </c:pt>
                <c:pt idx="32">
                  <c:v>32.101186996779397</c:v>
                </c:pt>
                <c:pt idx="33">
                  <c:v>17.702825091575097</c:v>
                </c:pt>
                <c:pt idx="34">
                  <c:v>19.173537137681166</c:v>
                </c:pt>
                <c:pt idx="35">
                  <c:v>21.311405434782596</c:v>
                </c:pt>
                <c:pt idx="36">
                  <c:v>17.531137322822111</c:v>
                </c:pt>
                <c:pt idx="37">
                  <c:v>13.551488095238097</c:v>
                </c:pt>
                <c:pt idx="38">
                  <c:v>17.525208333333332</c:v>
                </c:pt>
                <c:pt idx="39">
                  <c:v>22.048666304347826</c:v>
                </c:pt>
                <c:pt idx="40">
                  <c:v>34.798934782608704</c:v>
                </c:pt>
                <c:pt idx="41">
                  <c:v>24.592788461538454</c:v>
                </c:pt>
                <c:pt idx="42">
                  <c:v>35.17996376811594</c:v>
                </c:pt>
                <c:pt idx="43">
                  <c:v>45.339575362318833</c:v>
                </c:pt>
                <c:pt idx="44">
                  <c:v>92.920495974235166</c:v>
                </c:pt>
                <c:pt idx="45">
                  <c:v>61.648374542124515</c:v>
                </c:pt>
                <c:pt idx="46">
                  <c:v>72.451766304347828</c:v>
                </c:pt>
                <c:pt idx="47">
                  <c:v>68.539851992753626</c:v>
                </c:pt>
                <c:pt idx="48">
                  <c:v>34.345637882447654</c:v>
                </c:pt>
                <c:pt idx="49">
                  <c:v>22.785160256410265</c:v>
                </c:pt>
                <c:pt idx="50">
                  <c:v>26.043940217391309</c:v>
                </c:pt>
                <c:pt idx="51">
                  <c:v>25.874195471014495</c:v>
                </c:pt>
                <c:pt idx="52">
                  <c:v>33.978917423156553</c:v>
                </c:pt>
                <c:pt idx="53">
                  <c:v>27.958041666666663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96-4123-9EDC-6CAFA9576409}"/>
            </c:ext>
          </c:extLst>
        </c:ser>
        <c:ser>
          <c:idx val="3"/>
          <c:order val="3"/>
          <c:tx>
            <c:strRef>
              <c:f>Sheet1!$C$81</c:f>
              <c:strCache>
                <c:ptCount val="1"/>
                <c:pt idx="0">
                  <c:v>NY Zone J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Sheet1!$D$81:$BE$81</c:f>
              <c:numCache>
                <c:formatCode>#,##0.00</c:formatCode>
                <c:ptCount val="54"/>
                <c:pt idx="0">
                  <c:v>51.080749798711743</c:v>
                </c:pt>
                <c:pt idx="1">
                  <c:v>37.080599816849826</c:v>
                </c:pt>
                <c:pt idx="2">
                  <c:v>42.037432065217381</c:v>
                </c:pt>
                <c:pt idx="3">
                  <c:v>30.768373369565197</c:v>
                </c:pt>
                <c:pt idx="4">
                  <c:v>28.248588549132045</c:v>
                </c:pt>
                <c:pt idx="5">
                  <c:v>22.741620879120877</c:v>
                </c:pt>
                <c:pt idx="6">
                  <c:v>32.049044384057972</c:v>
                </c:pt>
                <c:pt idx="7">
                  <c:v>36.959637137681163</c:v>
                </c:pt>
                <c:pt idx="8">
                  <c:v>58.074166062801964</c:v>
                </c:pt>
                <c:pt idx="9">
                  <c:v>34.010100732600726</c:v>
                </c:pt>
                <c:pt idx="10">
                  <c:v>33.497015398550722</c:v>
                </c:pt>
                <c:pt idx="11">
                  <c:v>104.53095511272141</c:v>
                </c:pt>
                <c:pt idx="12">
                  <c:v>35.902980434782606</c:v>
                </c:pt>
                <c:pt idx="13">
                  <c:v>30.633470695970686</c:v>
                </c:pt>
                <c:pt idx="14">
                  <c:v>26.27728260869565</c:v>
                </c:pt>
                <c:pt idx="15">
                  <c:v>26.346719927536238</c:v>
                </c:pt>
                <c:pt idx="16">
                  <c:v>59.086149154589357</c:v>
                </c:pt>
                <c:pt idx="17">
                  <c:v>19.830306776556778</c:v>
                </c:pt>
                <c:pt idx="18">
                  <c:v>23.797971014492759</c:v>
                </c:pt>
                <c:pt idx="19">
                  <c:v>17.491895833333331</c:v>
                </c:pt>
                <c:pt idx="20">
                  <c:v>21.25929785793916</c:v>
                </c:pt>
                <c:pt idx="21">
                  <c:v>20.53872252747253</c:v>
                </c:pt>
                <c:pt idx="22">
                  <c:v>24.140729166666659</c:v>
                </c:pt>
                <c:pt idx="23">
                  <c:v>25.848853442028986</c:v>
                </c:pt>
                <c:pt idx="24">
                  <c:v>29.471096215781014</c:v>
                </c:pt>
                <c:pt idx="25">
                  <c:v>22.852271062271065</c:v>
                </c:pt>
                <c:pt idx="26">
                  <c:v>20.054769021739126</c:v>
                </c:pt>
                <c:pt idx="27">
                  <c:v>29.040597463768133</c:v>
                </c:pt>
                <c:pt idx="28">
                  <c:v>46.970595410628015</c:v>
                </c:pt>
                <c:pt idx="29">
                  <c:v>23.644194139194152</c:v>
                </c:pt>
                <c:pt idx="30">
                  <c:v>30.244556159420288</c:v>
                </c:pt>
                <c:pt idx="31">
                  <c:v>31.418866847826088</c:v>
                </c:pt>
                <c:pt idx="32">
                  <c:v>32.598848429951687</c:v>
                </c:pt>
                <c:pt idx="33">
                  <c:v>19.47369505494505</c:v>
                </c:pt>
                <c:pt idx="34">
                  <c:v>20.372368659420289</c:v>
                </c:pt>
                <c:pt idx="35">
                  <c:v>21.633657246376814</c:v>
                </c:pt>
                <c:pt idx="36">
                  <c:v>18.880474597865895</c:v>
                </c:pt>
                <c:pt idx="37">
                  <c:v>13.910512820512823</c:v>
                </c:pt>
                <c:pt idx="38">
                  <c:v>18.884465579710149</c:v>
                </c:pt>
                <c:pt idx="39">
                  <c:v>22.316411231884054</c:v>
                </c:pt>
                <c:pt idx="40">
                  <c:v>35.468113727858288</c:v>
                </c:pt>
                <c:pt idx="41">
                  <c:v>24.951034798534799</c:v>
                </c:pt>
                <c:pt idx="42">
                  <c:v>36.986136775362318</c:v>
                </c:pt>
                <c:pt idx="43">
                  <c:v>46.344675000000002</c:v>
                </c:pt>
                <c:pt idx="44">
                  <c:v>93.560242753623228</c:v>
                </c:pt>
                <c:pt idx="45">
                  <c:v>63.065714285714279</c:v>
                </c:pt>
                <c:pt idx="46">
                  <c:v>74.496453804347837</c:v>
                </c:pt>
                <c:pt idx="47">
                  <c:v>69.49034782608696</c:v>
                </c:pt>
                <c:pt idx="48">
                  <c:v>34.621542069243169</c:v>
                </c:pt>
                <c:pt idx="49">
                  <c:v>23.072907509157517</c:v>
                </c:pt>
                <c:pt idx="50">
                  <c:v>27.297576992753619</c:v>
                </c:pt>
                <c:pt idx="51">
                  <c:v>27.208882971014486</c:v>
                </c:pt>
                <c:pt idx="52">
                  <c:v>35.786370043000503</c:v>
                </c:pt>
                <c:pt idx="53">
                  <c:v>28.817537037037038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96-4123-9EDC-6CAFA9576409}"/>
            </c:ext>
          </c:extLst>
        </c:ser>
        <c:ser>
          <c:idx val="4"/>
          <c:order val="4"/>
          <c:tx>
            <c:strRef>
              <c:f>Sheet1!$C$82</c:f>
              <c:strCache>
                <c:ptCount val="1"/>
                <c:pt idx="0">
                  <c:v>PJM West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Sheet1!$D$82:$BE$82</c:f>
              <c:numCache>
                <c:formatCode>#,##0.00</c:formatCode>
                <c:ptCount val="54"/>
                <c:pt idx="0">
                  <c:v>40.858928955797097</c:v>
                </c:pt>
                <c:pt idx="1">
                  <c:v>33.916098321428571</c:v>
                </c:pt>
                <c:pt idx="2">
                  <c:v>34.068597563405802</c:v>
                </c:pt>
                <c:pt idx="3">
                  <c:v>31.114616296105076</c:v>
                </c:pt>
                <c:pt idx="4">
                  <c:v>27.303063772177097</c:v>
                </c:pt>
                <c:pt idx="5">
                  <c:v>22.034301452838829</c:v>
                </c:pt>
                <c:pt idx="6">
                  <c:v>26.919559772644931</c:v>
                </c:pt>
                <c:pt idx="7">
                  <c:v>30.869201327717395</c:v>
                </c:pt>
                <c:pt idx="8">
                  <c:v>33.486062323832535</c:v>
                </c:pt>
                <c:pt idx="9">
                  <c:v>29.612168522893782</c:v>
                </c:pt>
                <c:pt idx="10">
                  <c:v>28.466996774909425</c:v>
                </c:pt>
                <c:pt idx="11">
                  <c:v>78.280771197463764</c:v>
                </c:pt>
                <c:pt idx="12">
                  <c:v>31.005893446105066</c:v>
                </c:pt>
                <c:pt idx="13">
                  <c:v>30.680673397435903</c:v>
                </c:pt>
                <c:pt idx="14">
                  <c:v>27.413026009963772</c:v>
                </c:pt>
                <c:pt idx="15">
                  <c:v>29.952876293025369</c:v>
                </c:pt>
                <c:pt idx="16">
                  <c:v>44.217764477254434</c:v>
                </c:pt>
                <c:pt idx="17">
                  <c:v>25.028568056318672</c:v>
                </c:pt>
                <c:pt idx="18">
                  <c:v>23.224815237318836</c:v>
                </c:pt>
                <c:pt idx="19">
                  <c:v>22.109061745018124</c:v>
                </c:pt>
                <c:pt idx="20">
                  <c:v>23.988923446826721</c:v>
                </c:pt>
                <c:pt idx="21">
                  <c:v>21.266628026098903</c:v>
                </c:pt>
                <c:pt idx="22">
                  <c:v>22.910100094655796</c:v>
                </c:pt>
                <c:pt idx="23">
                  <c:v>25.259746692934794</c:v>
                </c:pt>
                <c:pt idx="24">
                  <c:v>27.075569670692435</c:v>
                </c:pt>
                <c:pt idx="25">
                  <c:v>22.121270426282045</c:v>
                </c:pt>
                <c:pt idx="26">
                  <c:v>21.948979516304348</c:v>
                </c:pt>
                <c:pt idx="27">
                  <c:v>28.679605414130428</c:v>
                </c:pt>
                <c:pt idx="28">
                  <c:v>43.803593072544295</c:v>
                </c:pt>
                <c:pt idx="29">
                  <c:v>26.220289381410268</c:v>
                </c:pt>
                <c:pt idx="30">
                  <c:v>24.247272661684796</c:v>
                </c:pt>
                <c:pt idx="31">
                  <c:v>29.302057804710138</c:v>
                </c:pt>
                <c:pt idx="32">
                  <c:v>27.578555883393715</c:v>
                </c:pt>
                <c:pt idx="33">
                  <c:v>19.710887525641017</c:v>
                </c:pt>
                <c:pt idx="34">
                  <c:v>20.380034858242748</c:v>
                </c:pt>
                <c:pt idx="35">
                  <c:v>22.470825346739137</c:v>
                </c:pt>
                <c:pt idx="36">
                  <c:v>17.521596059583533</c:v>
                </c:pt>
                <c:pt idx="37">
                  <c:v>14.565574771978021</c:v>
                </c:pt>
                <c:pt idx="38">
                  <c:v>16.875587124094206</c:v>
                </c:pt>
                <c:pt idx="39">
                  <c:v>19.787085930163048</c:v>
                </c:pt>
                <c:pt idx="40">
                  <c:v>26.774626601851846</c:v>
                </c:pt>
                <c:pt idx="41">
                  <c:v>22.345583494505505</c:v>
                </c:pt>
                <c:pt idx="42">
                  <c:v>32.140947138134059</c:v>
                </c:pt>
                <c:pt idx="43">
                  <c:v>48.101991048913035</c:v>
                </c:pt>
                <c:pt idx="44">
                  <c:v>51.647285651570073</c:v>
                </c:pt>
                <c:pt idx="45">
                  <c:v>58.569822972985342</c:v>
                </c:pt>
                <c:pt idx="46">
                  <c:v>66.564074397644958</c:v>
                </c:pt>
                <c:pt idx="47">
                  <c:v>63.724518104347787</c:v>
                </c:pt>
                <c:pt idx="48">
                  <c:v>27.47882808760064</c:v>
                </c:pt>
                <c:pt idx="49">
                  <c:v>22.900284123168504</c:v>
                </c:pt>
                <c:pt idx="50">
                  <c:v>23.427339668025361</c:v>
                </c:pt>
                <c:pt idx="51">
                  <c:v>30.602792449003623</c:v>
                </c:pt>
                <c:pt idx="52">
                  <c:v>28.838155348463122</c:v>
                </c:pt>
                <c:pt idx="53">
                  <c:v>26.276172963425932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96-4123-9EDC-6CAFA9576409}"/>
            </c:ext>
          </c:extLst>
        </c:ser>
        <c:ser>
          <c:idx val="5"/>
          <c:order val="5"/>
          <c:tx>
            <c:strRef>
              <c:f>Sheet1!$C$83</c:f>
              <c:strCache>
                <c:ptCount val="1"/>
                <c:pt idx="0">
                  <c:v>PJM East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Sheet1!$D$83:$BE$83</c:f>
              <c:numCache>
                <c:formatCode>#,##0.00</c:formatCode>
                <c:ptCount val="54"/>
                <c:pt idx="0">
                  <c:v>45.558643104669883</c:v>
                </c:pt>
                <c:pt idx="1">
                  <c:v>35.489017982600728</c:v>
                </c:pt>
                <c:pt idx="2">
                  <c:v>37.110367609148561</c:v>
                </c:pt>
                <c:pt idx="3">
                  <c:v>30.853395797826089</c:v>
                </c:pt>
                <c:pt idx="4">
                  <c:v>28.838922174609813</c:v>
                </c:pt>
                <c:pt idx="5">
                  <c:v>21.591528022435909</c:v>
                </c:pt>
                <c:pt idx="6">
                  <c:v>30.122786553894926</c:v>
                </c:pt>
                <c:pt idx="7">
                  <c:v>32.447619825815202</c:v>
                </c:pt>
                <c:pt idx="8">
                  <c:v>34.55972632302737</c:v>
                </c:pt>
                <c:pt idx="9">
                  <c:v>31.325106590201472</c:v>
                </c:pt>
                <c:pt idx="10">
                  <c:v>30.007325350543471</c:v>
                </c:pt>
                <c:pt idx="11">
                  <c:v>90.786707820652168</c:v>
                </c:pt>
                <c:pt idx="12">
                  <c:v>32.19676385769926</c:v>
                </c:pt>
                <c:pt idx="13">
                  <c:v>30.634786767857143</c:v>
                </c:pt>
                <c:pt idx="14">
                  <c:v>26.507552103713767</c:v>
                </c:pt>
                <c:pt idx="15">
                  <c:v>37.660706784782626</c:v>
                </c:pt>
                <c:pt idx="16">
                  <c:v>52.91501483514493</c:v>
                </c:pt>
                <c:pt idx="17">
                  <c:v>25.152664907509156</c:v>
                </c:pt>
                <c:pt idx="18">
                  <c:v>20.837114357789854</c:v>
                </c:pt>
                <c:pt idx="19">
                  <c:v>25.347991754166664</c:v>
                </c:pt>
                <c:pt idx="20">
                  <c:v>25.346020121237455</c:v>
                </c:pt>
                <c:pt idx="21">
                  <c:v>19.254250642399267</c:v>
                </c:pt>
                <c:pt idx="22">
                  <c:v>21.072814450181166</c:v>
                </c:pt>
                <c:pt idx="23">
                  <c:v>21.316599519927536</c:v>
                </c:pt>
                <c:pt idx="24">
                  <c:v>29.336510980555559</c:v>
                </c:pt>
                <c:pt idx="25">
                  <c:v>21.736222810439564</c:v>
                </c:pt>
                <c:pt idx="26">
                  <c:v>19.181085373188402</c:v>
                </c:pt>
                <c:pt idx="27">
                  <c:v>33.856300585507235</c:v>
                </c:pt>
                <c:pt idx="28">
                  <c:v>46.651078143136083</c:v>
                </c:pt>
                <c:pt idx="29">
                  <c:v>23.544111546703306</c:v>
                </c:pt>
                <c:pt idx="30">
                  <c:v>24.66426460778986</c:v>
                </c:pt>
                <c:pt idx="31">
                  <c:v>34.843774665398549</c:v>
                </c:pt>
                <c:pt idx="32">
                  <c:v>28.403704613003214</c:v>
                </c:pt>
                <c:pt idx="33">
                  <c:v>18.867814046245417</c:v>
                </c:pt>
                <c:pt idx="34">
                  <c:v>18.963003921195654</c:v>
                </c:pt>
                <c:pt idx="35">
                  <c:v>19.125456591938402</c:v>
                </c:pt>
                <c:pt idx="36">
                  <c:v>17.39778615559803</c:v>
                </c:pt>
                <c:pt idx="37">
                  <c:v>13.829612869047621</c:v>
                </c:pt>
                <c:pt idx="38">
                  <c:v>15.513188677083329</c:v>
                </c:pt>
                <c:pt idx="39">
                  <c:v>20.879959660326097</c:v>
                </c:pt>
                <c:pt idx="40">
                  <c:v>35.819975502979055</c:v>
                </c:pt>
                <c:pt idx="41">
                  <c:v>20.876302621794871</c:v>
                </c:pt>
                <c:pt idx="42">
                  <c:v>31.850840768568855</c:v>
                </c:pt>
                <c:pt idx="43">
                  <c:v>41.042562569655772</c:v>
                </c:pt>
                <c:pt idx="44">
                  <c:v>57.8313111315016</c:v>
                </c:pt>
                <c:pt idx="45">
                  <c:v>52.806637613553114</c:v>
                </c:pt>
                <c:pt idx="46">
                  <c:v>65.534584221014498</c:v>
                </c:pt>
                <c:pt idx="47">
                  <c:v>63.220173790797084</c:v>
                </c:pt>
                <c:pt idx="48">
                  <c:v>25.379381698168281</c:v>
                </c:pt>
                <c:pt idx="49">
                  <c:v>16.822861192307691</c:v>
                </c:pt>
                <c:pt idx="50">
                  <c:v>20.298653107336964</c:v>
                </c:pt>
                <c:pt idx="51">
                  <c:v>25.458770733152168</c:v>
                </c:pt>
                <c:pt idx="52">
                  <c:v>25.229220505653768</c:v>
                </c:pt>
                <c:pt idx="53">
                  <c:v>22.682552677314817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96-4123-9EDC-6CAFA9576409}"/>
            </c:ext>
          </c:extLst>
        </c:ser>
        <c:ser>
          <c:idx val="6"/>
          <c:order val="6"/>
          <c:tx>
            <c:strRef>
              <c:f>Sheet1!$C$84</c:f>
              <c:strCache>
                <c:ptCount val="1"/>
                <c:pt idx="0">
                  <c:v>AEP Dayton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Sheet1!$D$84:$BE$84</c:f>
              <c:numCache>
                <c:formatCode>#,##0.00</c:formatCode>
                <c:ptCount val="54"/>
                <c:pt idx="0">
                  <c:v>33.366856885466987</c:v>
                </c:pt>
                <c:pt idx="1">
                  <c:v>30.988586447802195</c:v>
                </c:pt>
                <c:pt idx="2">
                  <c:v>31.983560708333318</c:v>
                </c:pt>
                <c:pt idx="3">
                  <c:v>30.553551319112341</c:v>
                </c:pt>
                <c:pt idx="4">
                  <c:v>25.678486559862229</c:v>
                </c:pt>
                <c:pt idx="5">
                  <c:v>21.65716656639195</c:v>
                </c:pt>
                <c:pt idx="6">
                  <c:v>25.59958281884057</c:v>
                </c:pt>
                <c:pt idx="7">
                  <c:v>29.691809545561608</c:v>
                </c:pt>
                <c:pt idx="8">
                  <c:v>30.712843264895323</c:v>
                </c:pt>
                <c:pt idx="9">
                  <c:v>28.683858509157513</c:v>
                </c:pt>
                <c:pt idx="10">
                  <c:v>26.289797765398554</c:v>
                </c:pt>
                <c:pt idx="11">
                  <c:v>55.582024361513675</c:v>
                </c:pt>
                <c:pt idx="12">
                  <c:v>28.58454812028986</c:v>
                </c:pt>
                <c:pt idx="13">
                  <c:v>30.848939755952369</c:v>
                </c:pt>
                <c:pt idx="14">
                  <c:v>26.474229680253622</c:v>
                </c:pt>
                <c:pt idx="15">
                  <c:v>30.106497532518123</c:v>
                </c:pt>
                <c:pt idx="16">
                  <c:v>33.672197658071667</c:v>
                </c:pt>
                <c:pt idx="17">
                  <c:v>24.408332260531143</c:v>
                </c:pt>
                <c:pt idx="18">
                  <c:v>22.758183921195638</c:v>
                </c:pt>
                <c:pt idx="19">
                  <c:v>22.005480128297094</c:v>
                </c:pt>
                <c:pt idx="20">
                  <c:v>21.940509499422674</c:v>
                </c:pt>
                <c:pt idx="21">
                  <c:v>21.194626118131868</c:v>
                </c:pt>
                <c:pt idx="22">
                  <c:v>22.397125852355067</c:v>
                </c:pt>
                <c:pt idx="23">
                  <c:v>25.119274915036236</c:v>
                </c:pt>
                <c:pt idx="24">
                  <c:v>25.609943032206107</c:v>
                </c:pt>
                <c:pt idx="25">
                  <c:v>22.558270758241754</c:v>
                </c:pt>
                <c:pt idx="26">
                  <c:v>22.753793536231882</c:v>
                </c:pt>
                <c:pt idx="27">
                  <c:v>26.193597912862309</c:v>
                </c:pt>
                <c:pt idx="28">
                  <c:v>34.436694630072459</c:v>
                </c:pt>
                <c:pt idx="29">
                  <c:v>27.215535443223438</c:v>
                </c:pt>
                <c:pt idx="30">
                  <c:v>24.347143715126816</c:v>
                </c:pt>
                <c:pt idx="31">
                  <c:v>29.246098762318841</c:v>
                </c:pt>
                <c:pt idx="32">
                  <c:v>26.984564529931554</c:v>
                </c:pt>
                <c:pt idx="33">
                  <c:v>20.086492744963365</c:v>
                </c:pt>
                <c:pt idx="34">
                  <c:v>20.728117810235513</c:v>
                </c:pt>
                <c:pt idx="35">
                  <c:v>23.288783731974629</c:v>
                </c:pt>
                <c:pt idx="36">
                  <c:v>17.698810589206083</c:v>
                </c:pt>
                <c:pt idx="37">
                  <c:v>14.843752887820516</c:v>
                </c:pt>
                <c:pt idx="38">
                  <c:v>17.352855590579708</c:v>
                </c:pt>
                <c:pt idx="39">
                  <c:v>19.710829245471022</c:v>
                </c:pt>
                <c:pt idx="40">
                  <c:v>26.156642625885677</c:v>
                </c:pt>
                <c:pt idx="41">
                  <c:v>23.327431822344337</c:v>
                </c:pt>
                <c:pt idx="42">
                  <c:v>32.200707403532604</c:v>
                </c:pt>
                <c:pt idx="43">
                  <c:v>46.018411574456515</c:v>
                </c:pt>
                <c:pt idx="44">
                  <c:v>44.599692448268911</c:v>
                </c:pt>
                <c:pt idx="45">
                  <c:v>58.002032985347959</c:v>
                </c:pt>
                <c:pt idx="46">
                  <c:v>65.382684361413027</c:v>
                </c:pt>
                <c:pt idx="47">
                  <c:v>60.633399447282599</c:v>
                </c:pt>
                <c:pt idx="48">
                  <c:v>26.714670480273742</c:v>
                </c:pt>
                <c:pt idx="49">
                  <c:v>22.654075992673985</c:v>
                </c:pt>
                <c:pt idx="50">
                  <c:v>23.119255369112317</c:v>
                </c:pt>
                <c:pt idx="51">
                  <c:v>26.151934575905798</c:v>
                </c:pt>
                <c:pt idx="52">
                  <c:v>25.370123972228846</c:v>
                </c:pt>
                <c:pt idx="53">
                  <c:v>24.593921842129632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96-4123-9EDC-6CAFA9576409}"/>
            </c:ext>
          </c:extLst>
        </c:ser>
        <c:ser>
          <c:idx val="7"/>
          <c:order val="7"/>
          <c:tx>
            <c:strRef>
              <c:f>Sheet1!$C$85</c:f>
              <c:strCache>
                <c:ptCount val="1"/>
                <c:pt idx="0">
                  <c:v>Cinergy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Sheet1!$D$85:$BE$85</c:f>
              <c:numCache>
                <c:formatCode>#,##0.00</c:formatCode>
                <c:ptCount val="54"/>
                <c:pt idx="0">
                  <c:v>33.316046651227865</c:v>
                </c:pt>
                <c:pt idx="1">
                  <c:v>31.034006899725281</c:v>
                </c:pt>
                <c:pt idx="2">
                  <c:v>32.137521466938395</c:v>
                </c:pt>
                <c:pt idx="3">
                  <c:v>30.682761882608698</c:v>
                </c:pt>
                <c:pt idx="4">
                  <c:v>25.679288122073572</c:v>
                </c:pt>
                <c:pt idx="5">
                  <c:v>21.775065671703299</c:v>
                </c:pt>
                <c:pt idx="6">
                  <c:v>25.7171560271739</c:v>
                </c:pt>
                <c:pt idx="7">
                  <c:v>29.781977215851452</c:v>
                </c:pt>
                <c:pt idx="8">
                  <c:v>30.59628365193236</c:v>
                </c:pt>
                <c:pt idx="9">
                  <c:v>28.85574062912087</c:v>
                </c:pt>
                <c:pt idx="10">
                  <c:v>26.426258410326099</c:v>
                </c:pt>
                <c:pt idx="11">
                  <c:v>55.245883308574896</c:v>
                </c:pt>
                <c:pt idx="12">
                  <c:v>28.631262306884061</c:v>
                </c:pt>
                <c:pt idx="13">
                  <c:v>31.092236393315009</c:v>
                </c:pt>
                <c:pt idx="14">
                  <c:v>26.565221706068847</c:v>
                </c:pt>
                <c:pt idx="15">
                  <c:v>29.935611420199269</c:v>
                </c:pt>
                <c:pt idx="16">
                  <c:v>33.546102769424323</c:v>
                </c:pt>
                <c:pt idx="17">
                  <c:v>24.350682732600731</c:v>
                </c:pt>
                <c:pt idx="18">
                  <c:v>22.832639235507255</c:v>
                </c:pt>
                <c:pt idx="19">
                  <c:v>21.995092569728257</c:v>
                </c:pt>
                <c:pt idx="20">
                  <c:v>22.062136905279502</c:v>
                </c:pt>
                <c:pt idx="21">
                  <c:v>21.344116594322344</c:v>
                </c:pt>
                <c:pt idx="22">
                  <c:v>22.51157196376812</c:v>
                </c:pt>
                <c:pt idx="23">
                  <c:v>25.05356571974637</c:v>
                </c:pt>
                <c:pt idx="24">
                  <c:v>25.637689978663452</c:v>
                </c:pt>
                <c:pt idx="25">
                  <c:v>22.658216380036624</c:v>
                </c:pt>
                <c:pt idx="26">
                  <c:v>22.877026026268119</c:v>
                </c:pt>
                <c:pt idx="27">
                  <c:v>26.103430919021747</c:v>
                </c:pt>
                <c:pt idx="28">
                  <c:v>33.496354379388073</c:v>
                </c:pt>
                <c:pt idx="29">
                  <c:v>27.38477954395605</c:v>
                </c:pt>
                <c:pt idx="30">
                  <c:v>24.406125860054345</c:v>
                </c:pt>
                <c:pt idx="31">
                  <c:v>29.315563871014486</c:v>
                </c:pt>
                <c:pt idx="32">
                  <c:v>26.995655332689207</c:v>
                </c:pt>
                <c:pt idx="33">
                  <c:v>20.183191024267405</c:v>
                </c:pt>
                <c:pt idx="34">
                  <c:v>20.808825723278982</c:v>
                </c:pt>
                <c:pt idx="35">
                  <c:v>23.345519506884049</c:v>
                </c:pt>
                <c:pt idx="36">
                  <c:v>17.694533373268044</c:v>
                </c:pt>
                <c:pt idx="37">
                  <c:v>14.854199650183153</c:v>
                </c:pt>
                <c:pt idx="38">
                  <c:v>17.437611627264488</c:v>
                </c:pt>
                <c:pt idx="39">
                  <c:v>19.608393348713772</c:v>
                </c:pt>
                <c:pt idx="40">
                  <c:v>26.141614877918691</c:v>
                </c:pt>
                <c:pt idx="41">
                  <c:v>23.421996561355307</c:v>
                </c:pt>
                <c:pt idx="42">
                  <c:v>32.282476628170272</c:v>
                </c:pt>
                <c:pt idx="43">
                  <c:v>45.219036049637687</c:v>
                </c:pt>
                <c:pt idx="44">
                  <c:v>44.303929893719797</c:v>
                </c:pt>
                <c:pt idx="45">
                  <c:v>57.818748779761897</c:v>
                </c:pt>
                <c:pt idx="46">
                  <c:v>65.365194759963757</c:v>
                </c:pt>
                <c:pt idx="47">
                  <c:v>60.153114802717411</c:v>
                </c:pt>
                <c:pt idx="48">
                  <c:v>26.550940723027381</c:v>
                </c:pt>
                <c:pt idx="49">
                  <c:v>22.614673961996338</c:v>
                </c:pt>
                <c:pt idx="50">
                  <c:v>23.182815509510863</c:v>
                </c:pt>
                <c:pt idx="51">
                  <c:v>26.078856549184785</c:v>
                </c:pt>
                <c:pt idx="52">
                  <c:v>25.394938919413917</c:v>
                </c:pt>
                <c:pt idx="53">
                  <c:v>26.114090881481484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A96-4123-9EDC-6CAFA9576409}"/>
            </c:ext>
          </c:extLst>
        </c:ser>
        <c:ser>
          <c:idx val="8"/>
          <c:order val="8"/>
          <c:tx>
            <c:strRef>
              <c:f>Sheet1!$C$86</c:f>
              <c:strCache>
                <c:ptCount val="1"/>
                <c:pt idx="0">
                  <c:v>NI Hub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Sheet1!$D$86:$BE$86</c:f>
              <c:numCache>
                <c:formatCode>#,##0.00</c:formatCode>
                <c:ptCount val="54"/>
                <c:pt idx="0">
                  <c:v>28.117182428522533</c:v>
                </c:pt>
                <c:pt idx="1">
                  <c:v>24.030010341117219</c:v>
                </c:pt>
                <c:pt idx="2">
                  <c:v>25.858050654891304</c:v>
                </c:pt>
                <c:pt idx="3">
                  <c:v>19.96068864096015</c:v>
                </c:pt>
                <c:pt idx="4">
                  <c:v>23.311520222746449</c:v>
                </c:pt>
                <c:pt idx="5">
                  <c:v>18.617785842032969</c:v>
                </c:pt>
                <c:pt idx="6">
                  <c:v>23.770870774456522</c:v>
                </c:pt>
                <c:pt idx="7">
                  <c:v>21.751328907065218</c:v>
                </c:pt>
                <c:pt idx="8">
                  <c:v>27.102873879810776</c:v>
                </c:pt>
                <c:pt idx="9">
                  <c:v>23.983492510531136</c:v>
                </c:pt>
                <c:pt idx="10">
                  <c:v>24.337539511322465</c:v>
                </c:pt>
                <c:pt idx="11">
                  <c:v>46.659030578200486</c:v>
                </c:pt>
                <c:pt idx="12">
                  <c:v>25.034081106974629</c:v>
                </c:pt>
                <c:pt idx="13">
                  <c:v>25.040844436355307</c:v>
                </c:pt>
                <c:pt idx="14">
                  <c:v>24.573567941576091</c:v>
                </c:pt>
                <c:pt idx="15">
                  <c:v>25.868583025362319</c:v>
                </c:pt>
                <c:pt idx="16">
                  <c:v>29.701038306400971</c:v>
                </c:pt>
                <c:pt idx="17">
                  <c:v>18.405672966575075</c:v>
                </c:pt>
                <c:pt idx="18">
                  <c:v>21.186602595561595</c:v>
                </c:pt>
                <c:pt idx="19">
                  <c:v>19.679295579764492</c:v>
                </c:pt>
                <c:pt idx="20">
                  <c:v>19.228153737279026</c:v>
                </c:pt>
                <c:pt idx="21">
                  <c:v>18.306781789377293</c:v>
                </c:pt>
                <c:pt idx="22">
                  <c:v>21.426197764039859</c:v>
                </c:pt>
                <c:pt idx="23">
                  <c:v>22.45641746277175</c:v>
                </c:pt>
                <c:pt idx="24">
                  <c:v>23.077807067310793</c:v>
                </c:pt>
                <c:pt idx="25">
                  <c:v>19.554939797619053</c:v>
                </c:pt>
                <c:pt idx="26">
                  <c:v>18.802316540760863</c:v>
                </c:pt>
                <c:pt idx="27">
                  <c:v>22.818591313496391</c:v>
                </c:pt>
                <c:pt idx="28">
                  <c:v>25.592784144424318</c:v>
                </c:pt>
                <c:pt idx="29">
                  <c:v>18.961526809523804</c:v>
                </c:pt>
                <c:pt idx="30">
                  <c:v>22.039119634510879</c:v>
                </c:pt>
                <c:pt idx="31">
                  <c:v>24.224912793423897</c:v>
                </c:pt>
                <c:pt idx="32">
                  <c:v>23.763781914814814</c:v>
                </c:pt>
                <c:pt idx="33">
                  <c:v>17.494089853479846</c:v>
                </c:pt>
                <c:pt idx="34">
                  <c:v>16.8067672807971</c:v>
                </c:pt>
                <c:pt idx="35">
                  <c:v>18.312076729347826</c:v>
                </c:pt>
                <c:pt idx="36">
                  <c:v>15.963073911172154</c:v>
                </c:pt>
                <c:pt idx="37">
                  <c:v>11.535429633241755</c:v>
                </c:pt>
                <c:pt idx="38">
                  <c:v>15.865367110960145</c:v>
                </c:pt>
                <c:pt idx="39">
                  <c:v>17.055046331159421</c:v>
                </c:pt>
                <c:pt idx="40">
                  <c:v>24.2871215205314</c:v>
                </c:pt>
                <c:pt idx="41">
                  <c:v>21.243654278388288</c:v>
                </c:pt>
                <c:pt idx="42">
                  <c:v>30.742337790307964</c:v>
                </c:pt>
                <c:pt idx="43">
                  <c:v>36.494926587083349</c:v>
                </c:pt>
                <c:pt idx="44">
                  <c:v>34.596040915177142</c:v>
                </c:pt>
                <c:pt idx="45">
                  <c:v>44.833843335622703</c:v>
                </c:pt>
                <c:pt idx="46">
                  <c:v>60.132875246829727</c:v>
                </c:pt>
                <c:pt idx="47">
                  <c:v>44.590210339619567</c:v>
                </c:pt>
                <c:pt idx="48">
                  <c:v>22.329757934782613</c:v>
                </c:pt>
                <c:pt idx="49">
                  <c:v>14.043496280677653</c:v>
                </c:pt>
                <c:pt idx="50">
                  <c:v>21.913419224184778</c:v>
                </c:pt>
                <c:pt idx="51">
                  <c:v>20.0071290673913</c:v>
                </c:pt>
                <c:pt idx="52">
                  <c:v>20.708301966575089</c:v>
                </c:pt>
                <c:pt idx="53">
                  <c:v>18.007345490277775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A96-4123-9EDC-6CAFA9576409}"/>
            </c:ext>
          </c:extLst>
        </c:ser>
        <c:ser>
          <c:idx val="9"/>
          <c:order val="9"/>
          <c:tx>
            <c:strRef>
              <c:f>Sheet1!$C$87</c:f>
              <c:strCache>
                <c:ptCount val="1"/>
                <c:pt idx="0">
                  <c:v>ERCOT Houston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Sheet1!$D$87:$BE$87</c:f>
              <c:numCache>
                <c:formatCode>#,##0.00</c:formatCode>
                <c:ptCount val="54"/>
                <c:pt idx="0">
                  <c:v>29.660326036634473</c:v>
                </c:pt>
                <c:pt idx="1">
                  <c:v>28.345022893772899</c:v>
                </c:pt>
                <c:pt idx="2">
                  <c:v>31.569142889492749</c:v>
                </c:pt>
                <c:pt idx="3">
                  <c:v>23.404596059782612</c:v>
                </c:pt>
                <c:pt idx="4">
                  <c:v>19.561595895046977</c:v>
                </c:pt>
                <c:pt idx="5">
                  <c:v>17.118434065934071</c:v>
                </c:pt>
                <c:pt idx="6">
                  <c:v>21.168782835144924</c:v>
                </c:pt>
                <c:pt idx="7">
                  <c:v>22.251092119565214</c:v>
                </c:pt>
                <c:pt idx="8">
                  <c:v>23.22272348027375</c:v>
                </c:pt>
                <c:pt idx="9">
                  <c:v>26.715190018315013</c:v>
                </c:pt>
                <c:pt idx="10">
                  <c:v>25.701721014492755</c:v>
                </c:pt>
                <c:pt idx="11">
                  <c:v>31.78499773550724</c:v>
                </c:pt>
                <c:pt idx="12">
                  <c:v>27.180492210144916</c:v>
                </c:pt>
                <c:pt idx="13">
                  <c:v>31.412413003663001</c:v>
                </c:pt>
                <c:pt idx="14">
                  <c:v>28.854929800724651</c:v>
                </c:pt>
                <c:pt idx="15">
                  <c:v>25.233000181159419</c:v>
                </c:pt>
                <c:pt idx="16">
                  <c:v>22.140641555958133</c:v>
                </c:pt>
                <c:pt idx="17">
                  <c:v>21.621235119047622</c:v>
                </c:pt>
                <c:pt idx="18">
                  <c:v>20.30612658514492</c:v>
                </c:pt>
                <c:pt idx="19">
                  <c:v>16.061473550724639</c:v>
                </c:pt>
                <c:pt idx="20">
                  <c:v>13.842845198279973</c:v>
                </c:pt>
                <c:pt idx="21">
                  <c:v>14.911001602564097</c:v>
                </c:pt>
                <c:pt idx="22">
                  <c:v>23.475191349637686</c:v>
                </c:pt>
                <c:pt idx="23">
                  <c:v>18.614083197463771</c:v>
                </c:pt>
                <c:pt idx="24">
                  <c:v>19.355630787037047</c:v>
                </c:pt>
                <c:pt idx="25">
                  <c:v>24.49456959706961</c:v>
                </c:pt>
                <c:pt idx="26">
                  <c:v>22.786469655797116</c:v>
                </c:pt>
                <c:pt idx="27">
                  <c:v>20.007914900362312</c:v>
                </c:pt>
                <c:pt idx="28">
                  <c:v>20.159236262077297</c:v>
                </c:pt>
                <c:pt idx="29">
                  <c:v>19.894039606227103</c:v>
                </c:pt>
                <c:pt idx="30">
                  <c:v>25.053961730072462</c:v>
                </c:pt>
                <c:pt idx="31">
                  <c:v>24.838912137681156</c:v>
                </c:pt>
                <c:pt idx="32">
                  <c:v>19.872025966183568</c:v>
                </c:pt>
                <c:pt idx="33">
                  <c:v>19.046346153846155</c:v>
                </c:pt>
                <c:pt idx="34">
                  <c:v>21.967383378623186</c:v>
                </c:pt>
                <c:pt idx="35">
                  <c:v>19.881971965579709</c:v>
                </c:pt>
                <c:pt idx="36">
                  <c:v>14.540216097308488</c:v>
                </c:pt>
                <c:pt idx="37">
                  <c:v>12.620793269230765</c:v>
                </c:pt>
                <c:pt idx="38">
                  <c:v>18.684393115942022</c:v>
                </c:pt>
                <c:pt idx="39">
                  <c:v>18.293642119565217</c:v>
                </c:pt>
                <c:pt idx="40">
                  <c:v>528.49400941022532</c:v>
                </c:pt>
                <c:pt idx="41">
                  <c:v>25.818923992673984</c:v>
                </c:pt>
                <c:pt idx="42">
                  <c:v>29.921935009057972</c:v>
                </c:pt>
                <c:pt idx="43">
                  <c:v>32.340979166666664</c:v>
                </c:pt>
                <c:pt idx="44">
                  <c:v>31.664053743961333</c:v>
                </c:pt>
                <c:pt idx="45">
                  <c:v>52.348482142857165</c:v>
                </c:pt>
                <c:pt idx="46">
                  <c:v>66.658068387681155</c:v>
                </c:pt>
                <c:pt idx="47">
                  <c:v>39.17002368221133</c:v>
                </c:pt>
                <c:pt idx="48">
                  <c:v>17.599917773752008</c:v>
                </c:pt>
                <c:pt idx="49">
                  <c:v>19.781362179487186</c:v>
                </c:pt>
                <c:pt idx="50">
                  <c:v>34.561392516947173</c:v>
                </c:pt>
                <c:pt idx="51">
                  <c:v>22.222836313697989</c:v>
                </c:pt>
                <c:pt idx="52">
                  <c:v>18.345864352308517</c:v>
                </c:pt>
                <c:pt idx="53">
                  <c:v>29.31430678381852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A96-4123-9EDC-6CAFA9576409}"/>
            </c:ext>
          </c:extLst>
        </c:ser>
        <c:ser>
          <c:idx val="10"/>
          <c:order val="10"/>
          <c:tx>
            <c:strRef>
              <c:f>Sheet1!$C$88</c:f>
              <c:strCache>
                <c:ptCount val="1"/>
                <c:pt idx="0">
                  <c:v>ERCOT North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Sheet1!$D$88:$BE$88</c:f>
              <c:numCache>
                <c:formatCode>#,##0.00</c:formatCode>
                <c:ptCount val="54"/>
                <c:pt idx="0">
                  <c:v>30.071405696457326</c:v>
                </c:pt>
                <c:pt idx="1">
                  <c:v>28.042996794871794</c:v>
                </c:pt>
                <c:pt idx="2">
                  <c:v>31.24979846014493</c:v>
                </c:pt>
                <c:pt idx="3">
                  <c:v>23.630269338768127</c:v>
                </c:pt>
                <c:pt idx="4">
                  <c:v>19.53850324494346</c:v>
                </c:pt>
                <c:pt idx="5">
                  <c:v>17.141556776556776</c:v>
                </c:pt>
                <c:pt idx="6">
                  <c:v>20.815947690217392</c:v>
                </c:pt>
                <c:pt idx="7">
                  <c:v>22.887461865942033</c:v>
                </c:pt>
                <c:pt idx="8">
                  <c:v>23.199066475442827</c:v>
                </c:pt>
                <c:pt idx="9">
                  <c:v>26.300711996337007</c:v>
                </c:pt>
                <c:pt idx="10">
                  <c:v>25.430877490942027</c:v>
                </c:pt>
                <c:pt idx="11">
                  <c:v>32.004984551127215</c:v>
                </c:pt>
                <c:pt idx="12">
                  <c:v>26.785470153985496</c:v>
                </c:pt>
                <c:pt idx="13">
                  <c:v>31.26213713369965</c:v>
                </c:pt>
                <c:pt idx="14">
                  <c:v>28.32578691123188</c:v>
                </c:pt>
                <c:pt idx="15">
                  <c:v>25.307324320652167</c:v>
                </c:pt>
                <c:pt idx="16">
                  <c:v>22.17571215780999</c:v>
                </c:pt>
                <c:pt idx="17">
                  <c:v>19.319275412087915</c:v>
                </c:pt>
                <c:pt idx="18">
                  <c:v>19.897398097826084</c:v>
                </c:pt>
                <c:pt idx="19">
                  <c:v>15.149004076086959</c:v>
                </c:pt>
                <c:pt idx="20">
                  <c:v>13.804743092052874</c:v>
                </c:pt>
                <c:pt idx="21">
                  <c:v>14.6552048992674</c:v>
                </c:pt>
                <c:pt idx="22">
                  <c:v>20.848108016304352</c:v>
                </c:pt>
                <c:pt idx="23">
                  <c:v>18.255682925724642</c:v>
                </c:pt>
                <c:pt idx="24">
                  <c:v>17.694403532608696</c:v>
                </c:pt>
                <c:pt idx="25">
                  <c:v>19.575868818681322</c:v>
                </c:pt>
                <c:pt idx="26">
                  <c:v>21.74405457427536</c:v>
                </c:pt>
                <c:pt idx="27">
                  <c:v>18.065305072463772</c:v>
                </c:pt>
                <c:pt idx="28">
                  <c:v>19.286005585748793</c:v>
                </c:pt>
                <c:pt idx="29">
                  <c:v>19.149107142857151</c:v>
                </c:pt>
                <c:pt idx="30">
                  <c:v>24.797327898550712</c:v>
                </c:pt>
                <c:pt idx="31">
                  <c:v>24.813507246376808</c:v>
                </c:pt>
                <c:pt idx="32">
                  <c:v>19.534488123993555</c:v>
                </c:pt>
                <c:pt idx="33">
                  <c:v>18.615081272893772</c:v>
                </c:pt>
                <c:pt idx="34">
                  <c:v>21.650780117753627</c:v>
                </c:pt>
                <c:pt idx="35">
                  <c:v>18.826626992753621</c:v>
                </c:pt>
                <c:pt idx="36">
                  <c:v>14.412947971412642</c:v>
                </c:pt>
                <c:pt idx="37">
                  <c:v>12.088152472527479</c:v>
                </c:pt>
                <c:pt idx="38">
                  <c:v>18.494975090579711</c:v>
                </c:pt>
                <c:pt idx="39">
                  <c:v>18.216341213768118</c:v>
                </c:pt>
                <c:pt idx="40">
                  <c:v>533.20089970813194</c:v>
                </c:pt>
                <c:pt idx="41">
                  <c:v>25.123743131868125</c:v>
                </c:pt>
                <c:pt idx="42">
                  <c:v>29.751511548913044</c:v>
                </c:pt>
                <c:pt idx="43">
                  <c:v>31.078330253623193</c:v>
                </c:pt>
                <c:pt idx="44">
                  <c:v>29.123072614734291</c:v>
                </c:pt>
                <c:pt idx="45">
                  <c:v>48.29012591575092</c:v>
                </c:pt>
                <c:pt idx="46">
                  <c:v>66.717404891304312</c:v>
                </c:pt>
                <c:pt idx="47">
                  <c:v>37.843123571178118</c:v>
                </c:pt>
                <c:pt idx="48">
                  <c:v>16.642579810789048</c:v>
                </c:pt>
                <c:pt idx="49">
                  <c:v>19.001691620879122</c:v>
                </c:pt>
                <c:pt idx="50">
                  <c:v>33.449402721774184</c:v>
                </c:pt>
                <c:pt idx="51">
                  <c:v>20.758655529745216</c:v>
                </c:pt>
                <c:pt idx="52">
                  <c:v>17.879224294435108</c:v>
                </c:pt>
                <c:pt idx="53">
                  <c:v>26.8389433578926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A96-4123-9EDC-6CAFA9576409}"/>
            </c:ext>
          </c:extLst>
        </c:ser>
        <c:ser>
          <c:idx val="11"/>
          <c:order val="11"/>
          <c:tx>
            <c:strRef>
              <c:f>Sheet1!$C$89</c:f>
              <c:strCache>
                <c:ptCount val="1"/>
                <c:pt idx="0">
                  <c:v>ERCOT South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Sheet1!$D$89:$BE$89</c:f>
              <c:numCache>
                <c:formatCode>#,##0.00</c:formatCode>
                <c:ptCount val="54"/>
                <c:pt idx="0">
                  <c:v>29.8071865942029</c:v>
                </c:pt>
                <c:pt idx="1">
                  <c:v>27.334835164835152</c:v>
                </c:pt>
                <c:pt idx="2">
                  <c:v>31.034110054347821</c:v>
                </c:pt>
                <c:pt idx="3">
                  <c:v>23.925171286231883</c:v>
                </c:pt>
                <c:pt idx="4">
                  <c:v>19.365880564182188</c:v>
                </c:pt>
                <c:pt idx="5">
                  <c:v>16.926233974358968</c:v>
                </c:pt>
                <c:pt idx="6">
                  <c:v>21.107855525362321</c:v>
                </c:pt>
                <c:pt idx="7">
                  <c:v>22.343847056159426</c:v>
                </c:pt>
                <c:pt idx="8">
                  <c:v>23.143879981884069</c:v>
                </c:pt>
                <c:pt idx="9">
                  <c:v>26.316911630036625</c:v>
                </c:pt>
                <c:pt idx="10">
                  <c:v>25.562675498188408</c:v>
                </c:pt>
                <c:pt idx="11">
                  <c:v>31.796791113123987</c:v>
                </c:pt>
                <c:pt idx="12">
                  <c:v>26.801473958333329</c:v>
                </c:pt>
                <c:pt idx="13">
                  <c:v>30.898569139194134</c:v>
                </c:pt>
                <c:pt idx="14">
                  <c:v>28.542640398550727</c:v>
                </c:pt>
                <c:pt idx="15">
                  <c:v>25.265815081521733</c:v>
                </c:pt>
                <c:pt idx="16">
                  <c:v>22.23049803743962</c:v>
                </c:pt>
                <c:pt idx="17">
                  <c:v>20.495057234432235</c:v>
                </c:pt>
                <c:pt idx="18">
                  <c:v>20.106205842391308</c:v>
                </c:pt>
                <c:pt idx="19">
                  <c:v>15.567165081521738</c:v>
                </c:pt>
                <c:pt idx="20">
                  <c:v>13.567103589345434</c:v>
                </c:pt>
                <c:pt idx="21">
                  <c:v>14.551979166666674</c:v>
                </c:pt>
                <c:pt idx="22">
                  <c:v>21.434193840579709</c:v>
                </c:pt>
                <c:pt idx="23">
                  <c:v>18.581885235507244</c:v>
                </c:pt>
                <c:pt idx="24">
                  <c:v>17.745814764492753</c:v>
                </c:pt>
                <c:pt idx="25">
                  <c:v>21.731801739926734</c:v>
                </c:pt>
                <c:pt idx="26">
                  <c:v>23.207665307971009</c:v>
                </c:pt>
                <c:pt idx="27">
                  <c:v>19.342823505434787</c:v>
                </c:pt>
                <c:pt idx="28">
                  <c:v>19.624934933574881</c:v>
                </c:pt>
                <c:pt idx="29">
                  <c:v>20.714610805860811</c:v>
                </c:pt>
                <c:pt idx="30">
                  <c:v>25.124899230072462</c:v>
                </c:pt>
                <c:pt idx="31">
                  <c:v>23.874770742753618</c:v>
                </c:pt>
                <c:pt idx="32">
                  <c:v>19.986101851851856</c:v>
                </c:pt>
                <c:pt idx="33">
                  <c:v>18.229522664835169</c:v>
                </c:pt>
                <c:pt idx="34">
                  <c:v>22.014147418478267</c:v>
                </c:pt>
                <c:pt idx="35">
                  <c:v>20.230110869565227</c:v>
                </c:pt>
                <c:pt idx="36">
                  <c:v>14.46584970735786</c:v>
                </c:pt>
                <c:pt idx="37">
                  <c:v>12.47733974358975</c:v>
                </c:pt>
                <c:pt idx="38">
                  <c:v>18.745293251811599</c:v>
                </c:pt>
                <c:pt idx="39">
                  <c:v>17.111445244565221</c:v>
                </c:pt>
                <c:pt idx="40">
                  <c:v>523.94858589975843</c:v>
                </c:pt>
                <c:pt idx="41">
                  <c:v>24.673739697802194</c:v>
                </c:pt>
                <c:pt idx="42">
                  <c:v>29.272863451086945</c:v>
                </c:pt>
                <c:pt idx="43">
                  <c:v>30.477682246376808</c:v>
                </c:pt>
                <c:pt idx="44">
                  <c:v>26.984756843800309</c:v>
                </c:pt>
                <c:pt idx="45">
                  <c:v>46.456019917582424</c:v>
                </c:pt>
                <c:pt idx="46">
                  <c:v>65.719977355072444</c:v>
                </c:pt>
                <c:pt idx="47">
                  <c:v>37.785128862786365</c:v>
                </c:pt>
                <c:pt idx="48">
                  <c:v>17.618279690016106</c:v>
                </c:pt>
                <c:pt idx="49">
                  <c:v>19.399161401098898</c:v>
                </c:pt>
                <c:pt idx="50">
                  <c:v>34.468410216514734</c:v>
                </c:pt>
                <c:pt idx="51">
                  <c:v>22.697002336079951</c:v>
                </c:pt>
                <c:pt idx="52">
                  <c:v>19.039254313212492</c:v>
                </c:pt>
                <c:pt idx="53">
                  <c:v>27.793849607892597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A96-4123-9EDC-6CAFA9576409}"/>
            </c:ext>
          </c:extLst>
        </c:ser>
        <c:ser>
          <c:idx val="12"/>
          <c:order val="12"/>
          <c:tx>
            <c:strRef>
              <c:f>Sheet1!$C$90</c:f>
              <c:strCache>
                <c:ptCount val="1"/>
                <c:pt idx="0">
                  <c:v>Palo Verde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Sheet1!$D$90:$BE$90</c:f>
              <c:numCache>
                <c:formatCode>#,##0.00</c:formatCode>
                <c:ptCount val="54"/>
                <c:pt idx="0">
                  <c:v>20.458235294117642</c:v>
                </c:pt>
                <c:pt idx="1">
                  <c:v>15.988181818181818</c:v>
                </c:pt>
                <c:pt idx="2">
                  <c:v>24.526097560975611</c:v>
                </c:pt>
                <c:pt idx="3">
                  <c:v>24.08657894736842</c:v>
                </c:pt>
                <c:pt idx="4">
                  <c:v>19.836734693877553</c:v>
                </c:pt>
                <c:pt idx="5">
                  <c:v>16.344545454545454</c:v>
                </c:pt>
                <c:pt idx="6">
                  <c:v>20.018333333333338</c:v>
                </c:pt>
                <c:pt idx="7">
                  <c:v>25.022727272727277</c:v>
                </c:pt>
                <c:pt idx="8">
                  <c:v>27.013333333333335</c:v>
                </c:pt>
                <c:pt idx="9">
                  <c:v>26.58642857142857</c:v>
                </c:pt>
                <c:pt idx="10">
                  <c:v>24.336666666666662</c:v>
                </c:pt>
                <c:pt idx="11">
                  <c:v>37.216206896551725</c:v>
                </c:pt>
                <c:pt idx="12">
                  <c:v>29.902142857142856</c:v>
                </c:pt>
                <c:pt idx="13">
                  <c:v>31.198387096774194</c:v>
                </c:pt>
                <c:pt idx="14">
                  <c:v>31.499310344827585</c:v>
                </c:pt>
                <c:pt idx="15">
                  <c:v>26.848387096774196</c:v>
                </c:pt>
                <c:pt idx="16">
                  <c:v>21.951388888888893</c:v>
                </c:pt>
                <c:pt idx="17">
                  <c:v>21.208409090909093</c:v>
                </c:pt>
                <c:pt idx="18">
                  <c:v>23.832173913043476</c:v>
                </c:pt>
                <c:pt idx="19">
                  <c:v>19.805555555555557</c:v>
                </c:pt>
                <c:pt idx="20">
                  <c:v>16.825681818181817</c:v>
                </c:pt>
                <c:pt idx="21">
                  <c:v>16.068333333333332</c:v>
                </c:pt>
                <c:pt idx="22">
                  <c:v>22.099565217391302</c:v>
                </c:pt>
                <c:pt idx="23">
                  <c:v>21.735135135135135</c:v>
                </c:pt>
                <c:pt idx="24">
                  <c:v>20.877073170731702</c:v>
                </c:pt>
                <c:pt idx="25">
                  <c:v>21.894222222222222</c:v>
                </c:pt>
                <c:pt idx="26">
                  <c:v>23.702653061224492</c:v>
                </c:pt>
                <c:pt idx="27">
                  <c:v>23.66375</c:v>
                </c:pt>
                <c:pt idx="28">
                  <c:v>23.66375</c:v>
                </c:pt>
                <c:pt idx="29">
                  <c:v>19.925000000000001</c:v>
                </c:pt>
                <c:pt idx="30">
                  <c:v>36.979999999999997</c:v>
                </c:pt>
                <c:pt idx="31">
                  <c:v>41.837142857142851</c:v>
                </c:pt>
                <c:pt idx="32">
                  <c:v>33.44</c:v>
                </c:pt>
                <c:pt idx="33">
                  <c:v>13.506470588235294</c:v>
                </c:pt>
                <c:pt idx="34">
                  <c:v>22.249166666666667</c:v>
                </c:pt>
                <c:pt idx="35">
                  <c:v>26.736000000000001</c:v>
                </c:pt>
                <c:pt idx="36">
                  <c:v>16.535</c:v>
                </c:pt>
                <c:pt idx="37">
                  <c:v>20.25</c:v>
                </c:pt>
                <c:pt idx="38">
                  <c:v>73.952857142857155</c:v>
                </c:pt>
                <c:pt idx="39">
                  <c:v>31.21875</c:v>
                </c:pt>
                <c:pt idx="40">
                  <c:v>26.2</c:v>
                </c:pt>
                <c:pt idx="41">
                  <c:v>40.97</c:v>
                </c:pt>
                <c:pt idx="42">
                  <c:v>50.813571428571436</c:v>
                </c:pt>
                <c:pt idx="43">
                  <c:v>52.674583333333338</c:v>
                </c:pt>
                <c:pt idx="44">
                  <c:v>42.24583333333333</c:v>
                </c:pt>
                <c:pt idx="45">
                  <c:v>58</c:v>
                </c:pt>
                <c:pt idx="46">
                  <c:v>81.245294117647063</c:v>
                </c:pt>
                <c:pt idx="47">
                  <c:v>150.44999999999999</c:v>
                </c:pt>
                <c:pt idx="48">
                  <c:v>85.359999999999985</c:v>
                </c:pt>
                <c:pt idx="49">
                  <c:v>85.359999999999985</c:v>
                </c:pt>
                <c:pt idx="50">
                  <c:v>81.875</c:v>
                </c:pt>
                <c:pt idx="51">
                  <c:v>52.81933333333334</c:v>
                </c:pt>
                <c:pt idx="52">
                  <c:v>46.482727272727274</c:v>
                </c:pt>
                <c:pt idx="53">
                  <c:v>25.375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A96-4123-9EDC-6CAFA9576409}"/>
            </c:ext>
          </c:extLst>
        </c:ser>
        <c:ser>
          <c:idx val="13"/>
          <c:order val="13"/>
          <c:tx>
            <c:strRef>
              <c:f>Sheet1!$C$91</c:f>
              <c:strCache>
                <c:ptCount val="1"/>
                <c:pt idx="0">
                  <c:v>SP 15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Sheet1!$D$91:$BE$91</c:f>
              <c:numCache>
                <c:formatCode>#,##0.00</c:formatCode>
                <c:ptCount val="54"/>
                <c:pt idx="0">
                  <c:v>18.974865649255229</c:v>
                </c:pt>
                <c:pt idx="1">
                  <c:v>10.592114644001832</c:v>
                </c:pt>
                <c:pt idx="2">
                  <c:v>23.428638822463746</c:v>
                </c:pt>
                <c:pt idx="3">
                  <c:v>24.040611232563403</c:v>
                </c:pt>
                <c:pt idx="4">
                  <c:v>19.574844206780533</c:v>
                </c:pt>
                <c:pt idx="5">
                  <c:v>14.132461858974361</c:v>
                </c:pt>
                <c:pt idx="6">
                  <c:v>19.690949210824268</c:v>
                </c:pt>
                <c:pt idx="7">
                  <c:v>27.320213811911241</c:v>
                </c:pt>
                <c:pt idx="8">
                  <c:v>34.906394377365146</c:v>
                </c:pt>
                <c:pt idx="9">
                  <c:v>29.51015124084249</c:v>
                </c:pt>
                <c:pt idx="10">
                  <c:v>32.575099427083344</c:v>
                </c:pt>
                <c:pt idx="11">
                  <c:v>42.627117423409828</c:v>
                </c:pt>
                <c:pt idx="12">
                  <c:v>37.361519796557985</c:v>
                </c:pt>
                <c:pt idx="13">
                  <c:v>21.235009505690744</c:v>
                </c:pt>
                <c:pt idx="14">
                  <c:v>33.125406867559512</c:v>
                </c:pt>
                <c:pt idx="15">
                  <c:v>32.544144284297367</c:v>
                </c:pt>
                <c:pt idx="16">
                  <c:v>24.552941132037905</c:v>
                </c:pt>
                <c:pt idx="17">
                  <c:v>25.405648776654878</c:v>
                </c:pt>
                <c:pt idx="18">
                  <c:v>28.41391110280798</c:v>
                </c:pt>
                <c:pt idx="19">
                  <c:v>25.53134713495729</c:v>
                </c:pt>
                <c:pt idx="20">
                  <c:v>20.780798292565343</c:v>
                </c:pt>
                <c:pt idx="21">
                  <c:v>18.439791219093404</c:v>
                </c:pt>
                <c:pt idx="22">
                  <c:v>27.717085095270448</c:v>
                </c:pt>
                <c:pt idx="23">
                  <c:v>27.225998677746944</c:v>
                </c:pt>
                <c:pt idx="24">
                  <c:v>23.502615202110384</c:v>
                </c:pt>
                <c:pt idx="25">
                  <c:v>22.058978634484564</c:v>
                </c:pt>
                <c:pt idx="26">
                  <c:v>29.16276689554218</c:v>
                </c:pt>
                <c:pt idx="27">
                  <c:v>31.166413735261386</c:v>
                </c:pt>
                <c:pt idx="28">
                  <c:v>27.79077055530394</c:v>
                </c:pt>
                <c:pt idx="29">
                  <c:v>21.558622073031124</c:v>
                </c:pt>
                <c:pt idx="30">
                  <c:v>34.977830705445761</c:v>
                </c:pt>
                <c:pt idx="31">
                  <c:v>40.034091804481179</c:v>
                </c:pt>
                <c:pt idx="32">
                  <c:v>43.653276405358575</c:v>
                </c:pt>
                <c:pt idx="33">
                  <c:v>20.38135531589851</c:v>
                </c:pt>
                <c:pt idx="34">
                  <c:v>28.213310542226449</c:v>
                </c:pt>
                <c:pt idx="35">
                  <c:v>35.568805972233129</c:v>
                </c:pt>
                <c:pt idx="36">
                  <c:v>25.079859272653447</c:v>
                </c:pt>
                <c:pt idx="37">
                  <c:v>19.923726863794851</c:v>
                </c:pt>
                <c:pt idx="38">
                  <c:v>29.187101710647834</c:v>
                </c:pt>
                <c:pt idx="39">
                  <c:v>34.235797533693123</c:v>
                </c:pt>
                <c:pt idx="40">
                  <c:v>40.287738801774218</c:v>
                </c:pt>
                <c:pt idx="41">
                  <c:v>33.842968082340789</c:v>
                </c:pt>
                <c:pt idx="42">
                  <c:v>51.233520336178721</c:v>
                </c:pt>
                <c:pt idx="43">
                  <c:v>52.647754030150082</c:v>
                </c:pt>
                <c:pt idx="44">
                  <c:v>46.230639700188355</c:v>
                </c:pt>
                <c:pt idx="45">
                  <c:v>63.889335967340124</c:v>
                </c:pt>
                <c:pt idx="46">
                  <c:v>80.731001660868927</c:v>
                </c:pt>
                <c:pt idx="47">
                  <c:v>127.09998063732816</c:v>
                </c:pt>
                <c:pt idx="48">
                  <c:v>93.226647077014348</c:v>
                </c:pt>
                <c:pt idx="49">
                  <c:v>34.607489421885361</c:v>
                </c:pt>
                <c:pt idx="50">
                  <c:v>47.850102016673638</c:v>
                </c:pt>
                <c:pt idx="51">
                  <c:v>51.787513642806516</c:v>
                </c:pt>
                <c:pt idx="52">
                  <c:v>44.021244307086562</c:v>
                </c:pt>
                <c:pt idx="53">
                  <c:v>23.817041236111113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A96-4123-9EDC-6CAFA9576409}"/>
            </c:ext>
          </c:extLst>
        </c:ser>
        <c:ser>
          <c:idx val="14"/>
          <c:order val="14"/>
          <c:tx>
            <c:strRef>
              <c:f>Sheet1!$C$92</c:f>
              <c:strCache>
                <c:ptCount val="1"/>
                <c:pt idx="0">
                  <c:v>NP 15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Sheet1!$D$92:$BE$92</c:f>
              <c:numCache>
                <c:formatCode>#,##0.00</c:formatCode>
                <c:ptCount val="54"/>
                <c:pt idx="0">
                  <c:v>18.722317882447662</c:v>
                </c:pt>
                <c:pt idx="1">
                  <c:v>9.396258015109888</c:v>
                </c:pt>
                <c:pt idx="2">
                  <c:v>23.640035421195652</c:v>
                </c:pt>
                <c:pt idx="3">
                  <c:v>25.15623199827899</c:v>
                </c:pt>
                <c:pt idx="4">
                  <c:v>20.248332309583525</c:v>
                </c:pt>
                <c:pt idx="5">
                  <c:v>12.638521983745417</c:v>
                </c:pt>
                <c:pt idx="6">
                  <c:v>18.538177578124998</c:v>
                </c:pt>
                <c:pt idx="7">
                  <c:v>27.611688596331518</c:v>
                </c:pt>
                <c:pt idx="8">
                  <c:v>32.535625475191225</c:v>
                </c:pt>
                <c:pt idx="9">
                  <c:v>29.389078711080582</c:v>
                </c:pt>
                <c:pt idx="10">
                  <c:v>33.408651492300713</c:v>
                </c:pt>
                <c:pt idx="11">
                  <c:v>43.573062782256443</c:v>
                </c:pt>
                <c:pt idx="12">
                  <c:v>39.111093514039872</c:v>
                </c:pt>
                <c:pt idx="13">
                  <c:v>25.133060753891947</c:v>
                </c:pt>
                <c:pt idx="14">
                  <c:v>33.672098231107654</c:v>
                </c:pt>
                <c:pt idx="15">
                  <c:v>32.79430912681805</c:v>
                </c:pt>
                <c:pt idx="16">
                  <c:v>25.992472138601332</c:v>
                </c:pt>
                <c:pt idx="17">
                  <c:v>27.16867147632129</c:v>
                </c:pt>
                <c:pt idx="18">
                  <c:v>27.614825502717384</c:v>
                </c:pt>
                <c:pt idx="19">
                  <c:v>26.110869571577393</c:v>
                </c:pt>
                <c:pt idx="20">
                  <c:v>20.11139374158903</c:v>
                </c:pt>
                <c:pt idx="21">
                  <c:v>21.2270874957483</c:v>
                </c:pt>
                <c:pt idx="22">
                  <c:v>29.189901377458604</c:v>
                </c:pt>
                <c:pt idx="23">
                  <c:v>28.44518337338728</c:v>
                </c:pt>
                <c:pt idx="24">
                  <c:v>24.123383839646465</c:v>
                </c:pt>
                <c:pt idx="25">
                  <c:v>20.910626551641812</c:v>
                </c:pt>
                <c:pt idx="26">
                  <c:v>30.198757360248454</c:v>
                </c:pt>
                <c:pt idx="27">
                  <c:v>30.953927045121635</c:v>
                </c:pt>
                <c:pt idx="28">
                  <c:v>29.637675953200478</c:v>
                </c:pt>
                <c:pt idx="29">
                  <c:v>22.642902979624534</c:v>
                </c:pt>
                <c:pt idx="30">
                  <c:v>32.73485823079119</c:v>
                </c:pt>
                <c:pt idx="31">
                  <c:v>41.546538330101718</c:v>
                </c:pt>
                <c:pt idx="32">
                  <c:v>44.018462854878365</c:v>
                </c:pt>
                <c:pt idx="33">
                  <c:v>19.497658177833429</c:v>
                </c:pt>
                <c:pt idx="34">
                  <c:v>28.102968378770885</c:v>
                </c:pt>
                <c:pt idx="35">
                  <c:v>35.266763175660635</c:v>
                </c:pt>
                <c:pt idx="36">
                  <c:v>25.795499255945273</c:v>
                </c:pt>
                <c:pt idx="37">
                  <c:v>20.929380183007986</c:v>
                </c:pt>
                <c:pt idx="38">
                  <c:v>29.158188205727683</c:v>
                </c:pt>
                <c:pt idx="39">
                  <c:v>36.623787774334147</c:v>
                </c:pt>
                <c:pt idx="40">
                  <c:v>40.449163677586562</c:v>
                </c:pt>
                <c:pt idx="41">
                  <c:v>37.639025195876833</c:v>
                </c:pt>
                <c:pt idx="42">
                  <c:v>53.689145629880606</c:v>
                </c:pt>
                <c:pt idx="43">
                  <c:v>55.001944648518382</c:v>
                </c:pt>
                <c:pt idx="44">
                  <c:v>47.512579892964951</c:v>
                </c:pt>
                <c:pt idx="45">
                  <c:v>69.857923682584257</c:v>
                </c:pt>
                <c:pt idx="46">
                  <c:v>80.29838552688382</c:v>
                </c:pt>
                <c:pt idx="47">
                  <c:v>128.313760002652</c:v>
                </c:pt>
                <c:pt idx="48">
                  <c:v>94.593817631497046</c:v>
                </c:pt>
                <c:pt idx="49">
                  <c:v>34.607081871817947</c:v>
                </c:pt>
                <c:pt idx="50">
                  <c:v>45.053569766566213</c:v>
                </c:pt>
                <c:pt idx="51">
                  <c:v>54.85869441553443</c:v>
                </c:pt>
                <c:pt idx="52">
                  <c:v>47.218315064479391</c:v>
                </c:pt>
                <c:pt idx="53">
                  <c:v>27.99252510185185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A96-4123-9EDC-6CAFA9576409}"/>
            </c:ext>
          </c:extLst>
        </c:ser>
        <c:ser>
          <c:idx val="15"/>
          <c:order val="15"/>
          <c:tx>
            <c:strRef>
              <c:f>Sheet1!$C$93</c:f>
              <c:strCache>
                <c:ptCount val="1"/>
                <c:pt idx="0">
                  <c:v>Mid C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Sheet1!$D$93:$BE$93</c:f>
              <c:numCache>
                <c:formatCode>#,##0.00</c:formatCode>
                <c:ptCount val="54"/>
                <c:pt idx="0">
                  <c:v>16.248095238095239</c:v>
                </c:pt>
                <c:pt idx="1">
                  <c:v>8.8706896551724146</c:v>
                </c:pt>
                <c:pt idx="2">
                  <c:v>19.931132075471702</c:v>
                </c:pt>
                <c:pt idx="3">
                  <c:v>27.305689655172419</c:v>
                </c:pt>
                <c:pt idx="4">
                  <c:v>19.371833333333331</c:v>
                </c:pt>
                <c:pt idx="5">
                  <c:v>7.370967741935433E-2</c:v>
                </c:pt>
                <c:pt idx="6">
                  <c:v>13.051400000000001</c:v>
                </c:pt>
                <c:pt idx="7">
                  <c:v>25.025692307692317</c:v>
                </c:pt>
                <c:pt idx="8">
                  <c:v>26.816410256410261</c:v>
                </c:pt>
                <c:pt idx="9">
                  <c:v>17.528181818181817</c:v>
                </c:pt>
                <c:pt idx="10">
                  <c:v>23.521739130434778</c:v>
                </c:pt>
                <c:pt idx="11">
                  <c:v>24.855277777777776</c:v>
                </c:pt>
                <c:pt idx="12">
                  <c:v>37.909999999999997</c:v>
                </c:pt>
                <c:pt idx="13">
                  <c:v>13.964473684210526</c:v>
                </c:pt>
                <c:pt idx="14">
                  <c:v>27.640666666666668</c:v>
                </c:pt>
                <c:pt idx="15">
                  <c:v>27.14555555555555</c:v>
                </c:pt>
                <c:pt idx="16">
                  <c:v>15.056279069767442</c:v>
                </c:pt>
                <c:pt idx="17">
                  <c:v>22.67235294117647</c:v>
                </c:pt>
                <c:pt idx="18">
                  <c:v>22.541666666666668</c:v>
                </c:pt>
                <c:pt idx="19">
                  <c:v>19.292727272727276</c:v>
                </c:pt>
                <c:pt idx="20">
                  <c:v>14.811363636363636</c:v>
                </c:pt>
                <c:pt idx="21">
                  <c:v>10.678222222222219</c:v>
                </c:pt>
                <c:pt idx="22">
                  <c:v>23.4837037037037</c:v>
                </c:pt>
                <c:pt idx="23">
                  <c:v>18.550377358490564</c:v>
                </c:pt>
                <c:pt idx="24">
                  <c:v>17.034905660377362</c:v>
                </c:pt>
                <c:pt idx="25">
                  <c:v>3.7259375000000001</c:v>
                </c:pt>
                <c:pt idx="26">
                  <c:v>23.68</c:v>
                </c:pt>
                <c:pt idx="27">
                  <c:v>22.81</c:v>
                </c:pt>
                <c:pt idx="28">
                  <c:v>17.439166666666669</c:v>
                </c:pt>
                <c:pt idx="29">
                  <c:v>12.115999999999998</c:v>
                </c:pt>
                <c:pt idx="30">
                  <c:v>23.814999999999998</c:v>
                </c:pt>
                <c:pt idx="31">
                  <c:v>44.794545454545478</c:v>
                </c:pt>
                <c:pt idx="32">
                  <c:v>51.677619047619061</c:v>
                </c:pt>
                <c:pt idx="33">
                  <c:v>12.855499999999997</c:v>
                </c:pt>
                <c:pt idx="34">
                  <c:v>24.942571428571434</c:v>
                </c:pt>
                <c:pt idx="35">
                  <c:v>31.722307692307695</c:v>
                </c:pt>
                <c:pt idx="36">
                  <c:v>19.07</c:v>
                </c:pt>
                <c:pt idx="37">
                  <c:v>6.7279591836734696</c:v>
                </c:pt>
                <c:pt idx="38">
                  <c:v>14.318444444444443</c:v>
                </c:pt>
                <c:pt idx="39">
                  <c:v>25.885625000000005</c:v>
                </c:pt>
                <c:pt idx="40">
                  <c:v>29.227435897435907</c:v>
                </c:pt>
                <c:pt idx="41">
                  <c:v>31.576756756756762</c:v>
                </c:pt>
                <c:pt idx="42">
                  <c:v>43.961555555555549</c:v>
                </c:pt>
                <c:pt idx="43">
                  <c:v>44.165384615384625</c:v>
                </c:pt>
                <c:pt idx="44">
                  <c:v>34.555660377358492</c:v>
                </c:pt>
                <c:pt idx="45">
                  <c:v>53.758214285714303</c:v>
                </c:pt>
                <c:pt idx="46">
                  <c:v>64.909302325581407</c:v>
                </c:pt>
                <c:pt idx="47">
                  <c:v>131.23961538461538</c:v>
                </c:pt>
                <c:pt idx="48">
                  <c:v>97.149600000000007</c:v>
                </c:pt>
                <c:pt idx="49">
                  <c:v>44.787948717948716</c:v>
                </c:pt>
                <c:pt idx="50">
                  <c:v>49.722941176470592</c:v>
                </c:pt>
                <c:pt idx="51">
                  <c:v>61.120212765957447</c:v>
                </c:pt>
                <c:pt idx="52">
                  <c:v>97.488500000000016</c:v>
                </c:pt>
                <c:pt idx="53">
                  <c:v>23.925555555555558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A96-4123-9EDC-6CAFA9576409}"/>
            </c:ext>
          </c:extLst>
        </c:ser>
        <c:ser>
          <c:idx val="16"/>
          <c:order val="16"/>
          <c:tx>
            <c:strRef>
              <c:f>Sheet1!$C$94</c:f>
              <c:strCache>
                <c:ptCount val="1"/>
                <c:pt idx="0">
                  <c:v>ERCOT West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Sheet1!$D$2:$BE$2</c:f>
              <c:strCache>
                <c:ptCount val="54"/>
                <c:pt idx="0">
                  <c:v>1Q11</c:v>
                </c:pt>
                <c:pt idx="1">
                  <c:v>2Q11</c:v>
                </c:pt>
                <c:pt idx="2">
                  <c:v>3Q11</c:v>
                </c:pt>
                <c:pt idx="3">
                  <c:v>4Q11</c:v>
                </c:pt>
                <c:pt idx="4">
                  <c:v>1Q12</c:v>
                </c:pt>
                <c:pt idx="5">
                  <c:v>2Q12</c:v>
                </c:pt>
                <c:pt idx="6">
                  <c:v>3Q12</c:v>
                </c:pt>
                <c:pt idx="7">
                  <c:v>4Q12</c:v>
                </c:pt>
                <c:pt idx="8">
                  <c:v>1Q13</c:v>
                </c:pt>
                <c:pt idx="9">
                  <c:v>2Q13</c:v>
                </c:pt>
                <c:pt idx="10">
                  <c:v>3Q13</c:v>
                </c:pt>
                <c:pt idx="11">
                  <c:v>4Q13</c:v>
                </c:pt>
                <c:pt idx="12">
                  <c:v>1Q14</c:v>
                </c:pt>
                <c:pt idx="13">
                  <c:v>2Q14</c:v>
                </c:pt>
                <c:pt idx="14">
                  <c:v>3Q14</c:v>
                </c:pt>
                <c:pt idx="15">
                  <c:v>4Q14</c:v>
                </c:pt>
                <c:pt idx="16">
                  <c:v>1Q15</c:v>
                </c:pt>
                <c:pt idx="17">
                  <c:v>2Q15</c:v>
                </c:pt>
                <c:pt idx="18">
                  <c:v>3Q15</c:v>
                </c:pt>
                <c:pt idx="19">
                  <c:v>4Q15</c:v>
                </c:pt>
                <c:pt idx="20">
                  <c:v>1Q16</c:v>
                </c:pt>
                <c:pt idx="21">
                  <c:v>2Q16</c:v>
                </c:pt>
                <c:pt idx="22">
                  <c:v>3Q16</c:v>
                </c:pt>
                <c:pt idx="23">
                  <c:v>4Q16</c:v>
                </c:pt>
                <c:pt idx="24">
                  <c:v>1Q17</c:v>
                </c:pt>
                <c:pt idx="25">
                  <c:v>2Q17</c:v>
                </c:pt>
                <c:pt idx="26">
                  <c:v>3Q17</c:v>
                </c:pt>
                <c:pt idx="27">
                  <c:v>4Q17</c:v>
                </c:pt>
                <c:pt idx="28">
                  <c:v>1Q18</c:v>
                </c:pt>
                <c:pt idx="29">
                  <c:v>2Q18</c:v>
                </c:pt>
                <c:pt idx="30">
                  <c:v>3Q18</c:v>
                </c:pt>
                <c:pt idx="31">
                  <c:v>4Q18</c:v>
                </c:pt>
                <c:pt idx="32">
                  <c:v>1Q19</c:v>
                </c:pt>
                <c:pt idx="33">
                  <c:v>2Q19</c:v>
                </c:pt>
                <c:pt idx="34">
                  <c:v>3Q19</c:v>
                </c:pt>
                <c:pt idx="35">
                  <c:v>4Q19</c:v>
                </c:pt>
                <c:pt idx="36">
                  <c:v>1Q20</c:v>
                </c:pt>
                <c:pt idx="37">
                  <c:v>2Q20</c:v>
                </c:pt>
                <c:pt idx="38">
                  <c:v>3Q20</c:v>
                </c:pt>
                <c:pt idx="39">
                  <c:v>4Q20</c:v>
                </c:pt>
                <c:pt idx="40">
                  <c:v>1Q21</c:v>
                </c:pt>
                <c:pt idx="41">
                  <c:v>2Q21</c:v>
                </c:pt>
                <c:pt idx="42">
                  <c:v>3Q21</c:v>
                </c:pt>
                <c:pt idx="43">
                  <c:v>4Q21</c:v>
                </c:pt>
                <c:pt idx="44">
                  <c:v>1Q22</c:v>
                </c:pt>
                <c:pt idx="45">
                  <c:v>2Q22</c:v>
                </c:pt>
                <c:pt idx="46">
                  <c:v>3Q22</c:v>
                </c:pt>
                <c:pt idx="47">
                  <c:v>4Q22</c:v>
                </c:pt>
                <c:pt idx="48">
                  <c:v>1Q23</c:v>
                </c:pt>
                <c:pt idx="49">
                  <c:v>2Q23</c:v>
                </c:pt>
                <c:pt idx="50">
                  <c:v>3Q23</c:v>
                </c:pt>
                <c:pt idx="51">
                  <c:v>4Q23</c:v>
                </c:pt>
                <c:pt idx="52">
                  <c:v>1Q24</c:v>
                </c:pt>
                <c:pt idx="53">
                  <c:v>2Q24</c:v>
                </c:pt>
              </c:strCache>
            </c:strRef>
          </c:xVal>
          <c:yVal>
            <c:numRef>
              <c:f>Sheet1!$D$94:$BE$94</c:f>
              <c:numCache>
                <c:formatCode>#,##0.00</c:formatCode>
                <c:ptCount val="54"/>
                <c:pt idx="0">
                  <c:v>21.679500452898552</c:v>
                </c:pt>
                <c:pt idx="1">
                  <c:v>15.42058035714286</c:v>
                </c:pt>
                <c:pt idx="2">
                  <c:v>30.891255661231888</c:v>
                </c:pt>
                <c:pt idx="3">
                  <c:v>16.763071376811602</c:v>
                </c:pt>
                <c:pt idx="4">
                  <c:v>13.916985188724318</c:v>
                </c:pt>
                <c:pt idx="5">
                  <c:v>13.258952609890109</c:v>
                </c:pt>
                <c:pt idx="6">
                  <c:v>19.372339221014496</c:v>
                </c:pt>
                <c:pt idx="7">
                  <c:v>20.709261096014483</c:v>
                </c:pt>
                <c:pt idx="8">
                  <c:v>20.440848782206118</c:v>
                </c:pt>
                <c:pt idx="9">
                  <c:v>23.552954441391933</c:v>
                </c:pt>
                <c:pt idx="10">
                  <c:v>25.64189198369565</c:v>
                </c:pt>
                <c:pt idx="11">
                  <c:v>32.272174315619957</c:v>
                </c:pt>
                <c:pt idx="12">
                  <c:v>26.4882361865942</c:v>
                </c:pt>
                <c:pt idx="13">
                  <c:v>31.134892399267407</c:v>
                </c:pt>
                <c:pt idx="14">
                  <c:v>28.14129528985508</c:v>
                </c:pt>
                <c:pt idx="15">
                  <c:v>25.026826811594209</c:v>
                </c:pt>
                <c:pt idx="16">
                  <c:v>22.267231833735906</c:v>
                </c:pt>
                <c:pt idx="17">
                  <c:v>19.322938415750922</c:v>
                </c:pt>
                <c:pt idx="18">
                  <c:v>19.883229166666666</c:v>
                </c:pt>
                <c:pt idx="19">
                  <c:v>14.538071105072467</c:v>
                </c:pt>
                <c:pt idx="20">
                  <c:v>13.415166079391629</c:v>
                </c:pt>
                <c:pt idx="21">
                  <c:v>13.686976877289379</c:v>
                </c:pt>
                <c:pt idx="22">
                  <c:v>20.563768115942029</c:v>
                </c:pt>
                <c:pt idx="23">
                  <c:v>17.754754528985508</c:v>
                </c:pt>
                <c:pt idx="24">
                  <c:v>15.114614834943641</c:v>
                </c:pt>
                <c:pt idx="25">
                  <c:v>18.580832188644688</c:v>
                </c:pt>
                <c:pt idx="26">
                  <c:v>21.66212522644927</c:v>
                </c:pt>
                <c:pt idx="27">
                  <c:v>17.263756521739129</c:v>
                </c:pt>
                <c:pt idx="28">
                  <c:v>17.088877969001611</c:v>
                </c:pt>
                <c:pt idx="29">
                  <c:v>15.329593635531129</c:v>
                </c:pt>
                <c:pt idx="30">
                  <c:v>24.638542798913047</c:v>
                </c:pt>
                <c:pt idx="31">
                  <c:v>23.98330511775362</c:v>
                </c:pt>
                <c:pt idx="32">
                  <c:v>18.22815448872786</c:v>
                </c:pt>
                <c:pt idx="33">
                  <c:v>17.473668727106222</c:v>
                </c:pt>
                <c:pt idx="34">
                  <c:v>20.914697690217391</c:v>
                </c:pt>
                <c:pt idx="35">
                  <c:v>16.92868555253623</c:v>
                </c:pt>
                <c:pt idx="36">
                  <c:v>11.491115523968787</c:v>
                </c:pt>
                <c:pt idx="37">
                  <c:v>10.860820741758239</c:v>
                </c:pt>
                <c:pt idx="38">
                  <c:v>17.94285439311594</c:v>
                </c:pt>
                <c:pt idx="39">
                  <c:v>14.043062681159419</c:v>
                </c:pt>
                <c:pt idx="40">
                  <c:v>532.355880887681</c:v>
                </c:pt>
                <c:pt idx="41">
                  <c:v>22.26652014652014</c:v>
                </c:pt>
                <c:pt idx="42">
                  <c:v>28.65118432971013</c:v>
                </c:pt>
                <c:pt idx="43">
                  <c:v>25.065115036231884</c:v>
                </c:pt>
                <c:pt idx="44">
                  <c:v>23.855252516103054</c:v>
                </c:pt>
                <c:pt idx="45">
                  <c:v>42.741496108058612</c:v>
                </c:pt>
                <c:pt idx="46">
                  <c:v>66.432757019927536</c:v>
                </c:pt>
                <c:pt idx="47">
                  <c:v>36.609693846423554</c:v>
                </c:pt>
                <c:pt idx="48">
                  <c:v>19.573873641304356</c:v>
                </c:pt>
                <c:pt idx="49">
                  <c:v>19.960388049450547</c:v>
                </c:pt>
                <c:pt idx="50">
                  <c:v>36.898874875818144</c:v>
                </c:pt>
                <c:pt idx="51">
                  <c:v>27.596650597533891</c:v>
                </c:pt>
                <c:pt idx="52">
                  <c:v>23.460992451476763</c:v>
                </c:pt>
                <c:pt idx="53">
                  <c:v>30.61389488852592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A96-4123-9EDC-6CAFA9576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9391487"/>
        <c:axId val="1439396767"/>
      </c:scatterChart>
      <c:valAx>
        <c:axId val="1439391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396767"/>
        <c:crosses val="autoZero"/>
        <c:crossBetween val="midCat"/>
      </c:valAx>
      <c:valAx>
        <c:axId val="143939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391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582146</xdr:colOff>
      <xdr:row>0</xdr:row>
      <xdr:rowOff>47625</xdr:rowOff>
    </xdr:from>
    <xdr:to>
      <xdr:col>20</xdr:col>
      <xdr:colOff>416298</xdr:colOff>
      <xdr:row>1</xdr:row>
      <xdr:rowOff>149225</xdr:rowOff>
    </xdr:to>
    <xdr:pic>
      <xdr:nvPicPr>
        <xdr:cNvPr id="3" name="Picture 2" descr="Research Link Banner">
          <a:extLst>
            <a:ext uri="{FF2B5EF4-FFF2-40B4-BE49-F238E27FC236}">
              <a16:creationId xmlns:a16="http://schemas.microsoft.com/office/drawing/2014/main" id="{583C1B84-C840-4657-B140-197A3BF6A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54671" y="47625"/>
          <a:ext cx="3132044" cy="29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1400733</xdr:colOff>
      <xdr:row>0</xdr:row>
      <xdr:rowOff>119343</xdr:rowOff>
    </xdr:from>
    <xdr:to>
      <xdr:col>2</xdr:col>
      <xdr:colOff>2678204</xdr:colOff>
      <xdr:row>2</xdr:row>
      <xdr:rowOff>100293</xdr:rowOff>
    </xdr:to>
    <xdr:sp macro="[0]!Run_atualiza_prec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0263756-EF8B-F557-DEB9-186FF44E7B24}"/>
            </a:ext>
          </a:extLst>
        </xdr:cNvPr>
        <xdr:cNvSpPr/>
      </xdr:nvSpPr>
      <xdr:spPr>
        <a:xfrm>
          <a:off x="3059204" y="119343"/>
          <a:ext cx="1277471" cy="4067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Atualizar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476249</xdr:colOff>
      <xdr:row>0</xdr:row>
      <xdr:rowOff>0</xdr:rowOff>
    </xdr:from>
    <xdr:to>
      <xdr:col>59</xdr:col>
      <xdr:colOff>257174</xdr:colOff>
      <xdr:row>11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B1CFF-A040-0677-FCDB-F0A0F81DC2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59</xdr:col>
      <xdr:colOff>371475</xdr:colOff>
      <xdr:row>0</xdr:row>
      <xdr:rowOff>0</xdr:rowOff>
    </xdr:from>
    <xdr:to>
      <xdr:col>67</xdr:col>
      <xdr:colOff>161925</xdr:colOff>
      <xdr:row>11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D70DA23-E26A-4B33-91A8-E6B2823ED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53</xdr:col>
      <xdr:colOff>9525</xdr:colOff>
      <xdr:row>12</xdr:row>
      <xdr:rowOff>38099</xdr:rowOff>
    </xdr:from>
    <xdr:to>
      <xdr:col>63</xdr:col>
      <xdr:colOff>304801</xdr:colOff>
      <xdr:row>29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DB5856-9649-4952-8699-BEBAC5504B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63</xdr:col>
      <xdr:colOff>381000</xdr:colOff>
      <xdr:row>12</xdr:row>
      <xdr:rowOff>47626</xdr:rowOff>
    </xdr:from>
    <xdr:to>
      <xdr:col>74</xdr:col>
      <xdr:colOff>238125</xdr:colOff>
      <xdr:row>29</xdr:row>
      <xdr:rowOff>142876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E9BA8A1-6D2A-4224-A0DB-637D3DD12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533400</xdr:colOff>
      <xdr:row>29</xdr:row>
      <xdr:rowOff>161925</xdr:rowOff>
    </xdr:from>
    <xdr:to>
      <xdr:col>63</xdr:col>
      <xdr:colOff>219076</xdr:colOff>
      <xdr:row>47</xdr:row>
      <xdr:rowOff>47626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E1D8480-B106-4F73-9153-A298A952F3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238125</xdr:colOff>
      <xdr:row>29</xdr:row>
      <xdr:rowOff>180975</xdr:rowOff>
    </xdr:from>
    <xdr:to>
      <xdr:col>73</xdr:col>
      <xdr:colOff>533401</xdr:colOff>
      <xdr:row>47</xdr:row>
      <xdr:rowOff>66676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FF1F633-7EBD-43B2-A3E9-A61B613C7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A465D-8FB2-4EB1-9F96-F02C8752E0EF}">
  <sheetPr codeName="Sheet1"/>
  <dimension ref="A1:CL1985"/>
  <sheetViews>
    <sheetView tabSelected="1" zoomScale="85" zoomScaleNormal="85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J18" sqref="J18"/>
    </sheetView>
  </sheetViews>
  <sheetFormatPr defaultRowHeight="15" outlineLevelCol="1" x14ac:dyDescent="0.25"/>
  <cols>
    <col min="2" max="2" width="15.85546875" customWidth="1"/>
    <col min="3" max="3" width="40.42578125" customWidth="1"/>
    <col min="4" max="4" width="15.5703125" customWidth="1"/>
    <col min="5" max="5" width="13.42578125" bestFit="1" customWidth="1"/>
    <col min="6" max="7" width="31.42578125" customWidth="1" outlineLevel="1"/>
    <col min="8" max="8" width="8.42578125" bestFit="1" customWidth="1"/>
    <col min="9" max="25" width="6.7109375" bestFit="1" customWidth="1"/>
    <col min="26" max="27" width="7" bestFit="1" customWidth="1"/>
    <col min="28" max="33" width="6.7109375" bestFit="1" customWidth="1"/>
    <col min="34" max="34" width="7" bestFit="1" customWidth="1"/>
    <col min="35" max="40" width="6.7109375" bestFit="1" customWidth="1"/>
    <col min="41" max="41" width="9.28515625" bestFit="1" customWidth="1"/>
    <col min="42" max="42" width="7.7109375" bestFit="1" customWidth="1"/>
    <col min="43" max="47" width="6.7109375" bestFit="1" customWidth="1"/>
    <col min="48" max="48" width="7.7109375" bestFit="1" customWidth="1"/>
    <col min="49" max="60" width="6.7109375" bestFit="1" customWidth="1"/>
    <col min="61" max="61" width="7.42578125" bestFit="1" customWidth="1"/>
    <col min="62" max="62" width="7.7109375" bestFit="1" customWidth="1"/>
    <col min="63" max="72" width="6.7109375" bestFit="1" customWidth="1"/>
  </cols>
  <sheetData>
    <row r="1" spans="1:90" s="81" customFormat="1" ht="18" x14ac:dyDescent="0.25">
      <c r="A1" s="6"/>
      <c r="B1" s="81" t="s">
        <v>71</v>
      </c>
    </row>
    <row r="2" spans="1:90" s="80" customFormat="1" ht="15.75" x14ac:dyDescent="0.25">
      <c r="B2" s="80" t="s">
        <v>74</v>
      </c>
      <c r="D2" s="82" t="s">
        <v>72</v>
      </c>
      <c r="E2" s="82" t="s">
        <v>222</v>
      </c>
    </row>
    <row r="3" spans="1:90" s="80" customFormat="1" ht="15.75" x14ac:dyDescent="0.25">
      <c r="D3" s="83">
        <v>45527.660081018519</v>
      </c>
      <c r="E3" s="83">
        <v>45527.660081018519</v>
      </c>
    </row>
    <row r="4" spans="1:90" x14ac:dyDescent="0.25">
      <c r="A4" s="84"/>
      <c r="B4" s="85"/>
      <c r="C4" s="86"/>
      <c r="D4" s="86"/>
      <c r="E4" s="87"/>
      <c r="F4" s="87"/>
      <c r="G4" s="89"/>
      <c r="H4" s="91" t="s">
        <v>113</v>
      </c>
      <c r="I4" s="91" t="s">
        <v>114</v>
      </c>
      <c r="J4" s="91" t="s">
        <v>115</v>
      </c>
      <c r="K4" s="91" t="s">
        <v>116</v>
      </c>
      <c r="L4" s="91" t="s">
        <v>117</v>
      </c>
      <c r="M4" s="91" t="s">
        <v>118</v>
      </c>
      <c r="N4" s="91" t="s">
        <v>119</v>
      </c>
      <c r="O4" s="91" t="s">
        <v>120</v>
      </c>
      <c r="P4" s="91" t="s">
        <v>121</v>
      </c>
      <c r="Q4" s="91" t="s">
        <v>122</v>
      </c>
      <c r="R4" s="91" t="s">
        <v>123</v>
      </c>
      <c r="S4" s="91" t="s">
        <v>124</v>
      </c>
      <c r="T4" s="91" t="s">
        <v>125</v>
      </c>
      <c r="U4" s="91" t="s">
        <v>126</v>
      </c>
      <c r="V4" s="91" t="s">
        <v>127</v>
      </c>
      <c r="W4" s="91" t="s">
        <v>128</v>
      </c>
      <c r="X4" s="91" t="s">
        <v>129</v>
      </c>
      <c r="Y4" s="91" t="s">
        <v>130</v>
      </c>
      <c r="Z4" s="91" t="s">
        <v>131</v>
      </c>
      <c r="AA4" s="91" t="s">
        <v>132</v>
      </c>
      <c r="AB4" s="91" t="s">
        <v>133</v>
      </c>
      <c r="AC4" s="91" t="s">
        <v>134</v>
      </c>
      <c r="AD4" s="91" t="s">
        <v>135</v>
      </c>
      <c r="AE4" s="91" t="s">
        <v>136</v>
      </c>
      <c r="AF4" s="91" t="s">
        <v>137</v>
      </c>
      <c r="AG4" s="91" t="s">
        <v>138</v>
      </c>
      <c r="AH4" s="91" t="s">
        <v>139</v>
      </c>
      <c r="AI4" s="91" t="s">
        <v>140</v>
      </c>
      <c r="AJ4" s="91" t="s">
        <v>141</v>
      </c>
      <c r="AK4" s="91" t="s">
        <v>142</v>
      </c>
      <c r="AL4" s="91" t="s">
        <v>143</v>
      </c>
      <c r="AM4" s="91" t="s">
        <v>144</v>
      </c>
      <c r="AN4" s="91" t="s">
        <v>103</v>
      </c>
      <c r="AO4" s="91" t="s">
        <v>104</v>
      </c>
      <c r="AP4" s="91" t="s">
        <v>105</v>
      </c>
      <c r="AQ4" s="91" t="s">
        <v>106</v>
      </c>
      <c r="AR4" s="91" t="s">
        <v>107</v>
      </c>
      <c r="AS4" s="91" t="s">
        <v>108</v>
      </c>
      <c r="AT4" s="91" t="s">
        <v>109</v>
      </c>
      <c r="AU4" s="91" t="s">
        <v>110</v>
      </c>
      <c r="AV4" s="91" t="s">
        <v>58</v>
      </c>
      <c r="AW4" s="91" t="s">
        <v>59</v>
      </c>
      <c r="AX4" s="91" t="s">
        <v>60</v>
      </c>
      <c r="AY4" s="91" t="s">
        <v>61</v>
      </c>
      <c r="AZ4" s="91" t="s">
        <v>62</v>
      </c>
      <c r="BA4" s="91" t="s">
        <v>63</v>
      </c>
      <c r="BB4" s="91" t="s">
        <v>64</v>
      </c>
      <c r="BC4" s="91" t="s">
        <v>65</v>
      </c>
      <c r="BD4" s="91" t="s">
        <v>66</v>
      </c>
      <c r="BE4" s="91" t="s">
        <v>67</v>
      </c>
      <c r="BF4" s="91" t="s">
        <v>68</v>
      </c>
      <c r="BG4" s="91" t="s">
        <v>69</v>
      </c>
      <c r="BH4" s="91" t="s">
        <v>70</v>
      </c>
      <c r="BI4" s="91" t="s">
        <v>111</v>
      </c>
      <c r="BJ4" s="91" t="s">
        <v>145</v>
      </c>
      <c r="BK4" s="91" t="s">
        <v>146</v>
      </c>
      <c r="BL4" s="91" t="s">
        <v>147</v>
      </c>
      <c r="BM4" s="91" t="s">
        <v>148</v>
      </c>
      <c r="BN4" s="91" t="s">
        <v>149</v>
      </c>
      <c r="BO4" s="91" t="s">
        <v>184</v>
      </c>
      <c r="BP4" s="91" t="s">
        <v>150</v>
      </c>
      <c r="BQ4" s="91" t="s">
        <v>151</v>
      </c>
      <c r="BR4" s="91" t="s">
        <v>152</v>
      </c>
      <c r="BS4" s="88" t="s">
        <v>153</v>
      </c>
      <c r="BT4" s="91" t="s">
        <v>185</v>
      </c>
      <c r="BU4" s="91"/>
      <c r="BV4" s="91"/>
      <c r="BW4" s="88"/>
      <c r="BX4" s="7"/>
      <c r="BY4" s="7"/>
      <c r="BZ4" s="7"/>
      <c r="CA4" s="7"/>
      <c r="CB4" s="7"/>
      <c r="CC4" s="7"/>
      <c r="CD4" s="7"/>
      <c r="CE4" s="7"/>
      <c r="CF4" s="7"/>
      <c r="CG4" s="8"/>
      <c r="CH4" s="8"/>
      <c r="CI4" s="8"/>
      <c r="CJ4" s="8"/>
      <c r="CK4" s="8"/>
      <c r="CL4" s="8"/>
    </row>
    <row r="5" spans="1:90" x14ac:dyDescent="0.25">
      <c r="A5" s="9"/>
      <c r="B5" s="9"/>
      <c r="C5" s="9"/>
      <c r="D5" s="9"/>
      <c r="E5" s="9"/>
      <c r="F5" s="9"/>
      <c r="G5" s="9"/>
      <c r="H5" s="92"/>
      <c r="I5" s="93"/>
      <c r="J5" s="93" t="s">
        <v>73</v>
      </c>
      <c r="K5" s="94"/>
      <c r="L5" s="92"/>
      <c r="M5" s="93"/>
      <c r="N5" s="93"/>
      <c r="O5" s="94"/>
      <c r="P5" s="92"/>
      <c r="Q5" s="93"/>
      <c r="R5" s="93"/>
      <c r="S5" s="94"/>
      <c r="T5" s="93"/>
      <c r="U5" s="93"/>
      <c r="V5" s="93"/>
      <c r="W5" s="94"/>
      <c r="X5" s="93"/>
      <c r="Y5" s="93"/>
      <c r="Z5" s="93"/>
      <c r="AA5" s="94"/>
      <c r="AB5" s="93"/>
      <c r="AC5" s="93"/>
      <c r="AD5" s="93"/>
      <c r="AE5" s="94"/>
      <c r="AF5" s="93"/>
      <c r="AG5" s="93"/>
      <c r="AH5" s="93"/>
      <c r="AI5" s="94"/>
      <c r="AJ5" s="93"/>
      <c r="AK5" s="93"/>
      <c r="AL5" s="93"/>
      <c r="AM5" s="94"/>
      <c r="AN5" s="93"/>
      <c r="AO5" s="93"/>
      <c r="AP5" s="93"/>
      <c r="AQ5" s="94"/>
      <c r="AR5" s="93"/>
      <c r="AS5" s="93"/>
      <c r="AT5" s="93"/>
      <c r="AU5" s="94"/>
      <c r="AV5" s="93"/>
      <c r="AW5" s="93"/>
      <c r="AX5" s="93"/>
      <c r="AY5" s="94"/>
      <c r="AZ5" s="93"/>
      <c r="BA5" s="93"/>
      <c r="BB5" s="93"/>
      <c r="BC5" s="94"/>
      <c r="BD5" s="93"/>
      <c r="BE5" s="93"/>
      <c r="BF5" s="93"/>
      <c r="BG5" s="94"/>
      <c r="BH5" s="93"/>
      <c r="BI5" s="93"/>
      <c r="BJ5" s="93"/>
      <c r="BK5" s="94"/>
      <c r="BL5" s="93"/>
      <c r="BM5" s="93"/>
      <c r="BN5" s="93"/>
      <c r="BO5" s="94"/>
      <c r="BP5" s="93"/>
      <c r="BQ5" s="93"/>
      <c r="BR5" s="93"/>
      <c r="BS5" s="12"/>
      <c r="BT5" s="93"/>
      <c r="BU5" s="93"/>
      <c r="BV5" s="93"/>
      <c r="BW5" s="12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</row>
    <row r="6" spans="1:90" x14ac:dyDescent="0.25">
      <c r="A6" s="9"/>
      <c r="B6" s="9"/>
      <c r="C6" s="3"/>
      <c r="D6" s="3"/>
      <c r="E6" s="3"/>
      <c r="F6" s="13"/>
      <c r="G6" s="13"/>
      <c r="H6" s="95"/>
      <c r="I6" s="96"/>
      <c r="J6" s="96"/>
      <c r="K6" s="97"/>
      <c r="L6" s="95"/>
      <c r="M6" s="96"/>
      <c r="N6" s="96"/>
      <c r="O6" s="97"/>
      <c r="P6" s="95"/>
      <c r="Q6" s="96"/>
      <c r="R6" s="96"/>
      <c r="S6" s="97"/>
      <c r="T6" s="96"/>
      <c r="U6" s="96"/>
      <c r="V6" s="96"/>
      <c r="W6" s="98"/>
      <c r="X6" s="99"/>
      <c r="Y6" s="99"/>
      <c r="Z6" s="99"/>
      <c r="AA6" s="98"/>
      <c r="AB6" s="99"/>
      <c r="AC6" s="99"/>
      <c r="AD6" s="100"/>
      <c r="AE6" s="98"/>
      <c r="AF6" s="99"/>
      <c r="AG6" s="99"/>
      <c r="AH6" s="99"/>
      <c r="AI6" s="98"/>
      <c r="AJ6" s="99"/>
      <c r="AK6" s="99"/>
      <c r="AL6" s="99"/>
      <c r="AM6" s="98"/>
      <c r="AN6" s="99"/>
      <c r="AO6" s="99"/>
      <c r="AP6" s="99"/>
      <c r="AQ6" s="98"/>
      <c r="AR6" s="99"/>
      <c r="AS6" s="99"/>
      <c r="AT6" s="99"/>
      <c r="AU6" s="98"/>
      <c r="AV6" s="99"/>
      <c r="AW6" s="99"/>
      <c r="AX6" s="99"/>
      <c r="AY6" s="98"/>
      <c r="AZ6" s="99"/>
      <c r="BA6" s="99"/>
      <c r="BB6" s="99"/>
      <c r="BC6" s="98"/>
      <c r="BD6" s="99"/>
      <c r="BE6" s="99"/>
      <c r="BF6" s="99"/>
      <c r="BG6" s="98"/>
      <c r="BH6" s="99"/>
      <c r="BI6" s="99"/>
      <c r="BJ6" s="99"/>
      <c r="BK6" s="98"/>
      <c r="BL6" s="99"/>
      <c r="BM6" s="99"/>
      <c r="BN6" s="99"/>
      <c r="BO6" s="98"/>
      <c r="BP6" s="99"/>
      <c r="BQ6" s="99"/>
      <c r="BR6" s="99"/>
      <c r="BS6" s="14"/>
      <c r="BT6" s="99"/>
      <c r="BU6" s="99"/>
      <c r="BV6" s="99"/>
      <c r="BW6" s="14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</row>
    <row r="7" spans="1:90" x14ac:dyDescent="0.25">
      <c r="A7" s="9"/>
      <c r="B7" s="9"/>
      <c r="C7" s="1" t="s">
        <v>0</v>
      </c>
      <c r="D7" s="16"/>
      <c r="E7" s="16"/>
      <c r="F7" s="17" t="s">
        <v>89</v>
      </c>
      <c r="G7" s="17" t="s">
        <v>90</v>
      </c>
      <c r="H7" s="101"/>
      <c r="I7" s="102"/>
      <c r="J7" s="102"/>
      <c r="K7" s="103"/>
      <c r="L7" s="101"/>
      <c r="M7" s="102"/>
      <c r="N7" s="102"/>
      <c r="O7" s="104"/>
      <c r="P7" s="105"/>
      <c r="Q7" s="106"/>
      <c r="R7" s="106"/>
      <c r="S7" s="104"/>
      <c r="T7" s="106"/>
      <c r="U7" s="106"/>
      <c r="V7" s="106"/>
      <c r="W7" s="104"/>
      <c r="X7" s="106"/>
      <c r="Y7" s="106"/>
      <c r="Z7" s="106"/>
      <c r="AA7" s="104"/>
      <c r="AB7" s="106"/>
      <c r="AC7" s="106"/>
      <c r="AD7" s="106"/>
      <c r="AE7" s="104"/>
      <c r="AF7" s="106"/>
      <c r="AG7" s="106"/>
      <c r="AH7" s="106"/>
      <c r="AI7" s="104"/>
      <c r="AJ7" s="106"/>
      <c r="AK7" s="106"/>
      <c r="AL7" s="106"/>
      <c r="AM7" s="104"/>
      <c r="AN7" s="106"/>
      <c r="AO7" s="106"/>
      <c r="AP7" s="106"/>
      <c r="AQ7" s="104"/>
      <c r="AR7" s="106"/>
      <c r="AS7" s="106"/>
      <c r="AT7" s="106"/>
      <c r="AU7" s="104"/>
      <c r="AV7" s="106"/>
      <c r="AW7" s="106"/>
      <c r="AX7" s="106"/>
      <c r="AY7" s="104"/>
      <c r="AZ7" s="106"/>
      <c r="BA7" s="106"/>
      <c r="BB7" s="106"/>
      <c r="BC7" s="104"/>
      <c r="BD7" s="106"/>
      <c r="BE7" s="106"/>
      <c r="BF7" s="106"/>
      <c r="BG7" s="104"/>
      <c r="BH7" s="106"/>
      <c r="BI7" s="106"/>
      <c r="BJ7" s="106"/>
      <c r="BK7" s="104"/>
      <c r="BL7" s="106"/>
      <c r="BM7" s="106"/>
      <c r="BN7" s="106"/>
      <c r="BO7" s="104"/>
      <c r="BP7" s="106"/>
      <c r="BQ7" s="106"/>
      <c r="BR7" s="106"/>
      <c r="BS7" s="18"/>
      <c r="BT7" s="106"/>
      <c r="BU7" s="106"/>
      <c r="BV7" s="106"/>
      <c r="BW7" s="18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</row>
    <row r="8" spans="1:90" x14ac:dyDescent="0.25">
      <c r="A8" s="9"/>
      <c r="B8" s="9"/>
      <c r="C8" s="2" t="s">
        <v>208</v>
      </c>
      <c r="D8" s="3" t="s">
        <v>210</v>
      </c>
      <c r="E8" s="3"/>
      <c r="F8" s="20" t="s">
        <v>161</v>
      </c>
      <c r="G8" s="20" t="s">
        <v>187</v>
      </c>
      <c r="H8" s="107">
        <v>4.1854263920671242</v>
      </c>
      <c r="I8" s="108">
        <v>4.361992063492063</v>
      </c>
      <c r="J8" s="108">
        <v>4.1221376811594199</v>
      </c>
      <c r="K8" s="109">
        <v>3.330222222222222</v>
      </c>
      <c r="L8" s="108">
        <v>2.4434928229665069</v>
      </c>
      <c r="M8" s="108">
        <v>2.2814855320118479</v>
      </c>
      <c r="N8" s="108">
        <v>2.8850956937799039</v>
      </c>
      <c r="O8" s="108">
        <v>3.39954347826087</v>
      </c>
      <c r="P8" s="107">
        <v>3.4838079676314968</v>
      </c>
      <c r="Q8" s="108">
        <v>4.00953823953824</v>
      </c>
      <c r="R8" s="108">
        <v>3.4766666666666666</v>
      </c>
      <c r="S8" s="108">
        <v>3.7867777777777776</v>
      </c>
      <c r="T8" s="107">
        <v>5.1916245791245794</v>
      </c>
      <c r="U8" s="108">
        <v>4.6159967320261437</v>
      </c>
      <c r="V8" s="108">
        <v>3.9354191919191917</v>
      </c>
      <c r="W8" s="109">
        <v>3.9391428571428571</v>
      </c>
      <c r="X8" s="107">
        <v>2.96</v>
      </c>
      <c r="Y8" s="108">
        <v>2.5499999999999998</v>
      </c>
      <c r="Z8" s="108"/>
      <c r="AA8" s="109"/>
      <c r="AB8" s="107">
        <v>1.8024714285714285</v>
      </c>
      <c r="AC8" s="108">
        <v>2.0513555555555558</v>
      </c>
      <c r="AD8" s="108">
        <v>3.05</v>
      </c>
      <c r="AE8" s="109">
        <v>2.9950000000000001</v>
      </c>
      <c r="AF8" s="107">
        <v>2.9233333333333329</v>
      </c>
      <c r="AG8" s="108">
        <v>3.0149999999999997</v>
      </c>
      <c r="AH8" s="108"/>
      <c r="AI8" s="110">
        <v>2.9766666666666666</v>
      </c>
      <c r="AJ8" s="107">
        <v>2.9718782249742</v>
      </c>
      <c r="AK8" s="108">
        <v>2.8572137161084528</v>
      </c>
      <c r="AL8" s="108">
        <v>2.9240962254120149</v>
      </c>
      <c r="AM8" s="110">
        <v>3.8261417810831424</v>
      </c>
      <c r="AN8" s="107">
        <v>2.9109523809523807</v>
      </c>
      <c r="AO8" s="108">
        <v>2.5604074074074075</v>
      </c>
      <c r="AP8" s="108">
        <v>2.3903091060985795</v>
      </c>
      <c r="AQ8" s="110">
        <v>2.4081102212051868</v>
      </c>
      <c r="AR8" s="107">
        <v>1.9129976456292246</v>
      </c>
      <c r="AS8" s="108">
        <v>1.6971825396825395</v>
      </c>
      <c r="AT8" s="108">
        <v>1.9782106782106783</v>
      </c>
      <c r="AU8" s="110">
        <v>2.4362499999999998</v>
      </c>
      <c r="AV8" s="107">
        <v>3.4250000000000003</v>
      </c>
      <c r="AW8" s="108">
        <v>2.9091666666666662</v>
      </c>
      <c r="AX8" s="108">
        <v>4.2934173669467794</v>
      </c>
      <c r="AY8" s="110">
        <v>4.7296783625730994</v>
      </c>
      <c r="AZ8" s="107">
        <v>4.6243344774980928</v>
      </c>
      <c r="BA8" s="108">
        <v>7.4456851851851846</v>
      </c>
      <c r="BB8" s="108">
        <v>7.9422920938710417</v>
      </c>
      <c r="BC8" s="110">
        <v>5.5074379324379317</v>
      </c>
      <c r="BD8" s="107">
        <v>2.6611194653299917</v>
      </c>
      <c r="BE8" s="108">
        <v>2.1703668261562998</v>
      </c>
      <c r="BF8" s="108">
        <v>2.5924111963626033</v>
      </c>
      <c r="BG8" s="109">
        <v>2.7390810582606249</v>
      </c>
      <c r="BH8" s="107">
        <v>2.1537320261437909</v>
      </c>
      <c r="BI8" s="108">
        <v>2.0934722222222222</v>
      </c>
      <c r="BJ8" s="108">
        <v>2.0523793859649122</v>
      </c>
      <c r="BK8" s="109">
        <v>2.7370000000000001</v>
      </c>
      <c r="BL8" s="107">
        <v>3.3286666666666669</v>
      </c>
      <c r="BM8" s="108">
        <v>2.9563333333333333</v>
      </c>
      <c r="BN8" s="108">
        <v>3.2723333333333335</v>
      </c>
      <c r="BO8" s="109">
        <v>3.6296666666666666</v>
      </c>
      <c r="BP8" s="107">
        <v>3.9283333333333332</v>
      </c>
      <c r="BQ8" s="108">
        <v>3.2029999999999998</v>
      </c>
      <c r="BR8" s="108">
        <v>3.4636666666666667</v>
      </c>
      <c r="BS8" s="109">
        <v>3.8316666666666666</v>
      </c>
      <c r="BT8" s="107">
        <v>4.3484999999999996</v>
      </c>
      <c r="BU8" s="111"/>
      <c r="BV8" s="111"/>
      <c r="BW8" s="26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</row>
    <row r="9" spans="1:90" x14ac:dyDescent="0.25">
      <c r="A9" s="9"/>
      <c r="B9" s="9"/>
      <c r="C9" s="3" t="s">
        <v>2</v>
      </c>
      <c r="D9" s="3" t="s">
        <v>212</v>
      </c>
      <c r="E9" s="3"/>
      <c r="F9" s="20" t="s">
        <v>162</v>
      </c>
      <c r="G9" s="20"/>
      <c r="H9" s="107">
        <v>77.077018633540376</v>
      </c>
      <c r="I9" s="108">
        <v>78.73015873015872</v>
      </c>
      <c r="J9" s="108">
        <v>80.015079365079373</v>
      </c>
      <c r="K9" s="109">
        <v>78.942352092352095</v>
      </c>
      <c r="L9" s="108">
        <v>70.245851370851369</v>
      </c>
      <c r="M9" s="108">
        <v>60.088888888888896</v>
      </c>
      <c r="N9" s="108">
        <v>61.177803030303032</v>
      </c>
      <c r="O9" s="108">
        <v>66.800289855072478</v>
      </c>
      <c r="P9" s="107">
        <v>66.590066889632112</v>
      </c>
      <c r="Q9" s="108">
        <v>67.077500000000001</v>
      </c>
      <c r="R9" s="108">
        <v>63.95545454545455</v>
      </c>
      <c r="S9" s="108">
        <v>63.614598997493736</v>
      </c>
      <c r="T9" s="107">
        <v>62.406299081035918</v>
      </c>
      <c r="U9" s="108">
        <v>60.672539682539686</v>
      </c>
      <c r="V9" s="108">
        <v>57.210923520923522</v>
      </c>
      <c r="W9" s="109">
        <v>56.158973063973065</v>
      </c>
      <c r="X9" s="107">
        <v>53.349000000000011</v>
      </c>
      <c r="Y9" s="108">
        <v>52.877469696969705</v>
      </c>
      <c r="Z9" s="108">
        <v>50.631782106782111</v>
      </c>
      <c r="AA9" s="109">
        <v>46.069214703425224</v>
      </c>
      <c r="AB9" s="107">
        <v>42.296734259892155</v>
      </c>
      <c r="AC9" s="108">
        <v>41.1</v>
      </c>
      <c r="AD9" s="108">
        <v>40.947142857142858</v>
      </c>
      <c r="AE9" s="109">
        <v>44.935000000000002</v>
      </c>
      <c r="AF9" s="107">
        <v>50.054649122807014</v>
      </c>
      <c r="AG9" s="108">
        <v>52.445055821371618</v>
      </c>
      <c r="AH9" s="108">
        <v>53.009963768115938</v>
      </c>
      <c r="AI9" s="110">
        <v>58.280158730158725</v>
      </c>
      <c r="AJ9" s="107">
        <v>60.864821143768516</v>
      </c>
      <c r="AK9" s="108">
        <v>62.132815734989641</v>
      </c>
      <c r="AL9" s="108">
        <v>71.949918521600452</v>
      </c>
      <c r="AM9" s="110">
        <v>78.711742424242416</v>
      </c>
      <c r="AN9" s="107">
        <v>81.101670843776105</v>
      </c>
      <c r="AO9" s="108">
        <v>70.440001725327804</v>
      </c>
      <c r="AP9" s="108">
        <v>62.420378787878782</v>
      </c>
      <c r="AQ9" s="110">
        <v>63.709833295359623</v>
      </c>
      <c r="AR9" s="107">
        <v>58.04545454545454</v>
      </c>
      <c r="AS9" s="108">
        <v>55.236655844155848</v>
      </c>
      <c r="AT9" s="108">
        <v>55.069805194805191</v>
      </c>
      <c r="AU9" s="110">
        <v>55.178030303030305</v>
      </c>
      <c r="AV9" s="107">
        <v>56.569603356216625</v>
      </c>
      <c r="AW9" s="108">
        <v>60.498268398268401</v>
      </c>
      <c r="AX9" s="108">
        <v>64.141197691197689</v>
      </c>
      <c r="AY9" s="110">
        <v>83.808333333333337</v>
      </c>
      <c r="AZ9" s="107">
        <v>91.112206331045002</v>
      </c>
      <c r="BA9" s="108">
        <v>123.11769841269842</v>
      </c>
      <c r="BB9" s="108">
        <v>182.8948757763975</v>
      </c>
      <c r="BC9" s="110">
        <v>191.02654761904762</v>
      </c>
      <c r="BD9" s="107">
        <v>134.10812356979406</v>
      </c>
      <c r="BE9" s="108">
        <v>79.893628009417483</v>
      </c>
      <c r="BF9" s="108">
        <v>66.890579710144934</v>
      </c>
      <c r="BG9" s="109">
        <v>73.460652958152949</v>
      </c>
      <c r="BH9" s="107">
        <v>75.521626984126982</v>
      </c>
      <c r="BI9" s="108">
        <v>76.936084529505578</v>
      </c>
      <c r="BJ9" s="108">
        <v>75.281818181818181</v>
      </c>
      <c r="BK9" s="109"/>
      <c r="BL9" s="107"/>
      <c r="BM9" s="108"/>
      <c r="BN9" s="108"/>
      <c r="BO9" s="109"/>
      <c r="BP9" s="107"/>
      <c r="BQ9" s="108"/>
      <c r="BR9" s="108"/>
      <c r="BS9" s="109"/>
      <c r="BT9" s="107"/>
      <c r="BU9" s="111"/>
      <c r="BV9" s="111"/>
      <c r="BW9" s="26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</row>
    <row r="10" spans="1:90" x14ac:dyDescent="0.25">
      <c r="A10" s="9"/>
      <c r="B10" s="9"/>
      <c r="C10" s="3" t="s">
        <v>3</v>
      </c>
      <c r="D10" s="3" t="s">
        <v>212</v>
      </c>
      <c r="E10" s="3"/>
      <c r="F10" s="20" t="s">
        <v>163</v>
      </c>
      <c r="G10" s="20" t="s">
        <v>219</v>
      </c>
      <c r="H10" s="107">
        <v>13.891242236024842</v>
      </c>
      <c r="I10" s="108">
        <v>12.697619047619048</v>
      </c>
      <c r="J10" s="108">
        <v>14.270746282702804</v>
      </c>
      <c r="K10" s="109">
        <v>13.634054834054835</v>
      </c>
      <c r="L10" s="108">
        <v>9.8515151515151516</v>
      </c>
      <c r="M10" s="108">
        <v>9.0608264320220844</v>
      </c>
      <c r="N10" s="108">
        <v>8.8556818181818198</v>
      </c>
      <c r="O10" s="108">
        <v>10.088478260869564</v>
      </c>
      <c r="P10" s="107">
        <v>10.223634336677815</v>
      </c>
      <c r="Q10" s="108">
        <v>10.510833333333334</v>
      </c>
      <c r="R10" s="108">
        <v>10.380303030303031</v>
      </c>
      <c r="S10" s="108">
        <v>10.975844155844158</v>
      </c>
      <c r="T10" s="107">
        <v>12.360192147034253</v>
      </c>
      <c r="U10" s="108">
        <v>12.972063492063493</v>
      </c>
      <c r="V10" s="108">
        <v>11.941702741702741</v>
      </c>
      <c r="W10" s="109">
        <v>11.536363636363637</v>
      </c>
      <c r="X10" s="107">
        <v>11.595833333333333</v>
      </c>
      <c r="Y10" s="108">
        <v>11.550000000000002</v>
      </c>
      <c r="Z10" s="108">
        <v>11.591666666666669</v>
      </c>
      <c r="AA10" s="109">
        <v>11.21733500417711</v>
      </c>
      <c r="AB10" s="107">
        <v>9.6898951925267713</v>
      </c>
      <c r="AC10" s="108">
        <v>9.1579365079365065</v>
      </c>
      <c r="AD10" s="108">
        <v>8.630238095238095</v>
      </c>
      <c r="AE10" s="109">
        <v>9.3319444444444439</v>
      </c>
      <c r="AF10" s="107">
        <v>11.491718154080855</v>
      </c>
      <c r="AG10" s="108">
        <v>11.601881977671454</v>
      </c>
      <c r="AH10" s="108">
        <v>11.516514492753624</v>
      </c>
      <c r="AI10" s="110">
        <v>11.923015873015872</v>
      </c>
      <c r="AJ10" s="107">
        <v>12.298803827751195</v>
      </c>
      <c r="AK10" s="108">
        <v>12.407349896480332</v>
      </c>
      <c r="AL10" s="108">
        <v>12.531407322654461</v>
      </c>
      <c r="AM10" s="110">
        <v>12.012500000000001</v>
      </c>
      <c r="AN10" s="107">
        <v>12.349832915622388</v>
      </c>
      <c r="AO10" s="108">
        <v>12.498205659075225</v>
      </c>
      <c r="AP10" s="108">
        <v>12.137727272727274</v>
      </c>
      <c r="AQ10" s="110">
        <v>12.001015797068428</v>
      </c>
      <c r="AR10" s="107">
        <v>11.676953748006378</v>
      </c>
      <c r="AS10" s="108">
        <v>11.563820346320346</v>
      </c>
      <c r="AT10" s="108">
        <v>11.78676046176046</v>
      </c>
      <c r="AU10" s="110">
        <v>11.643109668109668</v>
      </c>
      <c r="AV10" s="107">
        <v>11.621510297482837</v>
      </c>
      <c r="AW10" s="108">
        <v>12.031854256854258</v>
      </c>
      <c r="AX10" s="108">
        <v>12.326443001443002</v>
      </c>
      <c r="AY10" s="110">
        <v>22.175108225108222</v>
      </c>
      <c r="AZ10" s="107">
        <v>23.171689549961865</v>
      </c>
      <c r="BA10" s="108">
        <v>15.889920634920635</v>
      </c>
      <c r="BB10" s="108">
        <v>16.339302967563835</v>
      </c>
      <c r="BC10" s="110">
        <v>16.587063492063493</v>
      </c>
      <c r="BD10" s="107">
        <v>15.369541607642295</v>
      </c>
      <c r="BE10" s="108">
        <v>14.91266043897623</v>
      </c>
      <c r="BF10" s="108">
        <v>14.314166666666667</v>
      </c>
      <c r="BG10" s="109">
        <v>14.027665945165944</v>
      </c>
      <c r="BH10" s="107">
        <v>13.910039682539681</v>
      </c>
      <c r="BI10" s="108">
        <v>13.653708133971293</v>
      </c>
      <c r="BJ10" s="108">
        <v>13.923958333333331</v>
      </c>
      <c r="BK10" s="109">
        <v>14</v>
      </c>
      <c r="BL10" s="107">
        <v>16.3</v>
      </c>
      <c r="BM10" s="108"/>
      <c r="BN10" s="108"/>
      <c r="BO10" s="109"/>
      <c r="BP10" s="107"/>
      <c r="BQ10" s="108"/>
      <c r="BR10" s="108"/>
      <c r="BS10" s="109"/>
      <c r="BT10" s="107"/>
      <c r="BU10" s="111"/>
      <c r="BV10" s="111"/>
      <c r="BW10" s="26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</row>
    <row r="11" spans="1:90" x14ac:dyDescent="0.25">
      <c r="A11" s="9"/>
      <c r="B11" s="9"/>
      <c r="C11" s="3" t="s">
        <v>190</v>
      </c>
      <c r="D11" s="3" t="s">
        <v>212</v>
      </c>
      <c r="E11" s="3"/>
      <c r="F11" s="20" t="s">
        <v>164</v>
      </c>
      <c r="G11" s="20"/>
      <c r="H11" s="107">
        <v>73.256169772256726</v>
      </c>
      <c r="I11" s="108">
        <v>77.485714285714295</v>
      </c>
      <c r="J11" s="108">
        <v>77.186660079051379</v>
      </c>
      <c r="K11" s="109">
        <v>76.44967532467534</v>
      </c>
      <c r="L11" s="108">
        <v>70.222950089126556</v>
      </c>
      <c r="M11" s="108">
        <v>65.007142857142867</v>
      </c>
      <c r="N11" s="108">
        <v>64.983333333333334</v>
      </c>
      <c r="O11" s="108">
        <v>64.317520703933752</v>
      </c>
      <c r="P11" s="107">
        <v>62.22318840579711</v>
      </c>
      <c r="Q11" s="108">
        <v>65.00333333333333</v>
      </c>
      <c r="R11" s="108">
        <v>68.147727272727266</v>
      </c>
      <c r="S11" s="108">
        <v>68.561403508771932</v>
      </c>
      <c r="T11" s="107">
        <v>68.482414369256489</v>
      </c>
      <c r="U11" s="108">
        <v>67.247460317460323</v>
      </c>
      <c r="V11" s="108">
        <v>63.535714285714285</v>
      </c>
      <c r="W11" s="109">
        <v>64.892171717171706</v>
      </c>
      <c r="X11" s="107">
        <v>62.627061403508769</v>
      </c>
      <c r="Y11" s="108">
        <v>59.859828282828282</v>
      </c>
      <c r="Z11" s="108">
        <v>52.83614718614718</v>
      </c>
      <c r="AA11" s="109">
        <v>50.318086883876354</v>
      </c>
      <c r="AB11" s="107">
        <v>48.567786891471108</v>
      </c>
      <c r="AC11" s="108">
        <v>44.060317460317457</v>
      </c>
      <c r="AD11" s="108">
        <v>42.592106625258801</v>
      </c>
      <c r="AE11" s="109">
        <v>42.849444444444451</v>
      </c>
      <c r="AF11" s="107">
        <v>45.487953852021349</v>
      </c>
      <c r="AG11" s="108">
        <v>45.599641148325361</v>
      </c>
      <c r="AH11" s="108">
        <v>45.855797101449269</v>
      </c>
      <c r="AI11" s="110">
        <v>45.895238095238092</v>
      </c>
      <c r="AJ11" s="107">
        <v>45.828639781271363</v>
      </c>
      <c r="AK11" s="108">
        <v>45.606314699792961</v>
      </c>
      <c r="AL11" s="108">
        <v>54.810921572706469</v>
      </c>
      <c r="AM11" s="110">
        <v>61.427272727272729</v>
      </c>
      <c r="AN11" s="107">
        <v>67.979532163742689</v>
      </c>
      <c r="AO11" s="108">
        <v>61.583799171842657</v>
      </c>
      <c r="AP11" s="108">
        <v>50.614696969696972</v>
      </c>
      <c r="AQ11" s="110">
        <v>55.159814308498511</v>
      </c>
      <c r="AR11" s="107">
        <v>48.625558213716111</v>
      </c>
      <c r="AS11" s="108">
        <v>44.13075396825397</v>
      </c>
      <c r="AT11" s="108">
        <v>42.561363636363637</v>
      </c>
      <c r="AU11" s="110">
        <v>43.50151515151515</v>
      </c>
      <c r="AV11" s="107">
        <v>49.018039664378335</v>
      </c>
      <c r="AW11" s="108">
        <v>53.959812409812407</v>
      </c>
      <c r="AX11" s="108">
        <v>56.760461760461759</v>
      </c>
      <c r="AY11" s="110">
        <v>69.089682539682542</v>
      </c>
      <c r="AZ11" s="107">
        <v>75.039057971014486</v>
      </c>
      <c r="BA11" s="108">
        <v>99.1207142857143</v>
      </c>
      <c r="BB11" s="108">
        <v>152.8199982746722</v>
      </c>
      <c r="BC11" s="110">
        <v>191.31313492063495</v>
      </c>
      <c r="BD11" s="107">
        <v>110.28405252261088</v>
      </c>
      <c r="BE11" s="108">
        <v>71.085649730386578</v>
      </c>
      <c r="BF11" s="108">
        <v>53.614130434782616</v>
      </c>
      <c r="BG11" s="109">
        <v>52.005818903318904</v>
      </c>
      <c r="BH11" s="107">
        <v>49.963134920634921</v>
      </c>
      <c r="BI11" s="108">
        <v>53.30163476874003</v>
      </c>
      <c r="BJ11" s="108">
        <v>47.840909090909093</v>
      </c>
      <c r="BK11" s="109"/>
      <c r="BL11" s="107"/>
      <c r="BM11" s="108"/>
      <c r="BN11" s="108"/>
      <c r="BO11" s="109"/>
      <c r="BP11" s="107"/>
      <c r="BQ11" s="108"/>
      <c r="BR11" s="108"/>
      <c r="BS11" s="109"/>
      <c r="BT11" s="107"/>
      <c r="BU11" s="111"/>
      <c r="BV11" s="111"/>
      <c r="BW11" s="26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</row>
    <row r="12" spans="1:90" x14ac:dyDescent="0.25">
      <c r="A12" s="9"/>
      <c r="B12" s="9" t="s">
        <v>192</v>
      </c>
      <c r="C12" s="3" t="s">
        <v>191</v>
      </c>
      <c r="D12" s="3" t="s">
        <v>212</v>
      </c>
      <c r="E12" s="3"/>
      <c r="F12" s="20" t="s">
        <v>188</v>
      </c>
      <c r="G12" s="20"/>
      <c r="H12" s="107">
        <v>47.5</v>
      </c>
      <c r="I12" s="108">
        <v>47.7484126984127</v>
      </c>
      <c r="J12" s="108">
        <v>47.79999999999999</v>
      </c>
      <c r="K12" s="109">
        <v>48.315079365079363</v>
      </c>
      <c r="L12" s="108">
        <v>52.354437229437231</v>
      </c>
      <c r="M12" s="108">
        <v>48.653554175293301</v>
      </c>
      <c r="N12" s="108">
        <v>47.409090909090907</v>
      </c>
      <c r="O12" s="108">
        <v>47.884782608695652</v>
      </c>
      <c r="P12" s="107">
        <v>46.91282051282051</v>
      </c>
      <c r="Q12" s="108">
        <v>45.15</v>
      </c>
      <c r="R12" s="108">
        <v>45.540151515151514</v>
      </c>
      <c r="S12" s="108">
        <v>46.127272727272725</v>
      </c>
      <c r="T12" s="107">
        <v>46.564394319131168</v>
      </c>
      <c r="U12" s="108">
        <v>46.333809523809528</v>
      </c>
      <c r="V12" s="108">
        <v>44.175324675324674</v>
      </c>
      <c r="W12" s="109">
        <v>44.593434343434346</v>
      </c>
      <c r="X12" s="107">
        <v>43.128307017543854</v>
      </c>
      <c r="Y12" s="108">
        <v>40.512</v>
      </c>
      <c r="Z12" s="108">
        <v>35.027272727272731</v>
      </c>
      <c r="AA12" s="109">
        <v>32.724477861319968</v>
      </c>
      <c r="AB12" s="107">
        <v>32.235087719298249</v>
      </c>
      <c r="AC12" s="108">
        <v>31.7</v>
      </c>
      <c r="AD12" s="108">
        <v>31.995000000000001</v>
      </c>
      <c r="AE12" s="109">
        <v>33.44444444444445</v>
      </c>
      <c r="AF12" s="107">
        <v>32.984210526315785</v>
      </c>
      <c r="AG12" s="108">
        <v>31.011403508771931</v>
      </c>
      <c r="AH12" s="108">
        <v>30.741666666666664</v>
      </c>
      <c r="AI12" s="110">
        <v>32.461111111111116</v>
      </c>
      <c r="AJ12" s="107">
        <v>32.86532999164578</v>
      </c>
      <c r="AK12" s="108">
        <v>32.739682539682541</v>
      </c>
      <c r="AL12" s="108">
        <v>33.065881353581581</v>
      </c>
      <c r="AM12" s="110">
        <v>38.171590909090916</v>
      </c>
      <c r="AN12" s="107">
        <v>38.59473684210527</v>
      </c>
      <c r="AO12" s="108">
        <v>39.488492063492068</v>
      </c>
      <c r="AP12" s="108">
        <v>39.081666666666671</v>
      </c>
      <c r="AQ12" s="110">
        <v>37.721855775803142</v>
      </c>
      <c r="AR12" s="107">
        <v>33.840151515151518</v>
      </c>
      <c r="AS12" s="108">
        <v>33.137499999999996</v>
      </c>
      <c r="AT12" s="108">
        <v>34.044696969696965</v>
      </c>
      <c r="AU12" s="110">
        <v>34.083333333333336</v>
      </c>
      <c r="AV12" s="107">
        <v>34.302059496567502</v>
      </c>
      <c r="AW12" s="108">
        <v>34.5</v>
      </c>
      <c r="AX12" s="108">
        <v>35.334956709956707</v>
      </c>
      <c r="AY12" s="110">
        <v>40.752489177489174</v>
      </c>
      <c r="AZ12" s="107">
        <v>80.879782608695663</v>
      </c>
      <c r="BA12" s="108">
        <v>119.44198412698414</v>
      </c>
      <c r="BB12" s="108">
        <v>187.71969461697722</v>
      </c>
      <c r="BC12" s="110">
        <v>182.70436507936506</v>
      </c>
      <c r="BD12" s="107">
        <v>119.84266826486505</v>
      </c>
      <c r="BE12" s="108">
        <v>67.439473684210526</v>
      </c>
      <c r="BF12" s="108">
        <v>50.245833333333337</v>
      </c>
      <c r="BG12" s="109">
        <v>47.624585137085141</v>
      </c>
      <c r="BH12" s="107">
        <v>43.337301587301589</v>
      </c>
      <c r="BI12" s="108">
        <v>44.54545454545454</v>
      </c>
      <c r="BJ12" s="108">
        <v>42.73011363636364</v>
      </c>
      <c r="BK12" s="109"/>
      <c r="BL12" s="107"/>
      <c r="BM12" s="108"/>
      <c r="BN12" s="108"/>
      <c r="BO12" s="109"/>
      <c r="BP12" s="107"/>
      <c r="BQ12" s="108"/>
      <c r="BR12" s="108"/>
      <c r="BS12" s="109"/>
      <c r="BT12" s="107"/>
      <c r="BU12" s="111"/>
      <c r="BV12" s="111"/>
      <c r="BW12" s="26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</row>
    <row r="13" spans="1:90" x14ac:dyDescent="0.25">
      <c r="A13" s="9"/>
      <c r="B13" s="9"/>
      <c r="C13" s="3" t="s">
        <v>206</v>
      </c>
      <c r="D13" s="3" t="s">
        <v>211</v>
      </c>
      <c r="E13" s="3"/>
      <c r="F13" s="20" t="s">
        <v>200</v>
      </c>
      <c r="G13" s="20" t="s">
        <v>195</v>
      </c>
      <c r="H13" s="107">
        <v>7.0755827612509536</v>
      </c>
      <c r="I13" s="108">
        <v>4.7501327561327562</v>
      </c>
      <c r="J13" s="108">
        <v>4.7271138716356109</v>
      </c>
      <c r="K13" s="109">
        <v>3.821396825396826</v>
      </c>
      <c r="L13" s="108">
        <v>3.1548030303030306</v>
      </c>
      <c r="M13" s="108">
        <v>2.48934632034632</v>
      </c>
      <c r="N13" s="108">
        <v>3.0652359158766482</v>
      </c>
      <c r="O13" s="108">
        <v>4.1762272727272727</v>
      </c>
      <c r="P13" s="107">
        <v>7.6746324143692561</v>
      </c>
      <c r="Q13" s="108">
        <v>4.2984696969696969</v>
      </c>
      <c r="R13" s="108">
        <v>3.7743333333333329</v>
      </c>
      <c r="S13" s="108">
        <v>4.4507471577494462</v>
      </c>
      <c r="T13" s="107">
        <v>16.38340476190476</v>
      </c>
      <c r="U13" s="108">
        <v>3.73510582010582</v>
      </c>
      <c r="V13" s="108">
        <v>2.5674603174603172</v>
      </c>
      <c r="W13" s="109">
        <v>3.3531481481481484</v>
      </c>
      <c r="X13" s="107">
        <v>9.2959398148148136</v>
      </c>
      <c r="Y13" s="108">
        <v>2.5310238095238091</v>
      </c>
      <c r="Z13" s="108">
        <v>2.2908400673400675</v>
      </c>
      <c r="AA13" s="109">
        <v>1.8920833333333331</v>
      </c>
      <c r="AB13" s="107">
        <v>2.3548696401637579</v>
      </c>
      <c r="AC13" s="108">
        <v>1.7357296181630548</v>
      </c>
      <c r="AD13" s="108">
        <v>1.9157013574660635</v>
      </c>
      <c r="AE13" s="109">
        <v>2.8832380952380952</v>
      </c>
      <c r="AF13" s="107">
        <v>3.4834509803921567</v>
      </c>
      <c r="AG13" s="108">
        <v>2.7516361416361419</v>
      </c>
      <c r="AH13" s="108">
        <v>2.5445726495726499</v>
      </c>
      <c r="AI13" s="110">
        <v>3.8021709401709405</v>
      </c>
      <c r="AJ13" s="107">
        <v>6.9967927170868345</v>
      </c>
      <c r="AK13" s="108">
        <v>2.7392719298245614</v>
      </c>
      <c r="AL13" s="108">
        <v>2.9305386655043404</v>
      </c>
      <c r="AM13" s="110">
        <v>3.8108888888888885</v>
      </c>
      <c r="AN13" s="107">
        <v>3.6837723475355055</v>
      </c>
      <c r="AO13" s="108">
        <v>2.2789999999999999</v>
      </c>
      <c r="AP13" s="108">
        <v>1.9821421356421356</v>
      </c>
      <c r="AQ13" s="110">
        <v>2.4285869565217393</v>
      </c>
      <c r="AR13" s="107">
        <v>1.8275952380952381</v>
      </c>
      <c r="AS13" s="108">
        <v>1.4626538461538461</v>
      </c>
      <c r="AT13" s="108">
        <v>1.5115747255840137</v>
      </c>
      <c r="AU13" s="110">
        <v>1.9565904139433552</v>
      </c>
      <c r="AV13" s="107">
        <v>3.5555929038281984</v>
      </c>
      <c r="AW13" s="108">
        <v>2.4023632610939112</v>
      </c>
      <c r="AX13" s="108">
        <v>3.7843899782135075</v>
      </c>
      <c r="AY13" s="110">
        <v>4.4015098039215692</v>
      </c>
      <c r="AZ13" s="107">
        <v>7.0282638888888895</v>
      </c>
      <c r="BA13" s="108">
        <v>6.7390709617180207</v>
      </c>
      <c r="BB13" s="108">
        <v>7.3588967036089796</v>
      </c>
      <c r="BC13" s="110">
        <v>6.5581947496947492</v>
      </c>
      <c r="BD13" s="107">
        <v>3.0667102396514161</v>
      </c>
      <c r="BE13" s="108">
        <v>1.5417025518341305</v>
      </c>
      <c r="BF13" s="108">
        <v>1.5207266050232802</v>
      </c>
      <c r="BG13" s="109">
        <v>1.9699548708372239</v>
      </c>
      <c r="BH13" s="107">
        <v>2.5682352941176472</v>
      </c>
      <c r="BI13" s="108">
        <v>1.6238655462184874</v>
      </c>
      <c r="BJ13" s="108">
        <v>1.4878958333333332</v>
      </c>
      <c r="BK13" s="109">
        <v>2.3916666666666666</v>
      </c>
      <c r="BL13" s="107">
        <v>5.1073333333333331</v>
      </c>
      <c r="BM13" s="108">
        <v>2.2446666666666668</v>
      </c>
      <c r="BN13" s="108">
        <v>2.3813333333333335</v>
      </c>
      <c r="BO13" s="109">
        <v>3.1989999999999998</v>
      </c>
      <c r="BP13" s="107">
        <v>6.0186666666666655</v>
      </c>
      <c r="BQ13" s="108">
        <v>2.4746666666666663</v>
      </c>
      <c r="BR13" s="108">
        <v>2.5796666666666668</v>
      </c>
      <c r="BS13" s="109">
        <v>3.6246666666666667</v>
      </c>
      <c r="BT13" s="107">
        <v>7.5965000000000007</v>
      </c>
      <c r="BU13" s="111"/>
      <c r="BV13" s="111"/>
      <c r="BW13" s="26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</row>
    <row r="14" spans="1:90" x14ac:dyDescent="0.25">
      <c r="A14" s="9"/>
      <c r="B14" s="9"/>
      <c r="C14" s="3" t="s">
        <v>207</v>
      </c>
      <c r="D14" s="3" t="s">
        <v>211</v>
      </c>
      <c r="E14" s="3"/>
      <c r="F14" s="20" t="s">
        <v>193</v>
      </c>
      <c r="G14" s="20" t="s">
        <v>201</v>
      </c>
      <c r="H14" s="107">
        <v>5.9348562166285275</v>
      </c>
      <c r="I14" s="108">
        <v>4.6508217893217898</v>
      </c>
      <c r="J14" s="108">
        <v>4.3783461007591447</v>
      </c>
      <c r="K14" s="109">
        <v>3.6041666666666665</v>
      </c>
      <c r="L14" s="108">
        <v>2.7410303030303034</v>
      </c>
      <c r="M14" s="108">
        <v>2.4442554112554116</v>
      </c>
      <c r="N14" s="108">
        <v>3.0504936253677672</v>
      </c>
      <c r="O14" s="108">
        <v>3.6795507246376808</v>
      </c>
      <c r="P14" s="107">
        <v>4.20609440267335</v>
      </c>
      <c r="Q14" s="108">
        <v>4.1166212121212125</v>
      </c>
      <c r="R14" s="108">
        <v>3.5571969696969696</v>
      </c>
      <c r="S14" s="108">
        <v>3.984519632414369</v>
      </c>
      <c r="T14" s="107">
        <v>13.01753550543024</v>
      </c>
      <c r="U14" s="108">
        <v>3.7079365079365076</v>
      </c>
      <c r="V14" s="108">
        <v>2.4956277056277059</v>
      </c>
      <c r="W14" s="109">
        <v>2.8358465608465608</v>
      </c>
      <c r="X14" s="107">
        <v>6.0171331738436997</v>
      </c>
      <c r="Y14" s="108">
        <v>1.6061428571428571</v>
      </c>
      <c r="Z14" s="108">
        <v>1.3712525252525254</v>
      </c>
      <c r="AA14" s="109">
        <v>1.2871212121212121</v>
      </c>
      <c r="AB14" s="107">
        <v>1.7725518518518519</v>
      </c>
      <c r="AC14" s="108">
        <v>1.5811507936507938</v>
      </c>
      <c r="AD14" s="108">
        <v>1.3120044858523119</v>
      </c>
      <c r="AE14" s="109">
        <v>2.2861507936507937</v>
      </c>
      <c r="AF14" s="107">
        <v>2.9738901601830663</v>
      </c>
      <c r="AG14" s="108">
        <v>2.5220551378446117</v>
      </c>
      <c r="AH14" s="108">
        <v>1.7192185354691076</v>
      </c>
      <c r="AI14" s="110">
        <v>3.1926212121212121</v>
      </c>
      <c r="AJ14" s="107">
        <v>6.0156641604010019</v>
      </c>
      <c r="AK14" s="108">
        <v>2.4090259740259738</v>
      </c>
      <c r="AL14" s="108">
        <v>2.5000937125422253</v>
      </c>
      <c r="AM14" s="110">
        <v>3.6425639730639734</v>
      </c>
      <c r="AN14" s="107">
        <v>3.25344193817878</v>
      </c>
      <c r="AO14" s="108">
        <v>2.2251832611832612</v>
      </c>
      <c r="AP14" s="108">
        <v>1.9095476190476193</v>
      </c>
      <c r="AQ14" s="110">
        <v>2.2938083735909824</v>
      </c>
      <c r="AR14" s="107">
        <v>1.7428317004632794</v>
      </c>
      <c r="AS14" s="108">
        <v>1.4600974025974025</v>
      </c>
      <c r="AT14" s="108">
        <v>1.5030075187969925</v>
      </c>
      <c r="AU14" s="110">
        <v>1.7675609478241057</v>
      </c>
      <c r="AV14" s="107">
        <v>3.2400703109526638</v>
      </c>
      <c r="AW14" s="108">
        <v>2.3486772486772485</v>
      </c>
      <c r="AX14" s="108">
        <v>3.8477224880382774</v>
      </c>
      <c r="AY14" s="110">
        <v>4.3041428571428577</v>
      </c>
      <c r="AZ14" s="107">
        <v>6.4400699062233597</v>
      </c>
      <c r="BA14" s="108">
        <v>6.8098333333333336</v>
      </c>
      <c r="BB14" s="108">
        <v>7.1177207792207797</v>
      </c>
      <c r="BC14" s="110">
        <v>6.0318128654970762</v>
      </c>
      <c r="BD14" s="107">
        <v>3.0377574370709381</v>
      </c>
      <c r="BE14" s="108">
        <v>1.5235207336523127</v>
      </c>
      <c r="BF14" s="108">
        <v>1.4427777777777777</v>
      </c>
      <c r="BG14" s="109">
        <v>1.8748173843700158</v>
      </c>
      <c r="BH14" s="107">
        <v>2.5875494291283765</v>
      </c>
      <c r="BI14" s="108">
        <v>1.5653968253968253</v>
      </c>
      <c r="BJ14" s="108">
        <v>1.5012837301587301</v>
      </c>
      <c r="BK14" s="109">
        <v>2.2823333333333333</v>
      </c>
      <c r="BL14" s="107">
        <v>4.1873333333333331</v>
      </c>
      <c r="BM14" s="108">
        <v>2.3386666666666667</v>
      </c>
      <c r="BN14" s="108">
        <v>2.3426666666666667</v>
      </c>
      <c r="BO14" s="109">
        <v>3.0873333333333335</v>
      </c>
      <c r="BP14" s="107">
        <v>5.1556666666666668</v>
      </c>
      <c r="BQ14" s="108">
        <v>2.4689999999999999</v>
      </c>
      <c r="BR14" s="108">
        <v>2.5266666666666668</v>
      </c>
      <c r="BS14" s="109">
        <v>3.3063333333333333</v>
      </c>
      <c r="BT14" s="107">
        <v>6.4785000000000004</v>
      </c>
      <c r="BU14" s="111"/>
      <c r="BV14" s="111"/>
      <c r="BW14" s="26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</row>
    <row r="15" spans="1:90" x14ac:dyDescent="0.25">
      <c r="A15" s="9"/>
      <c r="B15" s="9" t="s">
        <v>189</v>
      </c>
      <c r="C15" s="3" t="s">
        <v>209</v>
      </c>
      <c r="D15" s="3" t="s">
        <v>211</v>
      </c>
      <c r="E15" s="3"/>
      <c r="F15" s="20" t="s">
        <v>194</v>
      </c>
      <c r="G15" s="20" t="s">
        <v>202</v>
      </c>
      <c r="H15" s="107">
        <v>4.1510964912280697</v>
      </c>
      <c r="I15" s="108">
        <v>4.3884166666666671</v>
      </c>
      <c r="J15" s="108">
        <v>4.2699339774557172</v>
      </c>
      <c r="K15" s="109">
        <v>3.6468502137697185</v>
      </c>
      <c r="L15" s="108">
        <v>2.7653450292397661</v>
      </c>
      <c r="M15" s="108">
        <v>2.5541990597408555</v>
      </c>
      <c r="N15" s="108">
        <v>3.103340961098398</v>
      </c>
      <c r="O15" s="108">
        <v>3.7265631808278865</v>
      </c>
      <c r="P15" s="107">
        <v>3.7505128205128204</v>
      </c>
      <c r="Q15" s="108">
        <v>4.1640333740333739</v>
      </c>
      <c r="R15" s="108">
        <v>3.7889754689754689</v>
      </c>
      <c r="S15" s="108">
        <v>4.0985375816993468</v>
      </c>
      <c r="T15" s="107">
        <v>5.6942765567765568</v>
      </c>
      <c r="U15" s="108">
        <v>4.921271069831441</v>
      </c>
      <c r="V15" s="108">
        <v>4.4586801972250889</v>
      </c>
      <c r="W15" s="109">
        <v>4.0533333333333337</v>
      </c>
      <c r="X15" s="107">
        <v>2.8797916666666663</v>
      </c>
      <c r="Y15" s="108">
        <v>2.8274771241830066</v>
      </c>
      <c r="Z15" s="108">
        <v>3.0173606237816766</v>
      </c>
      <c r="AA15" s="109">
        <v>2.5278095238095237</v>
      </c>
      <c r="AB15" s="107">
        <v>2.1004107142857142</v>
      </c>
      <c r="AC15" s="108">
        <v>2.2015294117647062</v>
      </c>
      <c r="AD15" s="108">
        <v>2.9070022883295192</v>
      </c>
      <c r="AE15" s="109">
        <v>3.0905012531328317</v>
      </c>
      <c r="AF15" s="107">
        <v>3.1735078347578352</v>
      </c>
      <c r="AG15" s="108">
        <v>3.1961571598336302</v>
      </c>
      <c r="AH15" s="108">
        <v>3.2436414754835812</v>
      </c>
      <c r="AI15" s="110">
        <v>4.3624074074074075</v>
      </c>
      <c r="AJ15" s="107">
        <v>3.9392592592592592</v>
      </c>
      <c r="AK15" s="108">
        <v>3.0485558667911605</v>
      </c>
      <c r="AL15" s="108">
        <v>7.8100080515297892</v>
      </c>
      <c r="AM15" s="110">
        <v>6.4929349517584809</v>
      </c>
      <c r="AN15" s="107">
        <v>6.6149945697577275</v>
      </c>
      <c r="AO15" s="108">
        <v>2.6250476190476193</v>
      </c>
      <c r="AP15" s="108">
        <v>3.0233868003341686</v>
      </c>
      <c r="AQ15" s="110">
        <v>4.5981512605042019</v>
      </c>
      <c r="AR15" s="107">
        <v>2.8729365079365081</v>
      </c>
      <c r="AS15" s="108">
        <v>1.8606914344685244</v>
      </c>
      <c r="AT15" s="108">
        <v>3.2028752436647174</v>
      </c>
      <c r="AU15" s="110">
        <v>4.2447896825396825</v>
      </c>
      <c r="AV15" s="107">
        <v>8.3806084656084661</v>
      </c>
      <c r="AW15" s="108">
        <v>3.9471262626262624</v>
      </c>
      <c r="AX15" s="108">
        <v>6.9617460317460313</v>
      </c>
      <c r="AY15" s="110">
        <v>6.4551851851851856</v>
      </c>
      <c r="AZ15" s="107">
        <v>4.9422620137299775</v>
      </c>
      <c r="BA15" s="108">
        <v>7.7492857142857146</v>
      </c>
      <c r="BB15" s="108">
        <v>9.2536304347826093</v>
      </c>
      <c r="BC15" s="110">
        <v>15.486666666666666</v>
      </c>
      <c r="BD15" s="107">
        <v>11.231701754385965</v>
      </c>
      <c r="BE15" s="108">
        <v>4.3497009569377996</v>
      </c>
      <c r="BF15" s="108">
        <v>5.3316552250190696</v>
      </c>
      <c r="BG15" s="109">
        <v>5.8567017543859654</v>
      </c>
      <c r="BH15" s="107">
        <v>3.0664444444444441</v>
      </c>
      <c r="BI15" s="108">
        <v>1.7682486772486774</v>
      </c>
      <c r="BJ15" s="108">
        <v>2.2746842105263156</v>
      </c>
      <c r="BK15" s="109">
        <v>4.0376666666666665</v>
      </c>
      <c r="BL15" s="107">
        <v>5.492</v>
      </c>
      <c r="BM15" s="108">
        <v>3.3130000000000002</v>
      </c>
      <c r="BN15" s="108">
        <v>5.093</v>
      </c>
      <c r="BO15" s="109">
        <v>5.730666666666667</v>
      </c>
      <c r="BP15" s="107">
        <v>6.226</v>
      </c>
      <c r="BQ15" s="108">
        <v>3.6596666666666664</v>
      </c>
      <c r="BR15" s="108">
        <v>5.6186666666666669</v>
      </c>
      <c r="BS15" s="109">
        <v>6.0133333333333328</v>
      </c>
      <c r="BT15" s="107">
        <v>7.6395</v>
      </c>
      <c r="BU15" s="111"/>
      <c r="BV15" s="111"/>
      <c r="BW15" s="26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</row>
    <row r="16" spans="1:90" x14ac:dyDescent="0.25">
      <c r="B16" s="9" t="s">
        <v>23</v>
      </c>
      <c r="C16" s="3" t="s">
        <v>214</v>
      </c>
      <c r="D16" s="3" t="s">
        <v>211</v>
      </c>
      <c r="E16" s="3"/>
      <c r="F16" s="20" t="s">
        <v>196</v>
      </c>
      <c r="G16" s="20" t="s">
        <v>203</v>
      </c>
      <c r="H16" s="107">
        <v>4.1768115942028983</v>
      </c>
      <c r="I16" s="108">
        <v>4.2621306042884983</v>
      </c>
      <c r="J16" s="108">
        <v>4.0428080808080811</v>
      </c>
      <c r="K16" s="109">
        <v>3.2456559454191036</v>
      </c>
      <c r="L16" s="108">
        <v>2.3815574162679427</v>
      </c>
      <c r="M16" s="108">
        <v>2.2313327436237653</v>
      </c>
      <c r="N16" s="108">
        <v>2.803344593367477</v>
      </c>
      <c r="O16" s="108">
        <v>3.3210711500974655</v>
      </c>
      <c r="P16" s="107">
        <v>3.4075355054302428</v>
      </c>
      <c r="Q16" s="108">
        <v>3.9040989729225024</v>
      </c>
      <c r="R16" s="108">
        <v>3.5003106060606064</v>
      </c>
      <c r="S16" s="108">
        <v>3.8005257936507935</v>
      </c>
      <c r="T16" s="107">
        <v>5.6127350427350429</v>
      </c>
      <c r="U16" s="108">
        <v>4.4357560568086889</v>
      </c>
      <c r="V16" s="108">
        <v>3.8639899749373434</v>
      </c>
      <c r="W16" s="109">
        <v>3.6751267482517487</v>
      </c>
      <c r="X16" s="107">
        <v>2.6060805860805858</v>
      </c>
      <c r="Y16" s="108">
        <v>2.5685552115583077</v>
      </c>
      <c r="Z16" s="108">
        <v>2.5668482905982906</v>
      </c>
      <c r="AA16" s="109">
        <v>2.0339999999999998</v>
      </c>
      <c r="AB16" s="107">
        <v>1.8642658797298184</v>
      </c>
      <c r="AC16" s="108">
        <v>1.9726719298245614</v>
      </c>
      <c r="AD16" s="108">
        <v>2.6943817878028402</v>
      </c>
      <c r="AE16" s="109">
        <v>2.8357670217209687</v>
      </c>
      <c r="AF16" s="107">
        <v>2.7629894179894179</v>
      </c>
      <c r="AG16" s="108">
        <v>2.7320202020202018</v>
      </c>
      <c r="AH16" s="108">
        <v>2.6726201372997713</v>
      </c>
      <c r="AI16" s="110">
        <v>2.592789432789433</v>
      </c>
      <c r="AJ16" s="107">
        <v>2.4329991645781117</v>
      </c>
      <c r="AK16" s="108">
        <v>1.9797113997113993</v>
      </c>
      <c r="AL16" s="108">
        <v>1.8668148632450692</v>
      </c>
      <c r="AM16" s="110">
        <v>1.8063550724637683</v>
      </c>
      <c r="AN16" s="107">
        <v>1.407593984962406</v>
      </c>
      <c r="AO16" s="108">
        <v>1.5552207792207784E-2</v>
      </c>
      <c r="AP16" s="108">
        <v>0.9637525252525253</v>
      </c>
      <c r="AQ16" s="110">
        <v>1.2068006973956631</v>
      </c>
      <c r="AR16" s="107">
        <v>0.50464684438368657</v>
      </c>
      <c r="AS16" s="108">
        <v>1.0826296802612592</v>
      </c>
      <c r="AT16" s="108">
        <v>1.2867171717171717</v>
      </c>
      <c r="AU16" s="110">
        <v>1.7541068580542263</v>
      </c>
      <c r="AV16" s="107">
        <v>10.62048817696415</v>
      </c>
      <c r="AW16" s="108">
        <v>2.6656587301587304</v>
      </c>
      <c r="AX16" s="108">
        <v>4.0349299719887952</v>
      </c>
      <c r="AY16" s="110">
        <v>4.2560097465886937</v>
      </c>
      <c r="AZ16" s="107">
        <v>4.1178373205741616</v>
      </c>
      <c r="BA16" s="108">
        <v>6.8159490740740738</v>
      </c>
      <c r="BB16" s="108">
        <v>6.650478642257819</v>
      </c>
      <c r="BC16" s="110">
        <v>3.157833333333333</v>
      </c>
      <c r="BD16" s="107">
        <v>1.6302793880837358</v>
      </c>
      <c r="BE16" s="108">
        <v>1.5245234297865877</v>
      </c>
      <c r="BF16" s="108">
        <v>2.0344412662090008</v>
      </c>
      <c r="BG16" s="109">
        <v>1.515091706539075</v>
      </c>
      <c r="BH16" s="107">
        <v>1.0199523809523809</v>
      </c>
      <c r="BI16" s="108">
        <v>-0.55773208273208275</v>
      </c>
      <c r="BJ16" s="108">
        <v>-0.61562938596491235</v>
      </c>
      <c r="BK16" s="109">
        <v>1.4560000000000002</v>
      </c>
      <c r="BL16" s="107">
        <v>2.5306666666666668</v>
      </c>
      <c r="BM16" s="108">
        <v>1.3113333333333335</v>
      </c>
      <c r="BN16" s="108">
        <v>2.2879999999999998</v>
      </c>
      <c r="BO16" s="109">
        <v>2.2876666666666665</v>
      </c>
      <c r="BP16" s="107">
        <v>3.2290000000000005</v>
      </c>
      <c r="BQ16" s="108">
        <v>1.2489999999999999</v>
      </c>
      <c r="BR16" s="108">
        <v>2.3443333333333332</v>
      </c>
      <c r="BS16" s="109">
        <v>2.9120000000000004</v>
      </c>
      <c r="BT16" s="107">
        <v>4.2059999999999995</v>
      </c>
      <c r="BU16" s="111"/>
      <c r="BV16" s="111"/>
      <c r="BW16" s="26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</row>
    <row r="17" spans="1:90" x14ac:dyDescent="0.25">
      <c r="A17" s="9"/>
      <c r="B17" s="9"/>
      <c r="C17" s="3"/>
      <c r="D17" s="3"/>
      <c r="E17" s="3"/>
      <c r="F17" s="20"/>
      <c r="G17" s="20"/>
      <c r="H17" s="114"/>
      <c r="I17" s="93"/>
      <c r="J17" s="93"/>
      <c r="K17" s="94"/>
      <c r="L17" s="114"/>
      <c r="M17" s="93"/>
      <c r="N17" s="93"/>
      <c r="O17" s="115"/>
      <c r="P17" s="116"/>
      <c r="Q17" s="115"/>
      <c r="R17" s="115"/>
      <c r="S17" s="117"/>
      <c r="T17" s="115"/>
      <c r="U17" s="115"/>
      <c r="V17" s="115"/>
      <c r="W17" s="117"/>
      <c r="X17" s="115"/>
      <c r="Y17" s="118"/>
      <c r="Z17" s="118"/>
      <c r="AA17" s="119"/>
      <c r="AB17" s="115"/>
      <c r="AC17" s="118"/>
      <c r="AD17" s="118"/>
      <c r="AE17" s="119"/>
      <c r="AF17" s="115"/>
      <c r="AG17" s="118"/>
      <c r="AH17" s="118"/>
      <c r="AI17" s="120"/>
      <c r="AJ17" s="115"/>
      <c r="AK17" s="118"/>
      <c r="AL17" s="118"/>
      <c r="AM17" s="120"/>
      <c r="AN17" s="115"/>
      <c r="AO17" s="118"/>
      <c r="AP17" s="118"/>
      <c r="AQ17" s="120"/>
      <c r="AR17" s="118"/>
      <c r="AS17" s="118"/>
      <c r="AT17" s="118"/>
      <c r="AU17" s="120"/>
      <c r="AV17" s="118"/>
      <c r="AW17" s="118"/>
      <c r="AX17" s="118"/>
      <c r="AY17" s="119"/>
      <c r="AZ17" s="118"/>
      <c r="BA17" s="118"/>
      <c r="BB17" s="118"/>
      <c r="BC17" s="119"/>
      <c r="BD17" s="121"/>
      <c r="BE17" s="121"/>
      <c r="BF17" s="121"/>
      <c r="BG17" s="122"/>
      <c r="BH17" s="118"/>
      <c r="BI17" s="118"/>
      <c r="BJ17" s="118"/>
      <c r="BK17" s="119"/>
      <c r="BL17" s="118"/>
      <c r="BM17" s="118"/>
      <c r="BN17" s="118"/>
      <c r="BO17" s="119"/>
      <c r="BP17" s="118"/>
      <c r="BQ17" s="118"/>
      <c r="BR17" s="118"/>
      <c r="BS17" s="36"/>
      <c r="BT17" s="118"/>
      <c r="BU17" s="118"/>
      <c r="BV17" s="118"/>
      <c r="BW17" s="36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</row>
    <row r="18" spans="1:90" x14ac:dyDescent="0.25">
      <c r="A18" s="9"/>
      <c r="B18" s="9"/>
      <c r="C18" s="1" t="s">
        <v>6</v>
      </c>
      <c r="D18" s="41"/>
      <c r="E18" s="41"/>
      <c r="F18" s="78"/>
      <c r="G18" s="78"/>
      <c r="H18" s="107"/>
      <c r="I18" s="108"/>
      <c r="J18" s="108"/>
      <c r="K18" s="109"/>
      <c r="L18" s="107"/>
      <c r="M18" s="108"/>
      <c r="N18" s="108"/>
      <c r="O18" s="111"/>
      <c r="P18" s="113"/>
      <c r="Q18" s="111"/>
      <c r="R18" s="111"/>
      <c r="S18" s="112"/>
      <c r="T18" s="108"/>
      <c r="U18" s="111"/>
      <c r="V18" s="111"/>
      <c r="W18" s="112"/>
      <c r="X18" s="108"/>
      <c r="Y18" s="111"/>
      <c r="Z18" s="111"/>
      <c r="AA18" s="112"/>
      <c r="AB18" s="108"/>
      <c r="AC18" s="111"/>
      <c r="AD18" s="111"/>
      <c r="AE18" s="112"/>
      <c r="AF18" s="108"/>
      <c r="AG18" s="111"/>
      <c r="AH18" s="111"/>
      <c r="AI18" s="110"/>
      <c r="AJ18" s="108"/>
      <c r="AK18" s="111"/>
      <c r="AL18" s="111"/>
      <c r="AM18" s="110"/>
      <c r="AN18" s="108"/>
      <c r="AO18" s="111"/>
      <c r="AP18" s="111"/>
      <c r="AQ18" s="110"/>
      <c r="AR18" s="111"/>
      <c r="AS18" s="111"/>
      <c r="AT18" s="111"/>
      <c r="AU18" s="110"/>
      <c r="AV18" s="111"/>
      <c r="AW18" s="111"/>
      <c r="AX18" s="111"/>
      <c r="AY18" s="112"/>
      <c r="AZ18" s="111"/>
      <c r="BA18" s="111"/>
      <c r="BB18" s="111"/>
      <c r="BC18" s="112"/>
      <c r="BD18" s="108"/>
      <c r="BE18" s="108"/>
      <c r="BF18" s="108"/>
      <c r="BG18" s="109"/>
      <c r="BH18" s="111"/>
      <c r="BI18" s="111"/>
      <c r="BJ18" s="111"/>
      <c r="BK18" s="112"/>
      <c r="BL18" s="111"/>
      <c r="BM18" s="111"/>
      <c r="BN18" s="111"/>
      <c r="BO18" s="112"/>
      <c r="BP18" s="111"/>
      <c r="BQ18" s="111"/>
      <c r="BR18" s="111"/>
      <c r="BS18" s="26"/>
      <c r="BT18" s="111"/>
      <c r="BU18" s="111"/>
      <c r="BV18" s="111"/>
      <c r="BW18" s="26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</row>
    <row r="19" spans="1:90" x14ac:dyDescent="0.25">
      <c r="A19" s="9"/>
      <c r="B19" s="9"/>
      <c r="C19" s="3" t="s">
        <v>7</v>
      </c>
      <c r="D19" s="3"/>
      <c r="E19" s="43"/>
      <c r="F19" s="20" t="s">
        <v>154</v>
      </c>
      <c r="G19" s="20" t="s">
        <v>204</v>
      </c>
      <c r="H19" s="107">
        <v>64.261814699792964</v>
      </c>
      <c r="I19" s="108">
        <v>48.451399711399709</v>
      </c>
      <c r="J19" s="108">
        <v>55.682447204968945</v>
      </c>
      <c r="K19" s="109">
        <v>41.802698412698412</v>
      </c>
      <c r="L19" s="108">
        <v>33.436450216450218</v>
      </c>
      <c r="M19" s="108">
        <v>34.683167388167391</v>
      </c>
      <c r="N19" s="108">
        <v>45.859403218190401</v>
      </c>
      <c r="O19" s="108">
        <v>51.190541062801934</v>
      </c>
      <c r="P19" s="107">
        <v>90.262124098124104</v>
      </c>
      <c r="Q19" s="108">
        <v>45.042560606060611</v>
      </c>
      <c r="R19" s="108">
        <v>53.595606060606059</v>
      </c>
      <c r="S19" s="108">
        <v>68.111500345065565</v>
      </c>
      <c r="T19" s="107">
        <v>167.26323448773448</v>
      </c>
      <c r="U19" s="108">
        <v>44.322907647907648</v>
      </c>
      <c r="V19" s="108">
        <v>41.34440836940837</v>
      </c>
      <c r="W19" s="109">
        <v>48.108688024408849</v>
      </c>
      <c r="X19" s="107">
        <v>88.852404761904765</v>
      </c>
      <c r="Y19" s="108">
        <v>28.405696969696965</v>
      </c>
      <c r="Z19" s="108">
        <v>42.609185645272596</v>
      </c>
      <c r="AA19" s="109">
        <v>33.076696969696968</v>
      </c>
      <c r="AB19" s="107">
        <v>30.818684265010351</v>
      </c>
      <c r="AC19" s="108">
        <v>28.310930735930736</v>
      </c>
      <c r="AD19" s="108">
        <v>42.546305037957211</v>
      </c>
      <c r="AE19" s="109">
        <v>38.683650793650791</v>
      </c>
      <c r="AF19" s="107">
        <v>33.988750988142293</v>
      </c>
      <c r="AG19" s="108">
        <v>33.052062582345194</v>
      </c>
      <c r="AH19" s="108">
        <v>31.319427191166323</v>
      </c>
      <c r="AI19" s="110">
        <v>53.59228715728716</v>
      </c>
      <c r="AJ19" s="107">
        <v>62.105878787878787</v>
      </c>
      <c r="AK19" s="108">
        <v>35.200129870129871</v>
      </c>
      <c r="AL19" s="108">
        <v>42.777876212269803</v>
      </c>
      <c r="AM19" s="110">
        <v>50.515543478260874</v>
      </c>
      <c r="AN19" s="107">
        <v>45.139128427128433</v>
      </c>
      <c r="AO19" s="108">
        <v>26.265075757575758</v>
      </c>
      <c r="AP19" s="108">
        <v>26.538530303030303</v>
      </c>
      <c r="AQ19" s="110">
        <v>37.906817115251897</v>
      </c>
      <c r="AR19" s="107">
        <v>22.767363636363637</v>
      </c>
      <c r="AS19" s="108">
        <v>20.5855</v>
      </c>
      <c r="AT19" s="108">
        <v>26.245106970324361</v>
      </c>
      <c r="AU19" s="110">
        <v>35.536651515151512</v>
      </c>
      <c r="AV19" s="107">
        <v>54.786072463768114</v>
      </c>
      <c r="AW19" s="108">
        <v>32.200803030303028</v>
      </c>
      <c r="AX19" s="108">
        <v>51.16104617604617</v>
      </c>
      <c r="AY19" s="110">
        <v>63.215341614906833</v>
      </c>
      <c r="AZ19" s="107">
        <v>113.85523498964803</v>
      </c>
      <c r="BA19" s="108">
        <v>72.479617604617602</v>
      </c>
      <c r="BB19" s="108">
        <v>92.74165010351966</v>
      </c>
      <c r="BC19" s="110">
        <v>83.254920634920637</v>
      </c>
      <c r="BD19" s="107">
        <v>47.368714285714283</v>
      </c>
      <c r="BE19" s="108">
        <v>31.953181818181818</v>
      </c>
      <c r="BF19" s="108">
        <v>46.396876811594204</v>
      </c>
      <c r="BG19" s="109">
        <v>36.510706349206352</v>
      </c>
      <c r="BH19" s="107">
        <v>42.869077200577202</v>
      </c>
      <c r="BI19" s="108">
        <v>30.965649122807019</v>
      </c>
      <c r="BJ19" s="108">
        <v>49.134868686868685</v>
      </c>
      <c r="BK19" s="109">
        <v>58.616666666666667</v>
      </c>
      <c r="BL19" s="107">
        <v>98.179999999999993</v>
      </c>
      <c r="BM19" s="108">
        <v>45.713333333333331</v>
      </c>
      <c r="BN19" s="108">
        <v>59.176666666666669</v>
      </c>
      <c r="BO19" s="109">
        <v>68.06</v>
      </c>
      <c r="BP19" s="107">
        <v>112.36166666666668</v>
      </c>
      <c r="BQ19" s="108">
        <v>42.986666666666672</v>
      </c>
      <c r="BR19" s="108">
        <v>58.74</v>
      </c>
      <c r="BS19" s="109">
        <v>64.643333333333331</v>
      </c>
      <c r="BT19" s="107">
        <v>128.64750000000001</v>
      </c>
      <c r="BU19" s="111"/>
      <c r="BV19" s="111"/>
      <c r="BW19" s="26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</row>
    <row r="20" spans="1:90" x14ac:dyDescent="0.25">
      <c r="A20" s="9"/>
      <c r="B20" s="9"/>
      <c r="C20" s="3" t="s">
        <v>8</v>
      </c>
      <c r="D20" s="3"/>
      <c r="E20" s="43"/>
      <c r="F20" s="20" t="s">
        <v>100</v>
      </c>
      <c r="G20" s="129"/>
      <c r="H20" s="107">
        <v>41.980467908902689</v>
      </c>
      <c r="I20" s="108">
        <v>41.576847041847039</v>
      </c>
      <c r="J20" s="108">
        <v>46.669384057971023</v>
      </c>
      <c r="K20" s="109">
        <v>36.74666666666667</v>
      </c>
      <c r="L20" s="108">
        <v>30.723773448773454</v>
      </c>
      <c r="M20" s="108">
        <v>32.439307359307357</v>
      </c>
      <c r="N20" s="108">
        <v>41.355761505212307</v>
      </c>
      <c r="O20" s="108">
        <v>38.472494133885441</v>
      </c>
      <c r="P20" s="107">
        <v>43.285911255411257</v>
      </c>
      <c r="Q20" s="108">
        <v>41.646909090909098</v>
      </c>
      <c r="R20" s="108">
        <v>45.858848484848487</v>
      </c>
      <c r="S20" s="108">
        <v>47.910261214630786</v>
      </c>
      <c r="T20" s="107">
        <v>108.08499422799423</v>
      </c>
      <c r="U20" s="108">
        <v>43.684112554112552</v>
      </c>
      <c r="V20" s="108">
        <v>40.412388167388173</v>
      </c>
      <c r="W20" s="109">
        <v>38.023039664378338</v>
      </c>
      <c r="X20" s="107">
        <v>54.109582251082252</v>
      </c>
      <c r="Y20" s="108">
        <v>35.111696969696972</v>
      </c>
      <c r="Z20" s="108">
        <v>36.689744651483785</v>
      </c>
      <c r="AA20" s="109">
        <v>31.554500000000001</v>
      </c>
      <c r="AB20" s="107">
        <v>25.671248102139412</v>
      </c>
      <c r="AC20" s="108">
        <v>34.141831890331893</v>
      </c>
      <c r="AD20" s="108">
        <v>48.019042443064187</v>
      </c>
      <c r="AE20" s="109">
        <v>30.496482873851292</v>
      </c>
      <c r="AF20" s="107">
        <v>29.667526350461131</v>
      </c>
      <c r="AG20" s="108">
        <v>30.653499999999998</v>
      </c>
      <c r="AH20" s="108">
        <v>36.281249137336097</v>
      </c>
      <c r="AI20" s="110">
        <v>30.404813852813856</v>
      </c>
      <c r="AJ20" s="107">
        <v>39.282909090909094</v>
      </c>
      <c r="AK20" s="108">
        <v>38.294617604617606</v>
      </c>
      <c r="AL20" s="108">
        <v>44.524998365478915</v>
      </c>
      <c r="AM20" s="110">
        <v>37.936888888888888</v>
      </c>
      <c r="AN20" s="107">
        <v>35.267098124098119</v>
      </c>
      <c r="AO20" s="108">
        <v>33.407333333333334</v>
      </c>
      <c r="AP20" s="108">
        <v>34.137363636363638</v>
      </c>
      <c r="AQ20" s="110">
        <v>26.557402691511385</v>
      </c>
      <c r="AR20" s="107">
        <v>18.637530303030303</v>
      </c>
      <c r="AS20" s="108">
        <v>21.947348484848487</v>
      </c>
      <c r="AT20" s="108">
        <v>28.154285714285717</v>
      </c>
      <c r="AU20" s="110">
        <v>20.103060606060605</v>
      </c>
      <c r="AV20" s="107">
        <v>29.21854347826087</v>
      </c>
      <c r="AW20" s="108">
        <v>23.365075757575756</v>
      </c>
      <c r="AX20" s="108">
        <v>53.420360028860024</v>
      </c>
      <c r="AY20" s="110">
        <v>47.745741890959287</v>
      </c>
      <c r="AZ20" s="107">
        <v>75.299747757073845</v>
      </c>
      <c r="BA20" s="108">
        <v>51.240404040404037</v>
      </c>
      <c r="BB20" s="108">
        <v>86.642260524499648</v>
      </c>
      <c r="BC20" s="110">
        <v>50.297907407407401</v>
      </c>
      <c r="BD20" s="107">
        <v>25.528353070175438</v>
      </c>
      <c r="BE20" s="108">
        <v>22.73037037037037</v>
      </c>
      <c r="BF20" s="108">
        <v>36.234925925925928</v>
      </c>
      <c r="BG20" s="109">
        <v>30.04837977296182</v>
      </c>
      <c r="BH20" s="107">
        <v>35.580401493930907</v>
      </c>
      <c r="BI20" s="108">
        <v>31.552528138528135</v>
      </c>
      <c r="BJ20" s="108">
        <v>40.931392045454544</v>
      </c>
      <c r="BK20" s="109"/>
      <c r="BL20" s="107"/>
      <c r="BM20" s="108"/>
      <c r="BN20" s="108"/>
      <c r="BO20" s="109"/>
      <c r="BP20" s="107"/>
      <c r="BQ20" s="108"/>
      <c r="BR20" s="108"/>
      <c r="BS20" s="109"/>
      <c r="BT20" s="107"/>
      <c r="BU20" s="111"/>
      <c r="BV20" s="111"/>
      <c r="BW20" s="26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</row>
    <row r="21" spans="1:90" x14ac:dyDescent="0.25">
      <c r="A21" s="9"/>
      <c r="B21" s="9"/>
      <c r="C21" s="3" t="s">
        <v>9</v>
      </c>
      <c r="D21" s="3"/>
      <c r="E21" s="43"/>
      <c r="F21" s="20" t="s">
        <v>101</v>
      </c>
      <c r="G21" s="20" t="s">
        <v>165</v>
      </c>
      <c r="H21" s="107">
        <v>64.48140303657695</v>
      </c>
      <c r="I21" s="108">
        <v>56.089668109668111</v>
      </c>
      <c r="J21" s="108">
        <v>62.900405797101449</v>
      </c>
      <c r="K21" s="109">
        <v>43.0368253968254</v>
      </c>
      <c r="L21" s="108">
        <v>37.28948051948052</v>
      </c>
      <c r="M21" s="108">
        <v>40.025764790764789</v>
      </c>
      <c r="N21" s="108">
        <v>50.224281355562823</v>
      </c>
      <c r="O21" s="108">
        <v>49.23673636991029</v>
      </c>
      <c r="P21" s="107">
        <v>77.433966810966808</v>
      </c>
      <c r="Q21" s="108">
        <v>49.74404545454545</v>
      </c>
      <c r="R21" s="108">
        <v>54.198681818181818</v>
      </c>
      <c r="S21" s="108">
        <v>54.763788819875778</v>
      </c>
      <c r="T21" s="107">
        <v>159.00977922077922</v>
      </c>
      <c r="U21" s="108">
        <v>48.092409812409812</v>
      </c>
      <c r="V21" s="108">
        <v>42.024531024531029</v>
      </c>
      <c r="W21" s="109">
        <v>43.579272935302676</v>
      </c>
      <c r="X21" s="107">
        <v>85.918012265512274</v>
      </c>
      <c r="Y21" s="108">
        <v>34.137909090909091</v>
      </c>
      <c r="Z21" s="108">
        <v>38.173947550034505</v>
      </c>
      <c r="AA21" s="109">
        <v>28.312515151515154</v>
      </c>
      <c r="AB21" s="107">
        <v>32.586247066942718</v>
      </c>
      <c r="AC21" s="108">
        <v>28.680922799422802</v>
      </c>
      <c r="AD21" s="108">
        <v>39.106844030365771</v>
      </c>
      <c r="AE21" s="109">
        <v>36.104026733500419</v>
      </c>
      <c r="AF21" s="107">
        <v>38.695967720685111</v>
      </c>
      <c r="AG21" s="108">
        <v>34.213312252964421</v>
      </c>
      <c r="AH21" s="108">
        <v>33.235438233264318</v>
      </c>
      <c r="AI21" s="110">
        <v>39.014849206349204</v>
      </c>
      <c r="AJ21" s="107">
        <v>51.520893939393943</v>
      </c>
      <c r="AK21" s="108">
        <v>34.242085137085134</v>
      </c>
      <c r="AL21" s="108">
        <v>41.862603247248558</v>
      </c>
      <c r="AM21" s="110">
        <v>41.948980331262938</v>
      </c>
      <c r="AN21" s="107">
        <v>41.769322510822512</v>
      </c>
      <c r="AO21" s="108">
        <v>25.675212121212123</v>
      </c>
      <c r="AP21" s="108">
        <v>27.757590909090908</v>
      </c>
      <c r="AQ21" s="110">
        <v>27.041592477570742</v>
      </c>
      <c r="AR21" s="107">
        <v>21.821515151515154</v>
      </c>
      <c r="AS21" s="108">
        <v>18.12709090909091</v>
      </c>
      <c r="AT21" s="108">
        <v>24.384120082815738</v>
      </c>
      <c r="AU21" s="110">
        <v>27.048060606060606</v>
      </c>
      <c r="AV21" s="107">
        <v>44.74026811594203</v>
      </c>
      <c r="AW21" s="108">
        <v>31.852136363636365</v>
      </c>
      <c r="AX21" s="108">
        <v>50.330430014430021</v>
      </c>
      <c r="AY21" s="110">
        <v>57.53588681849552</v>
      </c>
      <c r="AZ21" s="107">
        <v>100.09894478951001</v>
      </c>
      <c r="BA21" s="108">
        <v>79.721219336219335</v>
      </c>
      <c r="BB21" s="108">
        <v>104.70613354037268</v>
      </c>
      <c r="BC21" s="110">
        <v>78.342851851851847</v>
      </c>
      <c r="BD21" s="107">
        <v>41.14305921052631</v>
      </c>
      <c r="BE21" s="108">
        <v>31.491984126984125</v>
      </c>
      <c r="BF21" s="108">
        <v>40.641259259259265</v>
      </c>
      <c r="BG21" s="109">
        <v>36.158452012383897</v>
      </c>
      <c r="BH21" s="107">
        <v>44.22421101774043</v>
      </c>
      <c r="BI21" s="108">
        <v>33.801184704184699</v>
      </c>
      <c r="BJ21" s="108">
        <v>43.096344696969702</v>
      </c>
      <c r="BK21" s="109">
        <v>46.833333333333336</v>
      </c>
      <c r="BL21" s="107">
        <v>78.429999999999993</v>
      </c>
      <c r="BM21" s="108">
        <v>42.93</v>
      </c>
      <c r="BN21" s="108">
        <v>55.870000000000005</v>
      </c>
      <c r="BO21" s="109">
        <v>55.643333333333338</v>
      </c>
      <c r="BP21" s="107">
        <v>83.22</v>
      </c>
      <c r="BQ21" s="108">
        <v>42.836666666666666</v>
      </c>
      <c r="BR21" s="108">
        <v>59.606666666666662</v>
      </c>
      <c r="BS21" s="109">
        <v>60.16</v>
      </c>
      <c r="BT21" s="107">
        <v>104.64</v>
      </c>
      <c r="BU21" s="111"/>
      <c r="BV21" s="111"/>
      <c r="BW21" s="26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</row>
    <row r="22" spans="1:90" x14ac:dyDescent="0.25">
      <c r="A22" s="9"/>
      <c r="B22" s="9"/>
      <c r="C22" s="3" t="s">
        <v>10</v>
      </c>
      <c r="D22" s="3"/>
      <c r="E22" s="43"/>
      <c r="F22" s="20" t="s">
        <v>102</v>
      </c>
      <c r="G22" s="20" t="s">
        <v>166</v>
      </c>
      <c r="H22" s="107">
        <v>73.556140096618364</v>
      </c>
      <c r="I22" s="108">
        <v>64.667085137085138</v>
      </c>
      <c r="J22" s="108">
        <v>67.94935955831609</v>
      </c>
      <c r="K22" s="109">
        <v>46.534761904761901</v>
      </c>
      <c r="L22" s="108">
        <v>41.882720057720057</v>
      </c>
      <c r="M22" s="108">
        <v>41.838953823953823</v>
      </c>
      <c r="N22" s="108">
        <v>53.598488249609524</v>
      </c>
      <c r="O22" s="108">
        <v>50.661049689440993</v>
      </c>
      <c r="P22" s="107">
        <v>84.797114718614708</v>
      </c>
      <c r="Q22" s="108">
        <v>52.982681818181817</v>
      </c>
      <c r="R22" s="108">
        <v>58.230545454545457</v>
      </c>
      <c r="S22" s="108">
        <v>55.131759489302965</v>
      </c>
      <c r="T22" s="107">
        <v>164.37607503607504</v>
      </c>
      <c r="U22" s="108">
        <v>49.636334776334785</v>
      </c>
      <c r="V22" s="108">
        <v>42.759487734487742</v>
      </c>
      <c r="W22" s="109">
        <v>44.013627002288331</v>
      </c>
      <c r="X22" s="107">
        <v>87.407331168831163</v>
      </c>
      <c r="Y22" s="108">
        <v>35.584196969696968</v>
      </c>
      <c r="Z22" s="108">
        <v>40.172988267770876</v>
      </c>
      <c r="AA22" s="109">
        <v>29.109848484848484</v>
      </c>
      <c r="AB22" s="107">
        <v>33.510411663216011</v>
      </c>
      <c r="AC22" s="108">
        <v>30.481922077922079</v>
      </c>
      <c r="AD22" s="108">
        <v>41.280381297446517</v>
      </c>
      <c r="AE22" s="109">
        <v>37.347777777777772</v>
      </c>
      <c r="AF22" s="107">
        <v>39.614621212121214</v>
      </c>
      <c r="AG22" s="108">
        <v>38.564620553359681</v>
      </c>
      <c r="AH22" s="108">
        <v>37.027860593512763</v>
      </c>
      <c r="AI22" s="110">
        <v>41.110870851370855</v>
      </c>
      <c r="AJ22" s="107">
        <v>61.968030303030311</v>
      </c>
      <c r="AK22" s="108">
        <v>36.411731601731596</v>
      </c>
      <c r="AL22" s="108">
        <v>46.819680723548004</v>
      </c>
      <c r="AM22" s="110">
        <v>43.554357487922708</v>
      </c>
      <c r="AN22" s="107">
        <v>45.156696248196248</v>
      </c>
      <c r="AO22" s="108">
        <v>29.522515151515151</v>
      </c>
      <c r="AP22" s="108">
        <v>31.131</v>
      </c>
      <c r="AQ22" s="110">
        <v>29.108209799861971</v>
      </c>
      <c r="AR22" s="107">
        <v>23.827075757575756</v>
      </c>
      <c r="AS22" s="108">
        <v>19.00539393939394</v>
      </c>
      <c r="AT22" s="108">
        <v>27.317177363699102</v>
      </c>
      <c r="AU22" s="110">
        <v>28.064727272727271</v>
      </c>
      <c r="AV22" s="107">
        <v>47.706318840579712</v>
      </c>
      <c r="AW22" s="108">
        <v>32.653666666666673</v>
      </c>
      <c r="AX22" s="108">
        <v>54.727503607503614</v>
      </c>
      <c r="AY22" s="110">
        <v>59.742104899930986</v>
      </c>
      <c r="AZ22" s="107">
        <v>104.26352795031056</v>
      </c>
      <c r="BA22" s="108">
        <v>81.323484848484853</v>
      </c>
      <c r="BB22" s="108">
        <v>109.42810282953762</v>
      </c>
      <c r="BC22" s="110">
        <v>80.573870370370372</v>
      </c>
      <c r="BD22" s="107">
        <v>41.633263157894739</v>
      </c>
      <c r="BE22" s="108">
        <v>32.185793650793649</v>
      </c>
      <c r="BF22" s="108">
        <v>42.12811111111111</v>
      </c>
      <c r="BG22" s="109">
        <v>37.348132094943239</v>
      </c>
      <c r="BH22" s="107">
        <v>49.230323685029568</v>
      </c>
      <c r="BI22" s="108">
        <v>35.921354256854258</v>
      </c>
      <c r="BJ22" s="108">
        <v>44.654507575757577</v>
      </c>
      <c r="BK22" s="109">
        <v>49.800000000000004</v>
      </c>
      <c r="BL22" s="107">
        <v>83.463333333333324</v>
      </c>
      <c r="BM22" s="108">
        <v>45.086666666666666</v>
      </c>
      <c r="BN22" s="108">
        <v>61.72</v>
      </c>
      <c r="BO22" s="109">
        <v>60.776666666666664</v>
      </c>
      <c r="BP22" s="107">
        <v>99.094999999999985</v>
      </c>
      <c r="BQ22" s="108">
        <v>46.653333333333336</v>
      </c>
      <c r="BR22" s="108">
        <v>64.723333333333329</v>
      </c>
      <c r="BS22" s="109">
        <v>62.785000000000004</v>
      </c>
      <c r="BT22" s="107">
        <v>122.4425</v>
      </c>
      <c r="BU22" s="111"/>
      <c r="BV22" s="111"/>
      <c r="BW22" s="26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</row>
    <row r="23" spans="1:90" x14ac:dyDescent="0.25">
      <c r="A23" s="9"/>
      <c r="B23" s="9"/>
      <c r="C23" s="3" t="s">
        <v>11</v>
      </c>
      <c r="D23" s="3"/>
      <c r="F23" s="20" t="s">
        <v>79</v>
      </c>
      <c r="G23" s="20" t="s">
        <v>167</v>
      </c>
      <c r="H23" s="107">
        <v>51.27090372670807</v>
      </c>
      <c r="I23" s="108">
        <v>56.439653679653681</v>
      </c>
      <c r="J23" s="108">
        <v>58.105723257418909</v>
      </c>
      <c r="K23" s="109">
        <v>39.969365079365076</v>
      </c>
      <c r="L23" s="108">
        <v>34.78308802308802</v>
      </c>
      <c r="M23" s="108">
        <v>38.892777777777773</v>
      </c>
      <c r="N23" s="108">
        <v>45.374590824888308</v>
      </c>
      <c r="O23" s="108">
        <v>40.347825741890965</v>
      </c>
      <c r="P23" s="107">
        <v>41.670032467532472</v>
      </c>
      <c r="Q23" s="108">
        <v>46.203499999999998</v>
      </c>
      <c r="R23" s="108">
        <v>49.806939393939388</v>
      </c>
      <c r="S23" s="108">
        <v>42.919132160110422</v>
      </c>
      <c r="T23" s="107">
        <v>114.74184848484849</v>
      </c>
      <c r="U23" s="108">
        <v>50.709199134199139</v>
      </c>
      <c r="V23" s="108">
        <v>43.177561327561328</v>
      </c>
      <c r="W23" s="109">
        <v>42.197912766104984</v>
      </c>
      <c r="X23" s="107">
        <v>60.227598845598841</v>
      </c>
      <c r="Y23" s="108">
        <v>40.458393939393943</v>
      </c>
      <c r="Z23" s="108">
        <v>39.136404416839206</v>
      </c>
      <c r="AA23" s="109">
        <v>33.018803030303033</v>
      </c>
      <c r="AB23" s="107">
        <v>31.494762249827463</v>
      </c>
      <c r="AC23" s="108">
        <v>32.066955266955269</v>
      </c>
      <c r="AD23" s="108">
        <v>40.74319875776397</v>
      </c>
      <c r="AE23" s="109">
        <v>34.308095238095241</v>
      </c>
      <c r="AF23" s="107">
        <v>32.455206851119897</v>
      </c>
      <c r="AG23" s="108">
        <v>33.088938076416333</v>
      </c>
      <c r="AH23" s="108">
        <v>34.819861973775012</v>
      </c>
      <c r="AI23" s="110">
        <v>36.268412698412696</v>
      </c>
      <c r="AJ23" s="107">
        <v>47.433984848484847</v>
      </c>
      <c r="AK23" s="108">
        <v>39.731782106782106</v>
      </c>
      <c r="AL23" s="108">
        <v>40.059399585921327</v>
      </c>
      <c r="AM23" s="110">
        <v>39.402772946859905</v>
      </c>
      <c r="AN23" s="107">
        <v>33.790931457431455</v>
      </c>
      <c r="AO23" s="108">
        <v>28.541227272727269</v>
      </c>
      <c r="AP23" s="108">
        <v>31.143575757575757</v>
      </c>
      <c r="AQ23" s="110">
        <v>29.892982746721874</v>
      </c>
      <c r="AR23" s="107">
        <v>22.47369696969697</v>
      </c>
      <c r="AS23" s="108">
        <v>20.791257575757577</v>
      </c>
      <c r="AT23" s="108">
        <v>28.243802622498276</v>
      </c>
      <c r="AU23" s="110">
        <v>26.435606060606062</v>
      </c>
      <c r="AV23" s="107">
        <v>35.087623188405793</v>
      </c>
      <c r="AW23" s="108">
        <v>33.709833333333336</v>
      </c>
      <c r="AX23" s="108">
        <v>51.324776334776338</v>
      </c>
      <c r="AY23" s="110">
        <v>62.574623878536926</v>
      </c>
      <c r="AZ23" s="107">
        <v>58.327188405797102</v>
      </c>
      <c r="BA23" s="108">
        <v>92.998672438672429</v>
      </c>
      <c r="BB23" s="108">
        <v>110.99512870945479</v>
      </c>
      <c r="BC23" s="110">
        <v>71.602380952380955</v>
      </c>
      <c r="BD23" s="107">
        <v>36.491502760524497</v>
      </c>
      <c r="BE23" s="108">
        <v>35.406727272727274</v>
      </c>
      <c r="BF23" s="108">
        <v>43.272579710144925</v>
      </c>
      <c r="BG23" s="109">
        <v>42.17084704184704</v>
      </c>
      <c r="BH23" s="107">
        <v>35.756594516594511</v>
      </c>
      <c r="BI23" s="108">
        <v>37.93309941520468</v>
      </c>
      <c r="BJ23" s="108">
        <v>49.105397727272724</v>
      </c>
      <c r="BK23" s="109">
        <v>44.316666666666663</v>
      </c>
      <c r="BL23" s="107">
        <v>56.663333333333334</v>
      </c>
      <c r="BM23" s="108">
        <v>46.813333333333333</v>
      </c>
      <c r="BN23" s="108">
        <v>60.553333333333335</v>
      </c>
      <c r="BO23" s="109">
        <v>50.800000000000004</v>
      </c>
      <c r="BP23" s="107">
        <v>63.086666666666666</v>
      </c>
      <c r="BQ23" s="108">
        <v>48.666666666666664</v>
      </c>
      <c r="BR23" s="108">
        <v>65.56</v>
      </c>
      <c r="BS23" s="109">
        <v>52.879999999999995</v>
      </c>
      <c r="BT23" s="107">
        <v>72.702500000000001</v>
      </c>
      <c r="BU23" s="111"/>
      <c r="BV23" s="111"/>
      <c r="BW23" s="26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</row>
    <row r="24" spans="1:90" x14ac:dyDescent="0.25">
      <c r="A24" s="9"/>
      <c r="B24" s="9"/>
      <c r="C24" s="3" t="s">
        <v>12</v>
      </c>
      <c r="D24" s="3"/>
      <c r="E24" s="43"/>
      <c r="F24" s="20" t="s">
        <v>80</v>
      </c>
      <c r="G24" s="20" t="s">
        <v>220</v>
      </c>
      <c r="H24" s="107">
        <v>60.038860593512766</v>
      </c>
      <c r="I24" s="108">
        <v>61.076428571428572</v>
      </c>
      <c r="J24" s="108">
        <v>68.60598792270531</v>
      </c>
      <c r="K24" s="109">
        <v>42.19</v>
      </c>
      <c r="L24" s="108">
        <v>38.409927849927847</v>
      </c>
      <c r="M24" s="108">
        <v>38.276053391053388</v>
      </c>
      <c r="N24" s="108">
        <v>52.984506556245684</v>
      </c>
      <c r="O24" s="108">
        <v>44.961078674948233</v>
      </c>
      <c r="P24" s="107">
        <v>42.943458152958158</v>
      </c>
      <c r="Q24" s="108">
        <v>48.497484848484845</v>
      </c>
      <c r="R24" s="108">
        <v>56.063818181818185</v>
      </c>
      <c r="S24" s="108">
        <v>44.350704968944093</v>
      </c>
      <c r="T24" s="107">
        <v>138.28597763347764</v>
      </c>
      <c r="U24" s="108">
        <v>54.009357864357867</v>
      </c>
      <c r="V24" s="108">
        <v>47.299444444444447</v>
      </c>
      <c r="W24" s="109">
        <v>51.029115872685672</v>
      </c>
      <c r="X24" s="107">
        <v>75.413528860028862</v>
      </c>
      <c r="Y24" s="108">
        <v>40.366500000000002</v>
      </c>
      <c r="Z24" s="108">
        <v>39.09053830227743</v>
      </c>
      <c r="AA24" s="109">
        <v>32.495030303030298</v>
      </c>
      <c r="AB24" s="107">
        <v>33.267191856452726</v>
      </c>
      <c r="AC24" s="108">
        <v>28.69549062049062</v>
      </c>
      <c r="AD24" s="108">
        <v>44.272330917874399</v>
      </c>
      <c r="AE24" s="109">
        <v>30.098253968253971</v>
      </c>
      <c r="AF24" s="107">
        <v>34.495299077733861</v>
      </c>
      <c r="AG24" s="108">
        <v>32.731915678524373</v>
      </c>
      <c r="AH24" s="108">
        <v>33.80177363699103</v>
      </c>
      <c r="AI24" s="110">
        <v>38.346428571428568</v>
      </c>
      <c r="AJ24" s="107">
        <v>50.604560606060609</v>
      </c>
      <c r="AK24" s="108">
        <v>35.204357864357867</v>
      </c>
      <c r="AL24" s="108">
        <v>43.61328756674294</v>
      </c>
      <c r="AM24" s="110">
        <v>45.325698412698408</v>
      </c>
      <c r="AN24" s="107">
        <v>33.259286435786436</v>
      </c>
      <c r="AO24" s="108">
        <v>25.786363636363635</v>
      </c>
      <c r="AP24" s="108">
        <v>31.10201515151515</v>
      </c>
      <c r="AQ24" s="110">
        <v>25.176485162180814</v>
      </c>
      <c r="AR24" s="107">
        <v>20.234681818181816</v>
      </c>
      <c r="AS24" s="108">
        <v>18.02240909090909</v>
      </c>
      <c r="AT24" s="108">
        <v>26.865845410628015</v>
      </c>
      <c r="AU24" s="110">
        <v>24.419075757575758</v>
      </c>
      <c r="AV24" s="107">
        <v>36.663985507246373</v>
      </c>
      <c r="AW24" s="108">
        <v>28.912606060606063</v>
      </c>
      <c r="AX24" s="108">
        <v>48.283932178932183</v>
      </c>
      <c r="AY24" s="110">
        <v>51.524962042788125</v>
      </c>
      <c r="AZ24" s="107">
        <v>56.801347826086953</v>
      </c>
      <c r="BA24" s="108">
        <v>67.66518037518037</v>
      </c>
      <c r="BB24" s="108">
        <v>106.67130676328502</v>
      </c>
      <c r="BC24" s="110">
        <v>66.262380952380951</v>
      </c>
      <c r="BD24" s="107">
        <v>31.476942374051067</v>
      </c>
      <c r="BE24" s="108">
        <v>23.077818181818184</v>
      </c>
      <c r="BF24" s="108">
        <v>44.252884057971016</v>
      </c>
      <c r="BG24" s="109">
        <v>31.776874458874456</v>
      </c>
      <c r="BH24" s="107">
        <v>30.818838383838383</v>
      </c>
      <c r="BI24" s="108">
        <v>30.048579782790309</v>
      </c>
      <c r="BJ24" s="108">
        <v>54.4665340909091</v>
      </c>
      <c r="BK24" s="109">
        <v>44.266666666666673</v>
      </c>
      <c r="BL24" s="107">
        <v>61.529999999999994</v>
      </c>
      <c r="BM24" s="108">
        <v>45.27</v>
      </c>
      <c r="BN24" s="108">
        <v>62.086666666666666</v>
      </c>
      <c r="BO24" s="109">
        <v>49.839999999999996</v>
      </c>
      <c r="BP24" s="107">
        <v>67.22</v>
      </c>
      <c r="BQ24" s="108">
        <v>48.373333333333335</v>
      </c>
      <c r="BR24" s="108">
        <v>65.623333333333335</v>
      </c>
      <c r="BS24" s="109">
        <v>53.07</v>
      </c>
      <c r="BT24" s="107">
        <v>78.042500000000004</v>
      </c>
      <c r="BU24" s="111"/>
      <c r="BV24" s="111"/>
      <c r="BW24" s="26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</row>
    <row r="25" spans="1:90" x14ac:dyDescent="0.25">
      <c r="A25" s="9"/>
      <c r="B25" s="44"/>
      <c r="C25" s="3" t="s">
        <v>13</v>
      </c>
      <c r="D25" s="3"/>
      <c r="E25" s="43"/>
      <c r="F25" s="20" t="s">
        <v>155</v>
      </c>
      <c r="G25" s="20" t="s">
        <v>197</v>
      </c>
      <c r="H25" s="107">
        <v>41.477703933747414</v>
      </c>
      <c r="I25" s="108">
        <v>51.111334776334779</v>
      </c>
      <c r="J25" s="108">
        <v>50.570670462387852</v>
      </c>
      <c r="K25" s="109">
        <v>37.411269841269842</v>
      </c>
      <c r="L25" s="108">
        <v>32.13608225108225</v>
      </c>
      <c r="M25" s="108">
        <v>34.642936507936504</v>
      </c>
      <c r="N25" s="108">
        <v>44.680429697431983</v>
      </c>
      <c r="O25" s="108">
        <v>37.916310904071771</v>
      </c>
      <c r="P25" s="107">
        <v>37.994575757575753</v>
      </c>
      <c r="Q25" s="108">
        <v>41.748030303030298</v>
      </c>
      <c r="R25" s="108">
        <v>41.622787878787875</v>
      </c>
      <c r="S25" s="108">
        <v>35.971644237405108</v>
      </c>
      <c r="T25" s="107">
        <v>78.824140692640697</v>
      </c>
      <c r="U25" s="108">
        <v>50.581370851370849</v>
      </c>
      <c r="V25" s="108">
        <v>38.233787878787872</v>
      </c>
      <c r="W25" s="109">
        <v>39.960312391651065</v>
      </c>
      <c r="X25" s="107">
        <v>43.021378787878781</v>
      </c>
      <c r="Y25" s="108">
        <v>36.749893939393935</v>
      </c>
      <c r="Z25" s="108">
        <v>35.821697722567286</v>
      </c>
      <c r="AA25" s="109">
        <v>30.850651515151515</v>
      </c>
      <c r="AB25" s="107">
        <v>27.572697722567288</v>
      </c>
      <c r="AC25" s="108">
        <v>31.32154401154401</v>
      </c>
      <c r="AD25" s="108">
        <v>37.669118357487925</v>
      </c>
      <c r="AE25" s="109">
        <v>32.359158730158732</v>
      </c>
      <c r="AF25" s="107">
        <v>30.837390645586297</v>
      </c>
      <c r="AG25" s="108">
        <v>32.80940447957839</v>
      </c>
      <c r="AH25" s="108">
        <v>36.507957211870256</v>
      </c>
      <c r="AI25" s="110">
        <v>31.797301587301586</v>
      </c>
      <c r="AJ25" s="107">
        <v>39.17881818181818</v>
      </c>
      <c r="AK25" s="108">
        <v>41.729451659451662</v>
      </c>
      <c r="AL25" s="108">
        <v>39.543889070502338</v>
      </c>
      <c r="AM25" s="110">
        <v>38.225219461697726</v>
      </c>
      <c r="AN25" s="107">
        <v>31.360538961038959</v>
      </c>
      <c r="AO25" s="108">
        <v>27.771484848484846</v>
      </c>
      <c r="AP25" s="108">
        <v>33.598060606060606</v>
      </c>
      <c r="AQ25" s="110">
        <v>30.86594237405107</v>
      </c>
      <c r="AR25" s="107">
        <v>22.04157575757576</v>
      </c>
      <c r="AS25" s="108">
        <v>22.022848484848485</v>
      </c>
      <c r="AT25" s="108">
        <v>28.668129744651484</v>
      </c>
      <c r="AU25" s="110">
        <v>26.331515151515152</v>
      </c>
      <c r="AV25" s="107">
        <v>34.913014492753625</v>
      </c>
      <c r="AW25" s="108">
        <v>35.846378787878791</v>
      </c>
      <c r="AX25" s="108">
        <v>50.685129870129877</v>
      </c>
      <c r="AY25" s="110">
        <v>60.238046928916496</v>
      </c>
      <c r="AZ25" s="107">
        <v>47.255189786059354</v>
      </c>
      <c r="BA25" s="108">
        <v>97.48339105339106</v>
      </c>
      <c r="BB25" s="108">
        <v>102.72623119392684</v>
      </c>
      <c r="BC25" s="110">
        <v>77.582595238095237</v>
      </c>
      <c r="BD25" s="107">
        <v>32.010147342995168</v>
      </c>
      <c r="BE25" s="108">
        <v>33.18275757575757</v>
      </c>
      <c r="BF25" s="108">
        <v>37.904289855072463</v>
      </c>
      <c r="BG25" s="109">
        <v>35.394136363636363</v>
      </c>
      <c r="BH25" s="107">
        <v>31.18077200577201</v>
      </c>
      <c r="BI25" s="108">
        <v>36.079448621553887</v>
      </c>
      <c r="BJ25" s="108">
        <v>40.072535353535358</v>
      </c>
      <c r="BK25" s="109">
        <v>41.64</v>
      </c>
      <c r="BL25" s="107">
        <v>51.07</v>
      </c>
      <c r="BM25" s="108">
        <v>44.49</v>
      </c>
      <c r="BN25" s="108">
        <v>58.610000000000007</v>
      </c>
      <c r="BO25" s="109">
        <v>45.983333333333327</v>
      </c>
      <c r="BP25" s="107">
        <v>54.603333333333332</v>
      </c>
      <c r="BQ25" s="108">
        <v>45.23</v>
      </c>
      <c r="BR25" s="108">
        <v>61.49</v>
      </c>
      <c r="BS25" s="109">
        <v>48.673333333333339</v>
      </c>
      <c r="BT25" s="107">
        <v>62.424999999999997</v>
      </c>
      <c r="BU25" s="111"/>
      <c r="BV25" s="111"/>
      <c r="BW25" s="26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</row>
    <row r="26" spans="1:90" x14ac:dyDescent="0.25">
      <c r="A26" s="9"/>
      <c r="B26" s="9"/>
      <c r="C26" s="3" t="s">
        <v>14</v>
      </c>
      <c r="D26" s="3"/>
      <c r="E26" s="43"/>
      <c r="F26" s="20" t="s">
        <v>156</v>
      </c>
      <c r="G26" s="129"/>
      <c r="H26" s="107">
        <v>41.516337129054527</v>
      </c>
      <c r="I26" s="108">
        <v>51.003665223665223</v>
      </c>
      <c r="J26" s="108">
        <v>50.528297101449276</v>
      </c>
      <c r="K26" s="109">
        <v>37.525238095238102</v>
      </c>
      <c r="L26" s="108">
        <v>32.203585858585861</v>
      </c>
      <c r="M26" s="108">
        <v>34.758917748917746</v>
      </c>
      <c r="N26" s="108">
        <v>44.979153681304716</v>
      </c>
      <c r="O26" s="108">
        <v>38.03149206349206</v>
      </c>
      <c r="P26" s="107">
        <v>37.709235930735929</v>
      </c>
      <c r="Q26" s="108">
        <v>41.92671212121212</v>
      </c>
      <c r="R26" s="108">
        <v>41.777878787878791</v>
      </c>
      <c r="S26" s="108">
        <v>36.056928571428564</v>
      </c>
      <c r="T26" s="107">
        <v>78.780328282828279</v>
      </c>
      <c r="U26" s="108">
        <v>50.701883116883117</v>
      </c>
      <c r="V26" s="108">
        <v>38.223997113997115</v>
      </c>
      <c r="W26" s="109">
        <v>39.031110186533532</v>
      </c>
      <c r="X26" s="107">
        <v>42.912969696969697</v>
      </c>
      <c r="Y26" s="108">
        <v>35.534318181818186</v>
      </c>
      <c r="Z26" s="108">
        <v>35.173816425120776</v>
      </c>
      <c r="AA26" s="109">
        <v>30.812878787878788</v>
      </c>
      <c r="AB26" s="107">
        <v>27.35601207729469</v>
      </c>
      <c r="AC26" s="108">
        <v>31.579184704184701</v>
      </c>
      <c r="AD26" s="108">
        <v>38.289080745341614</v>
      </c>
      <c r="AE26" s="109">
        <v>32.371603174603173</v>
      </c>
      <c r="AF26" s="107">
        <v>30.923540184453227</v>
      </c>
      <c r="AG26" s="108">
        <v>32.981293807641634</v>
      </c>
      <c r="AH26" s="108">
        <v>36.775514147688064</v>
      </c>
      <c r="AI26" s="110">
        <v>31.728571428571428</v>
      </c>
      <c r="AJ26" s="107">
        <v>38.090348484848484</v>
      </c>
      <c r="AK26" s="108">
        <v>42.093210678210674</v>
      </c>
      <c r="AL26" s="108">
        <v>39.559142058043655</v>
      </c>
      <c r="AM26" s="110">
        <v>38.561378881987572</v>
      </c>
      <c r="AN26" s="107">
        <v>31.418778499278499</v>
      </c>
      <c r="AO26" s="108">
        <v>27.869136363636368</v>
      </c>
      <c r="AP26" s="108">
        <v>33.960454545454546</v>
      </c>
      <c r="AQ26" s="110">
        <v>31.059381642512079</v>
      </c>
      <c r="AR26" s="107">
        <v>22.083484848484847</v>
      </c>
      <c r="AS26" s="108">
        <v>22.041227272727273</v>
      </c>
      <c r="AT26" s="108">
        <v>29.028005521049</v>
      </c>
      <c r="AU26" s="110">
        <v>26.365469696969697</v>
      </c>
      <c r="AV26" s="107">
        <v>35.314586956521737</v>
      </c>
      <c r="AW26" s="108">
        <v>36.364303030303027</v>
      </c>
      <c r="AX26" s="108">
        <v>50.87348484848485</v>
      </c>
      <c r="AY26" s="110">
        <v>59.594313319530706</v>
      </c>
      <c r="AZ26" s="107">
        <v>47.194444789510008</v>
      </c>
      <c r="BA26" s="108">
        <v>97.687164502164492</v>
      </c>
      <c r="BB26" s="108">
        <v>102.836099378882</v>
      </c>
      <c r="BC26" s="110">
        <v>77.191571428571422</v>
      </c>
      <c r="BD26" s="107">
        <v>31.936837129054524</v>
      </c>
      <c r="BE26" s="108">
        <v>33.121454545454547</v>
      </c>
      <c r="BF26" s="108">
        <v>38.017985507246379</v>
      </c>
      <c r="BG26" s="109">
        <v>35.225163059163059</v>
      </c>
      <c r="BH26" s="107">
        <v>31.263795093795096</v>
      </c>
      <c r="BI26" s="108">
        <v>35.992430659983292</v>
      </c>
      <c r="BJ26" s="108">
        <v>41.375439393939395</v>
      </c>
      <c r="BK26" s="109"/>
      <c r="BL26" s="107"/>
      <c r="BM26" s="108"/>
      <c r="BN26" s="108"/>
      <c r="BO26" s="109"/>
      <c r="BP26" s="107"/>
      <c r="BQ26" s="108"/>
      <c r="BR26" s="108"/>
      <c r="BS26" s="109"/>
      <c r="BT26" s="107"/>
      <c r="BU26" s="111"/>
      <c r="BV26" s="111"/>
      <c r="BW26" s="26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</row>
    <row r="27" spans="1:90" x14ac:dyDescent="0.25">
      <c r="A27" s="9"/>
      <c r="B27" s="9"/>
      <c r="C27" s="3" t="s">
        <v>15</v>
      </c>
      <c r="D27" s="3"/>
      <c r="E27" s="43"/>
      <c r="F27" s="20" t="s">
        <v>81</v>
      </c>
      <c r="G27" s="20" t="s">
        <v>221</v>
      </c>
      <c r="H27" s="107">
        <v>39.149719116632156</v>
      </c>
      <c r="I27" s="108">
        <v>44.289992784992783</v>
      </c>
      <c r="J27" s="108">
        <v>48.257132850241554</v>
      </c>
      <c r="K27" s="109">
        <v>33.157301587301589</v>
      </c>
      <c r="L27" s="108">
        <v>29.963383838383837</v>
      </c>
      <c r="M27" s="108">
        <v>31.673809523809524</v>
      </c>
      <c r="N27" s="108">
        <v>40.457831172133233</v>
      </c>
      <c r="O27" s="108">
        <v>33.73277536231884</v>
      </c>
      <c r="P27" s="107">
        <v>34.836639971139967</v>
      </c>
      <c r="Q27" s="108">
        <v>39.918954545454547</v>
      </c>
      <c r="R27" s="108">
        <v>43.037636363636359</v>
      </c>
      <c r="S27" s="108">
        <v>35.486336438923395</v>
      </c>
      <c r="T27" s="107">
        <v>81.242036075036083</v>
      </c>
      <c r="U27" s="108">
        <v>46.02251803751804</v>
      </c>
      <c r="V27" s="108">
        <v>37.579292929292933</v>
      </c>
      <c r="W27" s="109">
        <v>37.544140836280427</v>
      </c>
      <c r="X27" s="107">
        <v>40.826035353535353</v>
      </c>
      <c r="Y27" s="108">
        <v>31.46827272727273</v>
      </c>
      <c r="Z27" s="108">
        <v>34.027646652864043</v>
      </c>
      <c r="AA27" s="109">
        <v>29.597893939393941</v>
      </c>
      <c r="AB27" s="107">
        <v>27.347407522429261</v>
      </c>
      <c r="AC27" s="108">
        <v>28.873650793650793</v>
      </c>
      <c r="AD27" s="108">
        <v>38.4082325741891</v>
      </c>
      <c r="AE27" s="109">
        <v>33.278888888888893</v>
      </c>
      <c r="AF27" s="107">
        <v>30.218631093544136</v>
      </c>
      <c r="AG27" s="108">
        <v>33.040204874835311</v>
      </c>
      <c r="AH27" s="108">
        <v>33.738778467908901</v>
      </c>
      <c r="AI27" s="110">
        <v>31.411666666666665</v>
      </c>
      <c r="AJ27" s="107">
        <v>33.006333333333338</v>
      </c>
      <c r="AK27" s="108">
        <v>31.761998556998559</v>
      </c>
      <c r="AL27" s="108">
        <v>37.068036032109255</v>
      </c>
      <c r="AM27" s="110">
        <v>35.916752933057282</v>
      </c>
      <c r="AN27" s="107">
        <v>29.855972582972583</v>
      </c>
      <c r="AO27" s="108">
        <v>26.692166666666665</v>
      </c>
      <c r="AP27" s="108">
        <v>29.7195</v>
      </c>
      <c r="AQ27" s="110">
        <v>26.290545893719809</v>
      </c>
      <c r="AR27" s="107">
        <v>21.225636363636365</v>
      </c>
      <c r="AS27" s="108">
        <v>19.248469696969696</v>
      </c>
      <c r="AT27" s="108">
        <v>25.72711525189786</v>
      </c>
      <c r="AU27" s="110">
        <v>23.487863636363638</v>
      </c>
      <c r="AV27" s="107">
        <v>33.439934782608695</v>
      </c>
      <c r="AW27" s="108">
        <v>32.027560606060604</v>
      </c>
      <c r="AX27" s="108">
        <v>48.150252525252519</v>
      </c>
      <c r="AY27" s="110">
        <v>51.339178743961348</v>
      </c>
      <c r="AZ27" s="107">
        <v>44.504634230503797</v>
      </c>
      <c r="BA27" s="108">
        <v>84.620129870129873</v>
      </c>
      <c r="BB27" s="108">
        <v>100.40994271911664</v>
      </c>
      <c r="BC27" s="110">
        <v>56.758095238095244</v>
      </c>
      <c r="BD27" s="107">
        <v>29.667887853692203</v>
      </c>
      <c r="BE27" s="108">
        <v>29.926060606060606</v>
      </c>
      <c r="BF27" s="108">
        <v>39.517246376811592</v>
      </c>
      <c r="BG27" s="109">
        <v>31.641214285714284</v>
      </c>
      <c r="BH27" s="107">
        <v>30.082546897546894</v>
      </c>
      <c r="BI27" s="108">
        <v>29.382673350041774</v>
      </c>
      <c r="BJ27" s="108">
        <v>34.452613636363637</v>
      </c>
      <c r="BK27" s="109">
        <v>35.316666666666663</v>
      </c>
      <c r="BL27" s="107">
        <v>45.633333333333333</v>
      </c>
      <c r="BM27" s="108">
        <v>39.313333333333333</v>
      </c>
      <c r="BN27" s="108">
        <v>53.706666666666671</v>
      </c>
      <c r="BO27" s="109">
        <v>40.090000000000003</v>
      </c>
      <c r="BP27" s="107">
        <v>48.936666666666667</v>
      </c>
      <c r="BQ27" s="108">
        <v>39.676666666666669</v>
      </c>
      <c r="BR27" s="108">
        <v>55.573333333333331</v>
      </c>
      <c r="BS27" s="109">
        <v>42.09</v>
      </c>
      <c r="BT27" s="107">
        <v>57.032499999999999</v>
      </c>
      <c r="BU27" s="111"/>
      <c r="BV27" s="111"/>
      <c r="BW27" s="26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</row>
    <row r="28" spans="1:90" x14ac:dyDescent="0.25">
      <c r="A28" s="9"/>
      <c r="B28" s="9"/>
      <c r="C28" s="3" t="s">
        <v>16</v>
      </c>
      <c r="D28" s="3"/>
      <c r="E28" s="43"/>
      <c r="F28" s="20" t="s">
        <v>75</v>
      </c>
      <c r="G28" s="20" t="s">
        <v>168</v>
      </c>
      <c r="H28" s="107">
        <v>45.968278812974461</v>
      </c>
      <c r="I28" s="108">
        <v>44.378946608946613</v>
      </c>
      <c r="J28" s="108">
        <v>120.22140407177363</v>
      </c>
      <c r="K28" s="109">
        <v>31.411746031746031</v>
      </c>
      <c r="L28" s="108">
        <v>25.397950937950938</v>
      </c>
      <c r="M28" s="108">
        <v>37.44166666666667</v>
      </c>
      <c r="N28" s="108">
        <v>41.75251062438705</v>
      </c>
      <c r="O28" s="108">
        <v>31.519316425120774</v>
      </c>
      <c r="P28" s="107">
        <v>30.241471861471865</v>
      </c>
      <c r="Q28" s="108">
        <v>41.313848484848485</v>
      </c>
      <c r="R28" s="108">
        <v>42.229121212121214</v>
      </c>
      <c r="S28" s="108">
        <v>38.09812249827467</v>
      </c>
      <c r="T28" s="107">
        <v>57.708692640692639</v>
      </c>
      <c r="U28" s="108">
        <v>46.57721500721501</v>
      </c>
      <c r="V28" s="108">
        <v>44.23343434343434</v>
      </c>
      <c r="W28" s="109">
        <v>37.446477012689826</v>
      </c>
      <c r="X28" s="107">
        <v>29.005407647907646</v>
      </c>
      <c r="Y28" s="108">
        <v>28.28981818181818</v>
      </c>
      <c r="Z28" s="108">
        <v>45.327757073844026</v>
      </c>
      <c r="AA28" s="109">
        <v>23.745651515151518</v>
      </c>
      <c r="AB28" s="107">
        <v>20.194388888888891</v>
      </c>
      <c r="AC28" s="108">
        <v>26.361738816738818</v>
      </c>
      <c r="AD28" s="108">
        <v>36.898743616287099</v>
      </c>
      <c r="AE28" s="109">
        <v>30.353174603174608</v>
      </c>
      <c r="AF28" s="107">
        <v>30.18903623188406</v>
      </c>
      <c r="AG28" s="108">
        <v>38.031451910408435</v>
      </c>
      <c r="AH28" s="108">
        <v>35.438088336783984</v>
      </c>
      <c r="AI28" s="110">
        <v>30.43004545454545</v>
      </c>
      <c r="AJ28" s="107">
        <v>33.899863636363641</v>
      </c>
      <c r="AK28" s="108">
        <v>36.862301587301594</v>
      </c>
      <c r="AL28" s="108">
        <v>61.282664632595981</v>
      </c>
      <c r="AM28" s="110">
        <v>34.928347135955832</v>
      </c>
      <c r="AN28" s="107">
        <v>29.166705627705625</v>
      </c>
      <c r="AO28" s="108">
        <v>29.997833333333336</v>
      </c>
      <c r="AP28" s="108">
        <v>139.93010606060605</v>
      </c>
      <c r="AQ28" s="110">
        <v>29.658620772946861</v>
      </c>
      <c r="AR28" s="107">
        <v>23.86778787878788</v>
      </c>
      <c r="AS28" s="108">
        <v>25.684318181818185</v>
      </c>
      <c r="AT28" s="108">
        <v>35.567798481711527</v>
      </c>
      <c r="AU28" s="110">
        <v>28.497030303030304</v>
      </c>
      <c r="AV28" s="107">
        <v>617.62705797101444</v>
      </c>
      <c r="AW28" s="108">
        <v>44.778787878787881</v>
      </c>
      <c r="AX28" s="108">
        <v>52.97862481962482</v>
      </c>
      <c r="AY28" s="110">
        <v>52.74219461697723</v>
      </c>
      <c r="AZ28" s="107">
        <v>44.875738095238091</v>
      </c>
      <c r="BA28" s="108">
        <v>110.32805916305915</v>
      </c>
      <c r="BB28" s="108">
        <v>129.2306304347826</v>
      </c>
      <c r="BC28" s="110">
        <v>58.078888888888891</v>
      </c>
      <c r="BD28" s="107">
        <v>29.833974323062552</v>
      </c>
      <c r="BE28" s="108">
        <v>65.638397382344749</v>
      </c>
      <c r="BF28" s="108">
        <v>192.10316123188406</v>
      </c>
      <c r="BG28" s="109">
        <v>35.746974380395436</v>
      </c>
      <c r="BH28" s="107">
        <v>33.243380952380953</v>
      </c>
      <c r="BI28" s="108">
        <v>45.659232804232801</v>
      </c>
      <c r="BJ28" s="108">
        <v>44.116515151515152</v>
      </c>
      <c r="BK28" s="109">
        <v>46.493333333333332</v>
      </c>
      <c r="BL28" s="107">
        <v>57.113333333333337</v>
      </c>
      <c r="BM28" s="108">
        <v>53.303333333333335</v>
      </c>
      <c r="BN28" s="108">
        <v>82.399999999999991</v>
      </c>
      <c r="BO28" s="109">
        <v>48.32</v>
      </c>
      <c r="BP28" s="107">
        <v>63.199999999999996</v>
      </c>
      <c r="BQ28" s="108">
        <v>50.456666666666671</v>
      </c>
      <c r="BR28" s="108">
        <v>80.2</v>
      </c>
      <c r="BS28" s="109">
        <v>45.593333333333334</v>
      </c>
      <c r="BT28" s="107">
        <v>71.512499999999989</v>
      </c>
      <c r="BU28" s="111"/>
      <c r="BV28" s="111"/>
      <c r="BW28" s="26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</row>
    <row r="29" spans="1:90" x14ac:dyDescent="0.25">
      <c r="A29" s="9"/>
      <c r="B29" s="9"/>
      <c r="C29" s="3" t="s">
        <v>17</v>
      </c>
      <c r="D29" s="3"/>
      <c r="E29" s="43"/>
      <c r="F29" s="20" t="s">
        <v>76</v>
      </c>
      <c r="G29" s="20" t="s">
        <v>169</v>
      </c>
      <c r="H29" s="107">
        <v>47.121192201518284</v>
      </c>
      <c r="I29" s="108">
        <v>42.307611832611833</v>
      </c>
      <c r="J29" s="108">
        <v>121.21054658385093</v>
      </c>
      <c r="K29" s="109">
        <v>30.550634920634923</v>
      </c>
      <c r="L29" s="108">
        <v>25.245151515151516</v>
      </c>
      <c r="M29" s="108">
        <v>36.894307359307362</v>
      </c>
      <c r="N29" s="108">
        <v>41.976915477098544</v>
      </c>
      <c r="O29" s="108">
        <v>31.584970324361631</v>
      </c>
      <c r="P29" s="107">
        <v>30.326139249639251</v>
      </c>
      <c r="Q29" s="108">
        <v>39.435909090909092</v>
      </c>
      <c r="R29" s="108">
        <v>40.554787878787877</v>
      </c>
      <c r="S29" s="108">
        <v>35.332714975845413</v>
      </c>
      <c r="T29" s="107">
        <v>58.549633477633478</v>
      </c>
      <c r="U29" s="108">
        <v>43.898225108225112</v>
      </c>
      <c r="V29" s="108">
        <v>42.47286435786436</v>
      </c>
      <c r="W29" s="109">
        <v>37.987882601761321</v>
      </c>
      <c r="X29" s="107">
        <v>28.966223665223666</v>
      </c>
      <c r="Y29" s="108">
        <v>27.173424242424243</v>
      </c>
      <c r="Z29" s="108">
        <v>44.603298826777092</v>
      </c>
      <c r="AA29" s="109">
        <v>22.352227272727273</v>
      </c>
      <c r="AB29" s="107">
        <v>19.666327467218775</v>
      </c>
      <c r="AC29" s="108">
        <v>24.212647907647906</v>
      </c>
      <c r="AD29" s="108">
        <v>33.038720841959972</v>
      </c>
      <c r="AE29" s="109">
        <v>26.915079365079364</v>
      </c>
      <c r="AF29" s="107">
        <v>23.530602108036891</v>
      </c>
      <c r="AG29" s="108">
        <v>26.756243083003952</v>
      </c>
      <c r="AH29" s="108">
        <v>31.172035886818495</v>
      </c>
      <c r="AI29" s="110">
        <v>24.191666666666666</v>
      </c>
      <c r="AJ29" s="107">
        <v>33.263863636363631</v>
      </c>
      <c r="AK29" s="108">
        <v>37.012236652236652</v>
      </c>
      <c r="AL29" s="108">
        <v>61.0366594021285</v>
      </c>
      <c r="AM29" s="110">
        <v>34.389870255348519</v>
      </c>
      <c r="AN29" s="107">
        <v>28.408819624819625</v>
      </c>
      <c r="AO29" s="108">
        <v>28.332515151515153</v>
      </c>
      <c r="AP29" s="108">
        <v>139.77860606060608</v>
      </c>
      <c r="AQ29" s="110">
        <v>28.401929261559697</v>
      </c>
      <c r="AR29" s="107">
        <v>23.411484848484847</v>
      </c>
      <c r="AS29" s="108">
        <v>24.002363636363636</v>
      </c>
      <c r="AT29" s="108">
        <v>34.117784679089027</v>
      </c>
      <c r="AU29" s="110">
        <v>26.409606060606063</v>
      </c>
      <c r="AV29" s="107">
        <v>616.33680434782593</v>
      </c>
      <c r="AW29" s="108">
        <v>39.735909090909097</v>
      </c>
      <c r="AX29" s="108">
        <v>52.118875901875896</v>
      </c>
      <c r="AY29" s="110">
        <v>49.794354727398208</v>
      </c>
      <c r="AZ29" s="107">
        <v>42.725226017943413</v>
      </c>
      <c r="BA29" s="108">
        <v>83.186406926406931</v>
      </c>
      <c r="BB29" s="108">
        <v>130.4041231884058</v>
      </c>
      <c r="BC29" s="110">
        <v>54.665506822612087</v>
      </c>
      <c r="BD29" s="107">
        <v>28.419023342670403</v>
      </c>
      <c r="BE29" s="108">
        <v>60.695641882483983</v>
      </c>
      <c r="BF29" s="108">
        <v>190.38419746376812</v>
      </c>
      <c r="BG29" s="109">
        <v>34.224842662211081</v>
      </c>
      <c r="BH29" s="107">
        <v>33.074595238095235</v>
      </c>
      <c r="BI29" s="108">
        <v>40.452619047619045</v>
      </c>
      <c r="BJ29" s="108">
        <v>42.748674242424244</v>
      </c>
      <c r="BK29" s="109">
        <v>38.43</v>
      </c>
      <c r="BL29" s="107">
        <v>56.79999999999999</v>
      </c>
      <c r="BM29" s="108">
        <v>46.353333333333332</v>
      </c>
      <c r="BN29" s="108">
        <v>82.646666666666661</v>
      </c>
      <c r="BO29" s="109">
        <v>42.51</v>
      </c>
      <c r="BP29" s="107">
        <v>62.150000000000006</v>
      </c>
      <c r="BQ29" s="108">
        <v>45.903333333333336</v>
      </c>
      <c r="BR29" s="108">
        <v>78.313333333333333</v>
      </c>
      <c r="BS29" s="109">
        <v>40.520000000000003</v>
      </c>
      <c r="BT29" s="107">
        <v>74.29249999999999</v>
      </c>
      <c r="BU29" s="111"/>
      <c r="BV29" s="111"/>
      <c r="BW29" s="26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</row>
    <row r="30" spans="1:90" x14ac:dyDescent="0.25">
      <c r="A30" s="9"/>
      <c r="B30" s="9"/>
      <c r="C30" s="3" t="s">
        <v>18</v>
      </c>
      <c r="D30" s="3"/>
      <c r="E30" s="43"/>
      <c r="F30" s="20" t="s">
        <v>77</v>
      </c>
      <c r="G30" s="20" t="s">
        <v>170</v>
      </c>
      <c r="H30" s="107">
        <v>48.552580745341608</v>
      </c>
      <c r="I30" s="108">
        <v>42.863860028860024</v>
      </c>
      <c r="J30" s="108">
        <v>118.03929158040029</v>
      </c>
      <c r="K30" s="109">
        <v>31.501587301587303</v>
      </c>
      <c r="L30" s="108">
        <v>25.70785714285714</v>
      </c>
      <c r="M30" s="108">
        <v>36.668650793650791</v>
      </c>
      <c r="N30" s="108">
        <v>40.919159856162146</v>
      </c>
      <c r="O30" s="108">
        <v>32.611573153899236</v>
      </c>
      <c r="P30" s="107">
        <v>30.022885281385282</v>
      </c>
      <c r="Q30" s="108">
        <v>40.382393939393943</v>
      </c>
      <c r="R30" s="108">
        <v>41.15</v>
      </c>
      <c r="S30" s="108">
        <v>36.901423740510694</v>
      </c>
      <c r="T30" s="107">
        <v>57.654835497835499</v>
      </c>
      <c r="U30" s="108">
        <v>44.606933621933621</v>
      </c>
      <c r="V30" s="108">
        <v>43.45064935064935</v>
      </c>
      <c r="W30" s="109">
        <v>37.779490326607032</v>
      </c>
      <c r="X30" s="107">
        <v>28.846520923520924</v>
      </c>
      <c r="Y30" s="108">
        <v>27.983318181818181</v>
      </c>
      <c r="Z30" s="108">
        <v>45.16209109730849</v>
      </c>
      <c r="AA30" s="109">
        <v>23.348848484848485</v>
      </c>
      <c r="AB30" s="107">
        <v>19.788601794340924</v>
      </c>
      <c r="AC30" s="108">
        <v>25.422994227994227</v>
      </c>
      <c r="AD30" s="108">
        <v>34.085319530710834</v>
      </c>
      <c r="AE30" s="109">
        <v>29.578571428571426</v>
      </c>
      <c r="AF30" s="107">
        <v>26.240406455862978</v>
      </c>
      <c r="AG30" s="108">
        <v>31.657652832674575</v>
      </c>
      <c r="AH30" s="108">
        <v>33.395969634230504</v>
      </c>
      <c r="AI30" s="110">
        <v>27.406469696969697</v>
      </c>
      <c r="AJ30" s="107">
        <v>34.36210606060606</v>
      </c>
      <c r="AK30" s="108">
        <v>36.079552669552669</v>
      </c>
      <c r="AL30" s="108">
        <v>60.642647197704406</v>
      </c>
      <c r="AM30" s="110">
        <v>33.425697722567286</v>
      </c>
      <c r="AN30" s="107">
        <v>28.952184704184702</v>
      </c>
      <c r="AO30" s="108">
        <v>27.478318181818182</v>
      </c>
      <c r="AP30" s="108">
        <v>138.30477272727271</v>
      </c>
      <c r="AQ30" s="110">
        <v>28.838486887508626</v>
      </c>
      <c r="AR30" s="107">
        <v>23.300424242424242</v>
      </c>
      <c r="AS30" s="108">
        <v>24.113560606060606</v>
      </c>
      <c r="AT30" s="108">
        <v>33.098495514147686</v>
      </c>
      <c r="AU30" s="110">
        <v>27.098833333333332</v>
      </c>
      <c r="AV30" s="107">
        <v>612.47918115942025</v>
      </c>
      <c r="AW30" s="108">
        <v>39.127287878787875</v>
      </c>
      <c r="AX30" s="108">
        <v>50.339663059163058</v>
      </c>
      <c r="AY30" s="110">
        <v>48.041124913733604</v>
      </c>
      <c r="AZ30" s="107">
        <v>39.241324361628706</v>
      </c>
      <c r="BA30" s="108">
        <v>84.279300144300137</v>
      </c>
      <c r="BB30" s="108">
        <v>122.74847826086956</v>
      </c>
      <c r="BC30" s="110">
        <v>55.086695906432745</v>
      </c>
      <c r="BD30" s="107">
        <v>27.850406629318389</v>
      </c>
      <c r="BE30" s="108">
        <v>61.445821498189922</v>
      </c>
      <c r="BF30" s="108">
        <v>182.31917210144931</v>
      </c>
      <c r="BG30" s="109">
        <v>34.662017543859655</v>
      </c>
      <c r="BH30" s="107">
        <v>31.372873015873022</v>
      </c>
      <c r="BI30" s="108">
        <v>44.914894179894169</v>
      </c>
      <c r="BJ30" s="108">
        <v>42.120624999999997</v>
      </c>
      <c r="BK30" s="109">
        <v>41.983333333333334</v>
      </c>
      <c r="BL30" s="107">
        <v>54.01</v>
      </c>
      <c r="BM30" s="108">
        <v>53.436666666666667</v>
      </c>
      <c r="BN30" s="108">
        <v>79.216666666666669</v>
      </c>
      <c r="BO30" s="109">
        <v>46.830000000000005</v>
      </c>
      <c r="BP30" s="107">
        <v>57.896666666666668</v>
      </c>
      <c r="BQ30" s="108">
        <v>48.986666666666672</v>
      </c>
      <c r="BR30" s="108">
        <v>74.646666666666661</v>
      </c>
      <c r="BS30" s="109">
        <v>44.27</v>
      </c>
      <c r="BT30" s="107">
        <v>70.597499999999997</v>
      </c>
      <c r="BU30" s="111"/>
      <c r="BV30" s="111"/>
      <c r="BW30" s="26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</row>
    <row r="31" spans="1:90" x14ac:dyDescent="0.25">
      <c r="A31" s="9"/>
      <c r="B31" s="9"/>
      <c r="C31" s="3" t="s">
        <v>19</v>
      </c>
      <c r="D31" s="3"/>
      <c r="E31" s="45"/>
      <c r="F31" s="20" t="s">
        <v>157</v>
      </c>
      <c r="G31" s="20" t="s">
        <v>186</v>
      </c>
      <c r="H31" s="107">
        <v>32.663358886346302</v>
      </c>
      <c r="I31" s="108">
        <v>36.830741019214706</v>
      </c>
      <c r="J31" s="108">
        <v>42.495681922196802</v>
      </c>
      <c r="K31" s="109">
        <v>33.267460317460319</v>
      </c>
      <c r="L31" s="108">
        <v>25.177772727272725</v>
      </c>
      <c r="M31" s="108">
        <v>26.110843434343433</v>
      </c>
      <c r="N31" s="108">
        <v>35.688963713631907</v>
      </c>
      <c r="O31" s="108">
        <v>30.851594202898553</v>
      </c>
      <c r="P31" s="107">
        <v>32.417417293233079</v>
      </c>
      <c r="Q31" s="108">
        <v>38.861090909090905</v>
      </c>
      <c r="R31" s="108">
        <v>40.912848484848489</v>
      </c>
      <c r="S31" s="108">
        <v>37.550814814814821</v>
      </c>
      <c r="T31" s="107">
        <v>48.285580618212201</v>
      </c>
      <c r="U31" s="108">
        <v>43.183047619047613</v>
      </c>
      <c r="V31" s="108">
        <v>42.577183261183258</v>
      </c>
      <c r="W31" s="109">
        <v>36.261014492753624</v>
      </c>
      <c r="X31" s="107">
        <v>25.045448963317384</v>
      </c>
      <c r="Y31" s="108">
        <v>27.170484126984125</v>
      </c>
      <c r="Z31" s="108">
        <v>32.405230880230881</v>
      </c>
      <c r="AA31" s="109">
        <v>23.792275132275133</v>
      </c>
      <c r="AB31" s="107">
        <v>19.077714513556618</v>
      </c>
      <c r="AC31" s="108">
        <v>23.08920634920635</v>
      </c>
      <c r="AD31" s="108">
        <v>34.484472049689437</v>
      </c>
      <c r="AE31" s="109">
        <v>25.20268588137009</v>
      </c>
      <c r="AF31" s="107">
        <v>23.137650648360033</v>
      </c>
      <c r="AG31" s="108">
        <v>33.210269360269358</v>
      </c>
      <c r="AH31" s="108">
        <v>43.38695454545455</v>
      </c>
      <c r="AI31" s="110">
        <v>30.439433305485935</v>
      </c>
      <c r="AJ31" s="107">
        <v>26.472130325814536</v>
      </c>
      <c r="AK31" s="108">
        <v>26.959252297410188</v>
      </c>
      <c r="AL31" s="108">
        <v>76.622672006102206</v>
      </c>
      <c r="AM31" s="110">
        <v>37.12746842952793</v>
      </c>
      <c r="AN31" s="107">
        <v>39.055278195488718</v>
      </c>
      <c r="AO31" s="108">
        <v>19.011936090225564</v>
      </c>
      <c r="AP31" s="108">
        <v>39.936530303030302</v>
      </c>
      <c r="AQ31" s="110">
        <v>32.425937198067629</v>
      </c>
      <c r="AR31" s="107">
        <v>18.955659983291564</v>
      </c>
      <c r="AS31" s="108">
        <v>19.493791486291485</v>
      </c>
      <c r="AT31" s="108">
        <v>115.50586580086581</v>
      </c>
      <c r="AU31" s="110">
        <v>34.796089466089462</v>
      </c>
      <c r="AV31" s="107">
        <v>41.936003051106027</v>
      </c>
      <c r="AW31" s="108">
        <v>72.473729399255717</v>
      </c>
      <c r="AX31" s="108">
        <v>83.255526695526683</v>
      </c>
      <c r="AY31" s="110">
        <v>48.465750208855468</v>
      </c>
      <c r="AZ31" s="107">
        <v>38.144971777269262</v>
      </c>
      <c r="BA31" s="108">
        <v>69.655007936507943</v>
      </c>
      <c r="BB31" s="108">
        <v>137.98381884057972</v>
      </c>
      <c r="BC31" s="110">
        <v>125.69961319966585</v>
      </c>
      <c r="BD31" s="107">
        <v>90.187020213577412</v>
      </c>
      <c r="BE31" s="108">
        <v>44.427911445279868</v>
      </c>
      <c r="BF31" s="108">
        <v>99.911398550724641</v>
      </c>
      <c r="BG31" s="109">
        <v>51.030568086883875</v>
      </c>
      <c r="BH31" s="107">
        <v>38.254964494569755</v>
      </c>
      <c r="BI31" s="108">
        <v>22.436315789473685</v>
      </c>
      <c r="BJ31" s="108">
        <v>68.755303030303025</v>
      </c>
      <c r="BK31" s="109">
        <v>44.51</v>
      </c>
      <c r="BL31" s="107">
        <v>45.413333333333334</v>
      </c>
      <c r="BM31" s="108">
        <v>32.056666666666665</v>
      </c>
      <c r="BN31" s="108">
        <v>98.68</v>
      </c>
      <c r="BO31" s="109">
        <v>52.883333333333326</v>
      </c>
      <c r="BP31" s="107">
        <v>50.456666666666671</v>
      </c>
      <c r="BQ31" s="108">
        <v>30.326666666666668</v>
      </c>
      <c r="BR31" s="108">
        <v>108.57000000000001</v>
      </c>
      <c r="BS31" s="109">
        <v>54.373333333333335</v>
      </c>
      <c r="BT31" s="107">
        <v>62.495000000000005</v>
      </c>
      <c r="BU31" s="111"/>
      <c r="BV31" s="111"/>
      <c r="BW31" s="26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</row>
    <row r="32" spans="1:90" x14ac:dyDescent="0.25">
      <c r="A32" s="9"/>
      <c r="B32" s="9"/>
      <c r="C32" s="3" t="s">
        <v>20</v>
      </c>
      <c r="D32" s="3"/>
      <c r="E32" s="43"/>
      <c r="F32" s="20" t="s">
        <v>97</v>
      </c>
      <c r="G32" s="20" t="s">
        <v>171</v>
      </c>
      <c r="H32" s="107">
        <v>36.16806598016781</v>
      </c>
      <c r="I32" s="108">
        <v>36.805018379281535</v>
      </c>
      <c r="J32" s="108">
        <v>41.914982456140343</v>
      </c>
      <c r="K32" s="109">
        <v>34.048980785296578</v>
      </c>
      <c r="L32" s="108">
        <v>27.603166666666667</v>
      </c>
      <c r="M32" s="108">
        <v>31.034534632034632</v>
      </c>
      <c r="N32" s="108">
        <v>41.873407431622532</v>
      </c>
      <c r="O32" s="108">
        <v>40.712124108224522</v>
      </c>
      <c r="P32" s="107">
        <v>48.445362433862435</v>
      </c>
      <c r="Q32" s="108">
        <v>52.271924242424241</v>
      </c>
      <c r="R32" s="108">
        <v>48.6860909090909</v>
      </c>
      <c r="S32" s="108">
        <v>46.791283371472161</v>
      </c>
      <c r="T32" s="107">
        <v>57.916716791979944</v>
      </c>
      <c r="U32" s="108">
        <v>52.101349206349205</v>
      </c>
      <c r="V32" s="108">
        <v>52.007852965747702</v>
      </c>
      <c r="W32" s="109">
        <v>47.052028985507242</v>
      </c>
      <c r="X32" s="107">
        <v>33.261517027863782</v>
      </c>
      <c r="Y32" s="108">
        <v>32.666683982683985</v>
      </c>
      <c r="Z32" s="108">
        <v>38.551370851370848</v>
      </c>
      <c r="AA32" s="109">
        <v>31.887063492063493</v>
      </c>
      <c r="AB32" s="107">
        <v>25.000727272727275</v>
      </c>
      <c r="AC32" s="108">
        <v>25.547864357864356</v>
      </c>
      <c r="AD32" s="108">
        <v>37.905858178053826</v>
      </c>
      <c r="AE32" s="109">
        <v>34.949522826674531</v>
      </c>
      <c r="AF32" s="107">
        <v>29.066596745486908</v>
      </c>
      <c r="AG32" s="108">
        <v>32.579288119288115</v>
      </c>
      <c r="AH32" s="108">
        <v>47.457706349206347</v>
      </c>
      <c r="AI32" s="110">
        <v>47.836729751729756</v>
      </c>
      <c r="AJ32" s="107">
        <v>37.45354824561403</v>
      </c>
      <c r="AK32" s="108">
        <v>29.095850877192984</v>
      </c>
      <c r="AL32" s="108">
        <v>81.09576524644946</v>
      </c>
      <c r="AM32" s="110">
        <v>54.488541062801936</v>
      </c>
      <c r="AN32" s="107">
        <v>52.206183375104423</v>
      </c>
      <c r="AO32" s="108">
        <v>24.403190476190478</v>
      </c>
      <c r="AP32" s="108">
        <v>38.50418181818182</v>
      </c>
      <c r="AQ32" s="110">
        <v>42.478431561996778</v>
      </c>
      <c r="AR32" s="107">
        <v>28.817482142857141</v>
      </c>
      <c r="AS32" s="108">
        <v>21.076397660818714</v>
      </c>
      <c r="AT32" s="108">
        <v>72.96054329004329</v>
      </c>
      <c r="AU32" s="110">
        <v>42.695293650793644</v>
      </c>
      <c r="AV32" s="107">
        <v>47.607101000583299</v>
      </c>
      <c r="AW32" s="108">
        <v>43.744720893141938</v>
      </c>
      <c r="AX32" s="108">
        <v>75.448412698412696</v>
      </c>
      <c r="AY32" s="110">
        <v>62.261228070175434</v>
      </c>
      <c r="AZ32" s="107">
        <v>45.508017429193899</v>
      </c>
      <c r="BA32" s="108">
        <v>63.46270634920635</v>
      </c>
      <c r="BB32" s="108">
        <v>114.65768688024407</v>
      </c>
      <c r="BC32" s="110">
        <v>135.68897089947089</v>
      </c>
      <c r="BD32" s="107">
        <v>93.542285714285711</v>
      </c>
      <c r="BE32" s="108">
        <v>33.459898913951548</v>
      </c>
      <c r="BF32" s="108">
        <v>70.281079710144923</v>
      </c>
      <c r="BG32" s="109">
        <v>51.366866028708131</v>
      </c>
      <c r="BH32" s="107">
        <v>33.590166666666669</v>
      </c>
      <c r="BI32" s="108">
        <v>10.167919799498748</v>
      </c>
      <c r="BJ32" s="108">
        <v>49.817272727272723</v>
      </c>
      <c r="BK32" s="109">
        <v>42.35</v>
      </c>
      <c r="BL32" s="107">
        <v>42.713333333333331</v>
      </c>
      <c r="BM32" s="108">
        <v>17.993333333333332</v>
      </c>
      <c r="BN32" s="108">
        <v>63.033333333333339</v>
      </c>
      <c r="BO32" s="109">
        <v>53.903333333333329</v>
      </c>
      <c r="BP32" s="107">
        <v>51.02</v>
      </c>
      <c r="BQ32" s="108">
        <v>17.86</v>
      </c>
      <c r="BR32" s="108">
        <v>64.86</v>
      </c>
      <c r="BS32" s="109">
        <v>56.306666666666672</v>
      </c>
      <c r="BT32" s="107">
        <v>64.172499999999999</v>
      </c>
      <c r="BU32" s="111"/>
      <c r="BV32" s="111"/>
      <c r="BW32" s="26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</row>
    <row r="33" spans="1:90" x14ac:dyDescent="0.25">
      <c r="A33" s="9"/>
      <c r="B33" s="9"/>
      <c r="C33" s="3" t="s">
        <v>21</v>
      </c>
      <c r="D33" s="3"/>
      <c r="E33" s="43"/>
      <c r="F33" s="20" t="s">
        <v>98</v>
      </c>
      <c r="G33" s="20" t="s">
        <v>172</v>
      </c>
      <c r="H33" s="107">
        <v>35.648116250221513</v>
      </c>
      <c r="I33" s="108">
        <v>34.741754385964917</v>
      </c>
      <c r="J33" s="108">
        <v>39.454583877995645</v>
      </c>
      <c r="K33" s="109">
        <v>35.080000000000005</v>
      </c>
      <c r="L33" s="108">
        <v>27.030287037037038</v>
      </c>
      <c r="M33" s="108">
        <v>26.672527233115463</v>
      </c>
      <c r="N33" s="108">
        <v>37.800419871794873</v>
      </c>
      <c r="O33" s="108">
        <v>39.228613636363633</v>
      </c>
      <c r="P33" s="107">
        <v>41.066619047619049</v>
      </c>
      <c r="Q33" s="108">
        <v>45.098592592592588</v>
      </c>
      <c r="R33" s="108">
        <v>46.408107662318194</v>
      </c>
      <c r="S33" s="108">
        <v>46.985105820105815</v>
      </c>
      <c r="T33" s="107">
        <v>58.022955541190839</v>
      </c>
      <c r="U33" s="108">
        <v>52.969525054466231</v>
      </c>
      <c r="V33" s="108">
        <v>51.274590811965815</v>
      </c>
      <c r="W33" s="109">
        <v>48.420045454545459</v>
      </c>
      <c r="X33" s="107">
        <v>34.347026143790849</v>
      </c>
      <c r="Y33" s="108">
        <v>37.806163292847508</v>
      </c>
      <c r="Z33" s="108">
        <v>39.717314814814813</v>
      </c>
      <c r="AA33" s="109">
        <v>33.37970732970733</v>
      </c>
      <c r="AB33" s="107">
        <v>26.381703703703703</v>
      </c>
      <c r="AC33" s="108">
        <v>27.5707671957672</v>
      </c>
      <c r="AD33" s="108">
        <v>38.791110731373891</v>
      </c>
      <c r="AE33" s="109">
        <v>37.6602380952381</v>
      </c>
      <c r="AF33" s="107">
        <v>31.80037037037037</v>
      </c>
      <c r="AG33" s="108">
        <v>40.633227513227517</v>
      </c>
      <c r="AH33" s="108">
        <v>59.176759259259256</v>
      </c>
      <c r="AI33" s="110">
        <v>51.672666666666665</v>
      </c>
      <c r="AJ33" s="107">
        <v>38.411666666666669</v>
      </c>
      <c r="AK33" s="108">
        <v>34.947499999999998</v>
      </c>
      <c r="AL33" s="108">
        <v>114.650125</v>
      </c>
      <c r="AM33" s="110">
        <v>66.938571428571436</v>
      </c>
      <c r="AN33" s="107">
        <v>69.35733333333333</v>
      </c>
      <c r="AO33" s="108">
        <v>27.761666666666667</v>
      </c>
      <c r="AP33" s="108">
        <v>44.573388888888893</v>
      </c>
      <c r="AQ33" s="110">
        <v>39.654444444444444</v>
      </c>
      <c r="AR33" s="107">
        <v>30.372500000000002</v>
      </c>
      <c r="AS33" s="108">
        <v>27.987777777777779</v>
      </c>
      <c r="AT33" s="108">
        <v>74.903492063492067</v>
      </c>
      <c r="AU33" s="110">
        <v>47.048749999999998</v>
      </c>
      <c r="AV33" s="107">
        <v>56.639925925925922</v>
      </c>
      <c r="AW33" s="108">
        <v>57.289191919191921</v>
      </c>
      <c r="AX33" s="108">
        <v>105.22222222222223</v>
      </c>
      <c r="AY33" s="110">
        <v>63.010444444444452</v>
      </c>
      <c r="AZ33" s="107">
        <v>52.139141414141413</v>
      </c>
      <c r="BA33" s="108">
        <v>79.745277777777787</v>
      </c>
      <c r="BB33" s="108">
        <v>150.26107142857143</v>
      </c>
      <c r="BC33" s="110">
        <v>163.64400000000001</v>
      </c>
      <c r="BD33" s="107">
        <v>111.64578754578754</v>
      </c>
      <c r="BE33" s="108">
        <v>36.467999999999996</v>
      </c>
      <c r="BF33" s="108">
        <v>68.684134199134192</v>
      </c>
      <c r="BG33" s="109">
        <v>65.968611111111116</v>
      </c>
      <c r="BH33" s="107">
        <v>52.564794871794874</v>
      </c>
      <c r="BI33" s="108">
        <v>25.727333333333331</v>
      </c>
      <c r="BJ33" s="108">
        <v>59.285499999999992</v>
      </c>
      <c r="BK33" s="109">
        <v>54.423333333333339</v>
      </c>
      <c r="BL33" s="107">
        <v>59.79666666666666</v>
      </c>
      <c r="BM33" s="108">
        <v>35.816666666666663</v>
      </c>
      <c r="BN33" s="108">
        <v>64.286666666666662</v>
      </c>
      <c r="BO33" s="109">
        <v>69.913333333333327</v>
      </c>
      <c r="BP33" s="107">
        <v>69.086666666666659</v>
      </c>
      <c r="BQ33" s="108">
        <v>36.06</v>
      </c>
      <c r="BR33" s="108">
        <v>66.856666666666669</v>
      </c>
      <c r="BS33" s="109">
        <v>70.220000000000013</v>
      </c>
      <c r="BT33" s="107">
        <v>84.6875</v>
      </c>
      <c r="BU33" s="111"/>
      <c r="BV33" s="111"/>
      <c r="BW33" s="26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</row>
    <row r="34" spans="1:90" x14ac:dyDescent="0.25">
      <c r="A34" s="9"/>
      <c r="B34" s="9"/>
      <c r="C34" s="3" t="s">
        <v>22</v>
      </c>
      <c r="D34" s="3"/>
      <c r="E34" s="3"/>
      <c r="F34" s="20" t="s">
        <v>99</v>
      </c>
      <c r="G34" s="20" t="s">
        <v>173</v>
      </c>
      <c r="H34" s="107">
        <v>26.153838291380623</v>
      </c>
      <c r="I34" s="108">
        <v>27.545892230576442</v>
      </c>
      <c r="J34" s="108">
        <v>33.42646910755149</v>
      </c>
      <c r="K34" s="109">
        <v>30.966090225563914</v>
      </c>
      <c r="L34" s="108">
        <v>22.937848484848484</v>
      </c>
      <c r="M34" s="108">
        <v>11.904954545454546</v>
      </c>
      <c r="N34" s="108">
        <v>26.789991645781118</v>
      </c>
      <c r="O34" s="108">
        <v>29.209679633867278</v>
      </c>
      <c r="P34" s="107">
        <v>30.288629908103591</v>
      </c>
      <c r="Q34" s="108">
        <v>33.695090909090908</v>
      </c>
      <c r="R34" s="108">
        <v>41.494999999999997</v>
      </c>
      <c r="S34" s="108">
        <v>44.138512077294685</v>
      </c>
      <c r="T34" s="107">
        <v>48.59852965747703</v>
      </c>
      <c r="U34" s="108">
        <v>34.355944444444447</v>
      </c>
      <c r="V34" s="108">
        <v>40.489533910533915</v>
      </c>
      <c r="W34" s="109">
        <v>33.020434376649206</v>
      </c>
      <c r="X34" s="107">
        <v>20.286055023923442</v>
      </c>
      <c r="Y34" s="108">
        <v>29.383735209235212</v>
      </c>
      <c r="Z34" s="108">
        <v>31.853174603174605</v>
      </c>
      <c r="AA34" s="109">
        <v>22.297169312169313</v>
      </c>
      <c r="AB34" s="107">
        <v>17.410492025518341</v>
      </c>
      <c r="AC34" s="108">
        <v>16.611746031746033</v>
      </c>
      <c r="AD34" s="108">
        <v>31.357915113871638</v>
      </c>
      <c r="AE34" s="109">
        <v>26.233267752715122</v>
      </c>
      <c r="AF34" s="107">
        <v>22.729313501144162</v>
      </c>
      <c r="AG34" s="108">
        <v>16.139612794612795</v>
      </c>
      <c r="AH34" s="108">
        <v>38.049893939393939</v>
      </c>
      <c r="AI34" s="110">
        <v>26.880625174046227</v>
      </c>
      <c r="AJ34" s="107">
        <v>21.59125313283208</v>
      </c>
      <c r="AK34" s="108">
        <v>16.181652046783626</v>
      </c>
      <c r="AL34" s="108">
        <v>61.16033981693365</v>
      </c>
      <c r="AM34" s="110">
        <v>50.596586998898211</v>
      </c>
      <c r="AN34" s="107">
        <v>69.486500000000007</v>
      </c>
      <c r="AO34" s="108">
        <v>17.759044695071012</v>
      </c>
      <c r="AP34" s="108">
        <v>31.795090909090913</v>
      </c>
      <c r="AQ34" s="110">
        <v>35.667524154589373</v>
      </c>
      <c r="AR34" s="107">
        <v>22.444545834282678</v>
      </c>
      <c r="AS34" s="108">
        <v>13.248720779220781</v>
      </c>
      <c r="AT34" s="108">
        <v>33.266204906204905</v>
      </c>
      <c r="AU34" s="110">
        <v>30.148511303511302</v>
      </c>
      <c r="AV34" s="107">
        <v>34.196971777269262</v>
      </c>
      <c r="AW34" s="108">
        <v>51.956731221994382</v>
      </c>
      <c r="AX34" s="108">
        <v>90.933455988455989</v>
      </c>
      <c r="AY34" s="110">
        <v>58.887995822890559</v>
      </c>
      <c r="AZ34" s="107">
        <v>38.899802822273074</v>
      </c>
      <c r="BA34" s="108">
        <v>59.147325396825387</v>
      </c>
      <c r="BB34" s="108">
        <v>119.61197342995168</v>
      </c>
      <c r="BC34" s="110">
        <v>149.70493065998329</v>
      </c>
      <c r="BD34" s="107">
        <v>106.35344279176201</v>
      </c>
      <c r="BE34" s="108">
        <v>59.230467836257311</v>
      </c>
      <c r="BF34" s="108">
        <v>98.767391304347825</v>
      </c>
      <c r="BG34" s="109">
        <v>79.247671451355657</v>
      </c>
      <c r="BH34" s="107">
        <v>101.24320634920635</v>
      </c>
      <c r="BI34" s="108">
        <v>33.517838915470499</v>
      </c>
      <c r="BJ34" s="108">
        <v>64.367121212121205</v>
      </c>
      <c r="BK34" s="109">
        <v>70.156670000000005</v>
      </c>
      <c r="BL34" s="107">
        <v>79.216670000000008</v>
      </c>
      <c r="BM34" s="108">
        <v>34.809999999999995</v>
      </c>
      <c r="BN34" s="108">
        <v>92.693336666666667</v>
      </c>
      <c r="BO34" s="109">
        <v>82.293333333333337</v>
      </c>
      <c r="BP34" s="107">
        <v>87.640003333333325</v>
      </c>
      <c r="BQ34" s="108">
        <v>34.580000000000005</v>
      </c>
      <c r="BR34" s="108">
        <v>100.00333666666667</v>
      </c>
      <c r="BS34" s="109">
        <v>86.946666666666673</v>
      </c>
      <c r="BT34" s="107">
        <v>94.617500000000007</v>
      </c>
      <c r="BU34" s="111"/>
      <c r="BV34" s="111"/>
      <c r="BW34" s="26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</row>
    <row r="35" spans="1:90" x14ac:dyDescent="0.25">
      <c r="A35" s="9"/>
      <c r="B35" s="9"/>
      <c r="C35" s="3" t="s">
        <v>23</v>
      </c>
      <c r="D35" s="3"/>
      <c r="E35" s="3"/>
      <c r="F35" s="20" t="s">
        <v>78</v>
      </c>
      <c r="G35" s="20" t="s">
        <v>174</v>
      </c>
      <c r="H35" s="107">
        <v>41.377194616977221</v>
      </c>
      <c r="I35" s="108">
        <v>37.158643578643584</v>
      </c>
      <c r="J35" s="108">
        <v>122.20415493443754</v>
      </c>
      <c r="K35" s="109">
        <v>26.450952380952383</v>
      </c>
      <c r="L35" s="108">
        <v>21.810281385281385</v>
      </c>
      <c r="M35" s="108">
        <v>36.74608225108225</v>
      </c>
      <c r="N35" s="108">
        <v>42.310074461516109</v>
      </c>
      <c r="O35" s="108">
        <v>31.183078329882676</v>
      </c>
      <c r="P35" s="107">
        <v>28.549800144300146</v>
      </c>
      <c r="Q35" s="108">
        <v>38.466378787878789</v>
      </c>
      <c r="R35" s="108">
        <v>42.409666666666666</v>
      </c>
      <c r="S35" s="108">
        <v>35.491639751552796</v>
      </c>
      <c r="T35" s="107">
        <v>58.865861471861471</v>
      </c>
      <c r="U35" s="108">
        <v>43.930822510822509</v>
      </c>
      <c r="V35" s="108">
        <v>42.234278499278503</v>
      </c>
      <c r="W35" s="109">
        <v>37.659233062894394</v>
      </c>
      <c r="X35" s="107">
        <v>29.054282828282826</v>
      </c>
      <c r="Y35" s="108">
        <v>27.265833333333333</v>
      </c>
      <c r="Z35" s="108">
        <v>44.698681849551413</v>
      </c>
      <c r="AA35" s="109">
        <v>22.190984848484849</v>
      </c>
      <c r="AB35" s="107">
        <v>19.092650793650794</v>
      </c>
      <c r="AC35" s="108">
        <v>23.348405483405486</v>
      </c>
      <c r="AD35" s="108">
        <v>32.943664596273294</v>
      </c>
      <c r="AE35" s="109">
        <v>27.139206349206347</v>
      </c>
      <c r="AF35" s="107">
        <v>22.479814229249012</v>
      </c>
      <c r="AG35" s="108">
        <v>25.649453227931488</v>
      </c>
      <c r="AH35" s="108">
        <v>30.489399585921323</v>
      </c>
      <c r="AI35" s="110">
        <v>23.914621212121215</v>
      </c>
      <c r="AJ35" s="107">
        <v>31.881151515151515</v>
      </c>
      <c r="AK35" s="108">
        <v>30.336471861471864</v>
      </c>
      <c r="AL35" s="108">
        <v>59.94892666448731</v>
      </c>
      <c r="AM35" s="110">
        <v>32.909213940648726</v>
      </c>
      <c r="AN35" s="107">
        <v>27.336385281385279</v>
      </c>
      <c r="AO35" s="108">
        <v>26.269484848484847</v>
      </c>
      <c r="AP35" s="108">
        <v>139.0513787878788</v>
      </c>
      <c r="AQ35" s="110">
        <v>26.153052795031055</v>
      </c>
      <c r="AR35" s="107">
        <v>21.982545454545455</v>
      </c>
      <c r="AS35" s="108">
        <v>22.402681818181819</v>
      </c>
      <c r="AT35" s="108">
        <v>33.277004830917875</v>
      </c>
      <c r="AU35" s="110">
        <v>22.044075757575758</v>
      </c>
      <c r="AV35" s="107">
        <v>614.3970652173914</v>
      </c>
      <c r="AW35" s="108">
        <v>35.573348484848488</v>
      </c>
      <c r="AX35" s="108">
        <v>48.403974747474741</v>
      </c>
      <c r="AY35" s="110">
        <v>40.644306418219465</v>
      </c>
      <c r="AZ35" s="107">
        <v>35.264289510006904</v>
      </c>
      <c r="BA35" s="108">
        <v>72.146825396825406</v>
      </c>
      <c r="BB35" s="108">
        <v>128.86673188405797</v>
      </c>
      <c r="BC35" s="110">
        <v>49.963927875243662</v>
      </c>
      <c r="BD35" s="107">
        <v>25.460595238095237</v>
      </c>
      <c r="BE35" s="108">
        <v>58.951555277081589</v>
      </c>
      <c r="BF35" s="108">
        <v>190.72976992753624</v>
      </c>
      <c r="BG35" s="109">
        <v>35.849230019493177</v>
      </c>
      <c r="BH35" s="107">
        <v>35.832484126984127</v>
      </c>
      <c r="BI35" s="108">
        <v>39.847010582010583</v>
      </c>
      <c r="BJ35" s="108">
        <v>52.316496212121216</v>
      </c>
      <c r="BK35" s="109">
        <v>46.436666666666667</v>
      </c>
      <c r="BL35" s="107">
        <v>58.056666666666665</v>
      </c>
      <c r="BM35" s="108">
        <v>49.283333333333331</v>
      </c>
      <c r="BN35" s="108">
        <v>79.816666666666663</v>
      </c>
      <c r="BO35" s="109">
        <v>51.839999999999996</v>
      </c>
      <c r="BP35" s="107">
        <v>63.193333333333328</v>
      </c>
      <c r="BQ35" s="108">
        <v>52.413333333333334</v>
      </c>
      <c r="BR35" s="108">
        <v>81.676666666666677</v>
      </c>
      <c r="BS35" s="109">
        <v>49.076666666666661</v>
      </c>
      <c r="BT35" s="107">
        <v>75.617500000000007</v>
      </c>
      <c r="BU35" s="111"/>
      <c r="BV35" s="111"/>
      <c r="BW35" s="26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</row>
    <row r="36" spans="1:90" x14ac:dyDescent="0.25">
      <c r="A36" s="9"/>
      <c r="B36" s="9"/>
      <c r="C36" s="3"/>
      <c r="D36" s="3"/>
      <c r="E36" s="3"/>
      <c r="F36" s="20"/>
      <c r="G36" s="20"/>
      <c r="H36" s="107"/>
      <c r="I36" s="108"/>
      <c r="J36" s="108"/>
      <c r="K36" s="109"/>
      <c r="L36" s="107"/>
      <c r="M36" s="108"/>
      <c r="N36" s="108"/>
      <c r="O36" s="108"/>
      <c r="P36" s="107"/>
      <c r="Q36" s="108"/>
      <c r="R36" s="108"/>
      <c r="S36" s="109"/>
      <c r="T36" s="108"/>
      <c r="U36" s="108"/>
      <c r="V36" s="108"/>
      <c r="W36" s="109"/>
      <c r="X36" s="108"/>
      <c r="Y36" s="108"/>
      <c r="Z36" s="108"/>
      <c r="AA36" s="109"/>
      <c r="AB36" s="108"/>
      <c r="AC36" s="108"/>
      <c r="AD36" s="108"/>
      <c r="AE36" s="109"/>
      <c r="AF36" s="108"/>
      <c r="AG36" s="108"/>
      <c r="AH36" s="108"/>
      <c r="AI36" s="110"/>
      <c r="AJ36" s="108"/>
      <c r="AK36" s="108"/>
      <c r="AL36" s="108"/>
      <c r="AM36" s="110"/>
      <c r="AN36" s="108"/>
      <c r="AO36" s="108"/>
      <c r="AP36" s="108"/>
      <c r="AQ36" s="110"/>
      <c r="AR36" s="108"/>
      <c r="AS36" s="108"/>
      <c r="AT36" s="108"/>
      <c r="AU36" s="110"/>
      <c r="AV36" s="108"/>
      <c r="AW36" s="108"/>
      <c r="AX36" s="108"/>
      <c r="AY36" s="110"/>
      <c r="AZ36" s="108"/>
      <c r="BA36" s="108"/>
      <c r="BB36" s="108"/>
      <c r="BC36" s="110"/>
      <c r="BD36" s="108"/>
      <c r="BE36" s="108"/>
      <c r="BF36" s="108"/>
      <c r="BG36" s="109"/>
      <c r="BH36" s="108"/>
      <c r="BI36" s="111"/>
      <c r="BJ36" s="111"/>
      <c r="BK36" s="112"/>
      <c r="BL36" s="111"/>
      <c r="BM36" s="111"/>
      <c r="BN36" s="111"/>
      <c r="BO36" s="112"/>
      <c r="BP36" s="111"/>
      <c r="BQ36" s="111"/>
      <c r="BR36" s="111"/>
      <c r="BS36" s="26"/>
      <c r="BT36" s="111"/>
      <c r="BU36" s="111"/>
      <c r="BV36" s="111"/>
      <c r="BW36" s="26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</row>
    <row r="37" spans="1:90" x14ac:dyDescent="0.25">
      <c r="A37" s="9"/>
      <c r="B37" s="9"/>
      <c r="C37" s="1" t="s">
        <v>24</v>
      </c>
      <c r="D37" s="41"/>
      <c r="E37" s="41"/>
      <c r="F37" s="78"/>
      <c r="G37" s="78"/>
      <c r="H37" s="114"/>
      <c r="I37" s="93"/>
      <c r="J37" s="93"/>
      <c r="K37" s="94"/>
      <c r="L37" s="114"/>
      <c r="M37" s="93"/>
      <c r="N37" s="93"/>
      <c r="O37" s="93"/>
      <c r="P37" s="92"/>
      <c r="Q37" s="115"/>
      <c r="R37" s="115"/>
      <c r="S37" s="117"/>
      <c r="T37" s="115"/>
      <c r="U37" s="115"/>
      <c r="V37" s="115"/>
      <c r="W37" s="117"/>
      <c r="X37" s="115"/>
      <c r="Y37" s="118"/>
      <c r="Z37" s="118"/>
      <c r="AA37" s="119"/>
      <c r="AB37" s="115"/>
      <c r="AC37" s="118"/>
      <c r="AD37" s="118"/>
      <c r="AE37" s="119"/>
      <c r="AF37" s="115"/>
      <c r="AG37" s="118"/>
      <c r="AH37" s="118"/>
      <c r="AI37" s="119"/>
      <c r="AJ37" s="115"/>
      <c r="AK37" s="118"/>
      <c r="AL37" s="118"/>
      <c r="AM37" s="119"/>
      <c r="AN37" s="115"/>
      <c r="AO37" s="118"/>
      <c r="AP37" s="118"/>
      <c r="AQ37" s="119"/>
      <c r="AR37" s="118"/>
      <c r="AS37" s="118"/>
      <c r="AT37" s="118"/>
      <c r="AU37" s="119"/>
      <c r="AV37" s="118"/>
      <c r="AW37" s="118"/>
      <c r="AX37" s="118"/>
      <c r="AY37" s="119"/>
      <c r="AZ37" s="118"/>
      <c r="BA37" s="118"/>
      <c r="BB37" s="118"/>
      <c r="BC37" s="119"/>
      <c r="BD37" s="121"/>
      <c r="BE37" s="121"/>
      <c r="BF37" s="121"/>
      <c r="BG37" s="122"/>
      <c r="BH37" s="118"/>
      <c r="BI37" s="118"/>
      <c r="BJ37" s="118"/>
      <c r="BK37" s="119"/>
      <c r="BL37" s="118"/>
      <c r="BM37" s="118"/>
      <c r="BN37" s="118"/>
      <c r="BO37" s="119"/>
      <c r="BP37" s="118"/>
      <c r="BQ37" s="118"/>
      <c r="BR37" s="118"/>
      <c r="BS37" s="36"/>
      <c r="BT37" s="118"/>
      <c r="BU37" s="118"/>
      <c r="BV37" s="118"/>
      <c r="BW37" s="36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</row>
    <row r="38" spans="1:90" x14ac:dyDescent="0.25">
      <c r="A38" s="9"/>
      <c r="B38" s="9"/>
      <c r="C38" s="3" t="s">
        <v>7</v>
      </c>
      <c r="D38" s="3"/>
      <c r="E38" s="3"/>
      <c r="F38" s="20" t="s">
        <v>158</v>
      </c>
      <c r="G38" s="20" t="s">
        <v>199</v>
      </c>
      <c r="H38" s="107">
        <v>51.296866359447002</v>
      </c>
      <c r="I38" s="108">
        <v>37.848691756272395</v>
      </c>
      <c r="J38" s="108">
        <v>39.487150537634413</v>
      </c>
      <c r="K38" s="109">
        <v>32.54365949820788</v>
      </c>
      <c r="L38" s="108">
        <v>27.603770856507229</v>
      </c>
      <c r="M38" s="108">
        <v>22.925189964157706</v>
      </c>
      <c r="N38" s="108">
        <v>30.909390681003583</v>
      </c>
      <c r="O38" s="108">
        <v>38.534706093189961</v>
      </c>
      <c r="P38" s="107">
        <v>73.472530721966208</v>
      </c>
      <c r="Q38" s="108">
        <v>34.163784946236554</v>
      </c>
      <c r="R38" s="108">
        <v>30.396476702508959</v>
      </c>
      <c r="S38" s="108">
        <v>50.455003584229388</v>
      </c>
      <c r="T38" s="107">
        <v>124.76260368663594</v>
      </c>
      <c r="U38" s="108">
        <v>32.368480286738354</v>
      </c>
      <c r="V38" s="108">
        <v>26.807985663082434</v>
      </c>
      <c r="W38" s="109">
        <v>31.098681003584232</v>
      </c>
      <c r="X38" s="107">
        <v>75.979220430107532</v>
      </c>
      <c r="Y38" s="108">
        <v>18.786734767025091</v>
      </c>
      <c r="Z38" s="108">
        <v>22.47921146953405</v>
      </c>
      <c r="AA38" s="109">
        <v>20.068053763440858</v>
      </c>
      <c r="AB38" s="107">
        <v>22.432013348164627</v>
      </c>
      <c r="AC38" s="108">
        <v>18.637881720430105</v>
      </c>
      <c r="AD38" s="108">
        <v>21.726508960573479</v>
      </c>
      <c r="AE38" s="109">
        <v>28.685555555555556</v>
      </c>
      <c r="AF38" s="107">
        <v>30.078360215053763</v>
      </c>
      <c r="AG38" s="108">
        <v>22.796591397849465</v>
      </c>
      <c r="AH38" s="108">
        <v>19.33909677419355</v>
      </c>
      <c r="AI38" s="110">
        <v>40.938265232974906</v>
      </c>
      <c r="AJ38" s="107">
        <v>55.177005376344091</v>
      </c>
      <c r="AK38" s="108">
        <v>27.375885304659494</v>
      </c>
      <c r="AL38" s="108">
        <v>30.551161290322582</v>
      </c>
      <c r="AM38" s="110">
        <v>41.079598566308242</v>
      </c>
      <c r="AN38" s="107">
        <v>39.050039426523291</v>
      </c>
      <c r="AO38" s="108">
        <v>21.593573476702506</v>
      </c>
      <c r="AP38" s="108">
        <v>21.001247311827957</v>
      </c>
      <c r="AQ38" s="110">
        <v>28.389189964157705</v>
      </c>
      <c r="AR38" s="107">
        <v>18.584808676307009</v>
      </c>
      <c r="AS38" s="108">
        <v>16.940093189964156</v>
      </c>
      <c r="AT38" s="108">
        <v>17.676243727598564</v>
      </c>
      <c r="AU38" s="110">
        <v>26.185519713261652</v>
      </c>
      <c r="AV38" s="107">
        <v>45.302378136200723</v>
      </c>
      <c r="AW38" s="108">
        <v>24.473648745519711</v>
      </c>
      <c r="AX38" s="108">
        <v>36.748724014336922</v>
      </c>
      <c r="AY38" s="110">
        <v>53.057878136200713</v>
      </c>
      <c r="AZ38" s="107">
        <v>101.5824539170507</v>
      </c>
      <c r="BA38" s="108">
        <v>65.072724014336913</v>
      </c>
      <c r="BB38" s="108">
        <v>74.159089852923003</v>
      </c>
      <c r="BC38" s="110">
        <v>72.748222222222225</v>
      </c>
      <c r="BD38" s="107">
        <v>44.912369431643619</v>
      </c>
      <c r="BE38" s="108">
        <v>25.16062724014337</v>
      </c>
      <c r="BF38" s="108">
        <v>29.893921146953403</v>
      </c>
      <c r="BG38" s="109">
        <v>30.864130824372761</v>
      </c>
      <c r="BH38" s="107">
        <v>36.943845454545453</v>
      </c>
      <c r="BI38" s="108">
        <v>24.162336093857832</v>
      </c>
      <c r="BJ38" s="108">
        <v>31.605444444444444</v>
      </c>
      <c r="BK38" s="109">
        <v>51.374333333333333</v>
      </c>
      <c r="BL38" s="107">
        <v>90.82</v>
      </c>
      <c r="BM38" s="108">
        <v>35.758000000000003</v>
      </c>
      <c r="BN38" s="108">
        <v>39.026000000000003</v>
      </c>
      <c r="BO38" s="109">
        <v>59.135666666666658</v>
      </c>
      <c r="BP38" s="107">
        <v>99.165666666666652</v>
      </c>
      <c r="BQ38" s="108">
        <v>33.287333333333329</v>
      </c>
      <c r="BR38" s="108">
        <v>39.461333333333336</v>
      </c>
      <c r="BS38" s="109">
        <v>55.327666666666666</v>
      </c>
      <c r="BT38" s="107">
        <v>111.30224999999999</v>
      </c>
      <c r="BU38" s="108"/>
      <c r="BV38" s="111"/>
      <c r="BW38" s="26"/>
      <c r="BX38" s="29"/>
      <c r="BY38" s="29"/>
      <c r="BZ38" s="29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</row>
    <row r="39" spans="1:90" x14ac:dyDescent="0.25">
      <c r="A39" s="9"/>
      <c r="B39" s="9"/>
      <c r="C39" s="3" t="s">
        <v>8</v>
      </c>
      <c r="D39" s="3"/>
      <c r="E39" s="3"/>
      <c r="F39" s="20" t="s">
        <v>91</v>
      </c>
      <c r="G39" s="129"/>
      <c r="H39" s="107">
        <v>37.015069124423967</v>
      </c>
      <c r="I39" s="108">
        <v>33.03693548387097</v>
      </c>
      <c r="J39" s="108">
        <v>34.449724014336915</v>
      </c>
      <c r="K39" s="109">
        <v>29.639849462365593</v>
      </c>
      <c r="L39" s="108">
        <v>24.425698924731183</v>
      </c>
      <c r="M39" s="108">
        <v>21.27713620071685</v>
      </c>
      <c r="N39" s="108">
        <v>27.821741935483871</v>
      </c>
      <c r="O39" s="108">
        <v>30.951616487455198</v>
      </c>
      <c r="P39" s="107">
        <v>36.402914746543779</v>
      </c>
      <c r="Q39" s="108">
        <v>30.092949820788533</v>
      </c>
      <c r="R39" s="108">
        <v>28.360197132616488</v>
      </c>
      <c r="S39" s="108">
        <v>29.191344086021505</v>
      </c>
      <c r="T39" s="107">
        <v>73.608966973886325</v>
      </c>
      <c r="U39" s="108">
        <v>28.438014336917565</v>
      </c>
      <c r="V39" s="108">
        <v>23.904451612903227</v>
      </c>
      <c r="W39" s="109">
        <v>24.70758064516129</v>
      </c>
      <c r="X39" s="107">
        <v>41.495180491551459</v>
      </c>
      <c r="Y39" s="108">
        <v>16.511534050179211</v>
      </c>
      <c r="Z39" s="108">
        <v>18.533318996415773</v>
      </c>
      <c r="AA39" s="109">
        <v>13.724501792114694</v>
      </c>
      <c r="AB39" s="107">
        <v>13.645435669262142</v>
      </c>
      <c r="AC39" s="108">
        <v>15.967111111111114</v>
      </c>
      <c r="AD39" s="108">
        <v>20.191451612903226</v>
      </c>
      <c r="AE39" s="109">
        <v>17.049463601532565</v>
      </c>
      <c r="AF39" s="107">
        <v>21.517956989247313</v>
      </c>
      <c r="AG39" s="108">
        <v>13.98468458781362</v>
      </c>
      <c r="AH39" s="108">
        <v>17.366878136200715</v>
      </c>
      <c r="AI39" s="110">
        <v>18.383982202447161</v>
      </c>
      <c r="AJ39" s="107">
        <v>30.253559907834102</v>
      </c>
      <c r="AK39" s="108">
        <v>19.393164874551971</v>
      </c>
      <c r="AL39" s="108">
        <v>23.785501792114697</v>
      </c>
      <c r="AM39" s="110">
        <v>24.263853046594978</v>
      </c>
      <c r="AN39" s="107">
        <v>25.835810291858678</v>
      </c>
      <c r="AO39" s="108">
        <v>15.381756272401432</v>
      </c>
      <c r="AP39" s="108">
        <v>17.804562724014335</v>
      </c>
      <c r="AQ39" s="110">
        <v>15.128007168458781</v>
      </c>
      <c r="AR39" s="107">
        <v>12.538309232480534</v>
      </c>
      <c r="AS39" s="108">
        <v>11.616960573476703</v>
      </c>
      <c r="AT39" s="108">
        <v>15.923659498207885</v>
      </c>
      <c r="AU39" s="110">
        <v>12.439577060931901</v>
      </c>
      <c r="AV39" s="107">
        <v>20.969301075268817</v>
      </c>
      <c r="AW39" s="108">
        <v>13.704691756272402</v>
      </c>
      <c r="AX39" s="108">
        <v>28.654878136200718</v>
      </c>
      <c r="AY39" s="110">
        <v>32.506526881720433</v>
      </c>
      <c r="AZ39" s="107">
        <v>57.527753456221198</v>
      </c>
      <c r="BA39" s="108">
        <v>34.845132616487454</v>
      </c>
      <c r="BB39" s="108">
        <v>61.289139784946236</v>
      </c>
      <c r="BC39" s="110">
        <v>39.340403225806448</v>
      </c>
      <c r="BD39" s="107">
        <v>24.906616743471584</v>
      </c>
      <c r="BE39" s="108">
        <v>17.411095785440612</v>
      </c>
      <c r="BF39" s="108">
        <v>23.580645161290324</v>
      </c>
      <c r="BG39" s="109">
        <v>23.395566431837846</v>
      </c>
      <c r="BH39" s="107">
        <v>30.117890248424175</v>
      </c>
      <c r="BI39" s="108">
        <v>22.309888888888889</v>
      </c>
      <c r="BJ39" s="108">
        <v>26.93016129032258</v>
      </c>
      <c r="BK39" s="109"/>
      <c r="BL39" s="107"/>
      <c r="BM39" s="108"/>
      <c r="BN39" s="108"/>
      <c r="BO39" s="109"/>
      <c r="BP39" s="107"/>
      <c r="BQ39" s="108"/>
      <c r="BR39" s="108"/>
      <c r="BS39" s="109"/>
      <c r="BT39" s="107"/>
      <c r="BU39" s="111"/>
      <c r="BV39" s="111"/>
      <c r="BW39" s="26"/>
      <c r="BX39" s="29"/>
      <c r="BY39" s="29"/>
      <c r="BZ39" s="29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</row>
    <row r="40" spans="1:90" x14ac:dyDescent="0.25">
      <c r="A40" s="9"/>
      <c r="B40" s="9"/>
      <c r="C40" s="3" t="s">
        <v>9</v>
      </c>
      <c r="F40" s="20" t="s">
        <v>112</v>
      </c>
      <c r="G40" s="20" t="s">
        <v>175</v>
      </c>
      <c r="H40" s="107">
        <v>49.910437788018434</v>
      </c>
      <c r="I40" s="108">
        <v>38.232143369175624</v>
      </c>
      <c r="J40" s="108">
        <v>39.817551971326168</v>
      </c>
      <c r="K40" s="109">
        <v>32.494935483870968</v>
      </c>
      <c r="L40" s="108">
        <v>28.503889506859469</v>
      </c>
      <c r="M40" s="108">
        <v>23.434831541218639</v>
      </c>
      <c r="N40" s="108">
        <v>30.544663082437278</v>
      </c>
      <c r="O40" s="108">
        <v>37.416329749103944</v>
      </c>
      <c r="P40" s="107">
        <v>58.136881720430104</v>
      </c>
      <c r="Q40" s="108">
        <v>34.662620071684586</v>
      </c>
      <c r="R40" s="108">
        <v>32.12052329749104</v>
      </c>
      <c r="S40" s="108">
        <v>37.851125448028675</v>
      </c>
      <c r="T40" s="107">
        <v>109.78344470046083</v>
      </c>
      <c r="U40" s="108">
        <v>32.345688172043012</v>
      </c>
      <c r="V40" s="108">
        <v>26.548867383512544</v>
      </c>
      <c r="W40" s="109">
        <v>28.930659498207888</v>
      </c>
      <c r="X40" s="107">
        <v>62.307849462365589</v>
      </c>
      <c r="Y40" s="108">
        <v>19.158623655913981</v>
      </c>
      <c r="Z40" s="108">
        <v>21.165032258064517</v>
      </c>
      <c r="AA40" s="109">
        <v>18.180824372759858</v>
      </c>
      <c r="AB40" s="107">
        <v>23.041405265109379</v>
      </c>
      <c r="AC40" s="108">
        <v>19.967000000000002</v>
      </c>
      <c r="AD40" s="108">
        <v>22.566064516129032</v>
      </c>
      <c r="AE40" s="109">
        <v>25.358147200593251</v>
      </c>
      <c r="AF40" s="107">
        <v>30.775230414746545</v>
      </c>
      <c r="AG40" s="108">
        <v>22.003139784946239</v>
      </c>
      <c r="AH40" s="108">
        <v>20.11922580645161</v>
      </c>
      <c r="AI40" s="110">
        <v>27.871787170930663</v>
      </c>
      <c r="AJ40" s="107">
        <v>42.44163210445469</v>
      </c>
      <c r="AK40" s="108">
        <v>23.159627240143369</v>
      </c>
      <c r="AL40" s="108">
        <v>26.290838709677416</v>
      </c>
      <c r="AM40" s="110">
        <v>30.694301075268815</v>
      </c>
      <c r="AN40" s="107">
        <v>33.484109062980025</v>
      </c>
      <c r="AO40" s="108">
        <v>18.942569892473117</v>
      </c>
      <c r="AP40" s="108">
        <v>19.651143369175628</v>
      </c>
      <c r="AQ40" s="110">
        <v>20.982139784946238</v>
      </c>
      <c r="AR40" s="107">
        <v>17.691316277345198</v>
      </c>
      <c r="AS40" s="108">
        <v>13.950813620071685</v>
      </c>
      <c r="AT40" s="108">
        <v>17.044910394265234</v>
      </c>
      <c r="AU40" s="110">
        <v>21.104684587813619</v>
      </c>
      <c r="AV40" s="107">
        <v>38.034731182795703</v>
      </c>
      <c r="AW40" s="108">
        <v>23.496655913978497</v>
      </c>
      <c r="AX40" s="108">
        <v>35.391627240143372</v>
      </c>
      <c r="AY40" s="110">
        <v>44.995752688172047</v>
      </c>
      <c r="AZ40" s="107">
        <v>87.207115975422425</v>
      </c>
      <c r="BA40" s="108">
        <v>62.091189964157707</v>
      </c>
      <c r="BB40" s="108">
        <v>72.584648745519715</v>
      </c>
      <c r="BC40" s="110">
        <v>65.717350230414752</v>
      </c>
      <c r="BD40" s="107">
        <v>36.992914746543782</v>
      </c>
      <c r="BE40" s="108">
        <v>22.898846743295021</v>
      </c>
      <c r="BF40" s="108">
        <v>25.803125448028677</v>
      </c>
      <c r="BG40" s="109">
        <v>27.207257199357311</v>
      </c>
      <c r="BH40" s="107">
        <v>36.531664812754912</v>
      </c>
      <c r="BI40" s="108">
        <v>23.881666666666664</v>
      </c>
      <c r="BJ40" s="108">
        <v>28.033271749755624</v>
      </c>
      <c r="BK40" s="109">
        <v>37.876666666666665</v>
      </c>
      <c r="BL40" s="107">
        <v>66.61099999999999</v>
      </c>
      <c r="BM40" s="108">
        <v>31.887333333333334</v>
      </c>
      <c r="BN40" s="108">
        <v>36.246333333333332</v>
      </c>
      <c r="BO40" s="109">
        <v>45.479666666666667</v>
      </c>
      <c r="BP40" s="107">
        <v>78.234833333333327</v>
      </c>
      <c r="BQ40" s="108">
        <v>30.730333333333334</v>
      </c>
      <c r="BR40" s="108">
        <v>38.116666666666667</v>
      </c>
      <c r="BS40" s="109">
        <v>47.058333333333337</v>
      </c>
      <c r="BT40" s="107">
        <v>82.607500000000002</v>
      </c>
      <c r="BU40" s="111"/>
      <c r="BV40" s="111"/>
      <c r="BW40" s="26"/>
      <c r="BX40" s="29"/>
      <c r="BY40" s="29"/>
      <c r="BZ40" s="29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</row>
    <row r="41" spans="1:90" x14ac:dyDescent="0.25">
      <c r="A41" s="9"/>
      <c r="B41" s="9"/>
      <c r="C41" s="3" t="s">
        <v>10</v>
      </c>
      <c r="D41" s="3"/>
      <c r="E41" s="3"/>
      <c r="F41" s="20" t="s">
        <v>92</v>
      </c>
      <c r="G41" s="20" t="s">
        <v>176</v>
      </c>
      <c r="H41" s="107">
        <v>51.217703533026111</v>
      </c>
      <c r="I41" s="108">
        <v>39.849598566308238</v>
      </c>
      <c r="J41" s="108">
        <v>42.30766666666667</v>
      </c>
      <c r="K41" s="109">
        <v>33.029612903225804</v>
      </c>
      <c r="L41" s="108">
        <v>29.307712272895809</v>
      </c>
      <c r="M41" s="108">
        <v>23.766767025089607</v>
      </c>
      <c r="N41" s="108">
        <v>31.687706093189963</v>
      </c>
      <c r="O41" s="108">
        <v>37.770362007168465</v>
      </c>
      <c r="P41" s="107">
        <v>59.674685099846393</v>
      </c>
      <c r="Q41" s="108">
        <v>35.055426523297491</v>
      </c>
      <c r="R41" s="108">
        <v>34.506917562724013</v>
      </c>
      <c r="S41" s="108">
        <v>37.765272401433691</v>
      </c>
      <c r="T41" s="107">
        <v>110.91029569892471</v>
      </c>
      <c r="U41" s="108">
        <v>32.673215053763442</v>
      </c>
      <c r="V41" s="108">
        <v>26.835308243727599</v>
      </c>
      <c r="W41" s="109">
        <v>29.098641577060931</v>
      </c>
      <c r="X41" s="107">
        <v>62.701509216589862</v>
      </c>
      <c r="Y41" s="108">
        <v>19.47948745519713</v>
      </c>
      <c r="Z41" s="108">
        <v>21.876344086021504</v>
      </c>
      <c r="AA41" s="109">
        <v>18.500060931899643</v>
      </c>
      <c r="AB41" s="107">
        <v>23.406992955135337</v>
      </c>
      <c r="AC41" s="108">
        <v>20.614000000000001</v>
      </c>
      <c r="AD41" s="108">
        <v>23.551304659498211</v>
      </c>
      <c r="AE41" s="109">
        <v>25.65434396242739</v>
      </c>
      <c r="AF41" s="107">
        <v>31.01460061443932</v>
      </c>
      <c r="AG41" s="108">
        <v>23.135681003584228</v>
      </c>
      <c r="AH41" s="108">
        <v>21.546702508960575</v>
      </c>
      <c r="AI41" s="110">
        <v>28.662506488691136</v>
      </c>
      <c r="AJ41" s="107">
        <v>44.2689247311828</v>
      </c>
      <c r="AK41" s="108">
        <v>23.940620071684588</v>
      </c>
      <c r="AL41" s="108">
        <v>27.827279569892472</v>
      </c>
      <c r="AM41" s="110">
        <v>31.151440860215057</v>
      </c>
      <c r="AN41" s="107">
        <v>34.008728878648235</v>
      </c>
      <c r="AO41" s="108">
        <v>20.387387096774194</v>
      </c>
      <c r="AP41" s="108">
        <v>20.8450394265233</v>
      </c>
      <c r="AQ41" s="110">
        <v>21.317322580645161</v>
      </c>
      <c r="AR41" s="107">
        <v>18.166707452725252</v>
      </c>
      <c r="AS41" s="108">
        <v>14.251544802867384</v>
      </c>
      <c r="AT41" s="108">
        <v>17.756154121863798</v>
      </c>
      <c r="AU41" s="110">
        <v>21.446086021505376</v>
      </c>
      <c r="AV41" s="107">
        <v>39.195910138248848</v>
      </c>
      <c r="AW41" s="108">
        <v>23.922989247311829</v>
      </c>
      <c r="AX41" s="108">
        <v>36.751745519713261</v>
      </c>
      <c r="AY41" s="110">
        <v>45.955767025089607</v>
      </c>
      <c r="AZ41" s="107">
        <v>88.427377112135176</v>
      </c>
      <c r="BA41" s="108">
        <v>63.110179211469529</v>
      </c>
      <c r="BB41" s="108">
        <v>74.391806451612908</v>
      </c>
      <c r="BC41" s="110">
        <v>66.677703533026104</v>
      </c>
      <c r="BD41" s="107">
        <v>37.281643625192011</v>
      </c>
      <c r="BE41" s="108">
        <v>23.224651340996171</v>
      </c>
      <c r="BF41" s="108">
        <v>26.321562724014338</v>
      </c>
      <c r="BG41" s="109">
        <v>27.598139290569765</v>
      </c>
      <c r="BH41" s="107">
        <v>37.594886911383021</v>
      </c>
      <c r="BI41" s="108">
        <v>24.427555555555557</v>
      </c>
      <c r="BJ41" s="108">
        <v>28.87366275659824</v>
      </c>
      <c r="BK41" s="109">
        <v>39.243333333333332</v>
      </c>
      <c r="BL41" s="107">
        <v>71.186666666666667</v>
      </c>
      <c r="BM41" s="108">
        <v>33.725999999999999</v>
      </c>
      <c r="BN41" s="108">
        <v>39.074999999999996</v>
      </c>
      <c r="BO41" s="109">
        <v>48.520333333333333</v>
      </c>
      <c r="BP41" s="107">
        <v>78.534000000000006</v>
      </c>
      <c r="BQ41" s="108">
        <v>32.68566666666667</v>
      </c>
      <c r="BR41" s="108">
        <v>40.643000000000001</v>
      </c>
      <c r="BS41" s="109">
        <v>50.187333333333335</v>
      </c>
      <c r="BT41" s="107">
        <v>94.008250000000004</v>
      </c>
      <c r="BU41" s="111"/>
      <c r="BV41" s="111"/>
      <c r="BW41" s="26"/>
      <c r="BX41" s="29"/>
      <c r="BY41" s="29"/>
      <c r="BZ41" s="29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</row>
    <row r="42" spans="1:90" x14ac:dyDescent="0.25">
      <c r="A42" s="9"/>
      <c r="B42" s="9"/>
      <c r="C42" s="3" t="s">
        <v>11</v>
      </c>
      <c r="D42" s="3"/>
      <c r="E42" s="3"/>
      <c r="F42" s="20" t="s">
        <v>86</v>
      </c>
      <c r="G42" s="20" t="s">
        <v>177</v>
      </c>
      <c r="H42" s="107">
        <v>41.578717357910911</v>
      </c>
      <c r="I42" s="108">
        <v>34.073795698924734</v>
      </c>
      <c r="J42" s="108">
        <v>33.979060931899646</v>
      </c>
      <c r="K42" s="109">
        <v>31.896204301075272</v>
      </c>
      <c r="L42" s="108">
        <v>28.550674823878381</v>
      </c>
      <c r="M42" s="108">
        <v>23.868584229390681</v>
      </c>
      <c r="N42" s="108">
        <v>26.3534229390681</v>
      </c>
      <c r="O42" s="108">
        <v>31.292283154121861</v>
      </c>
      <c r="P42" s="107">
        <v>33.64162442396313</v>
      </c>
      <c r="Q42" s="108">
        <v>31.076566308243731</v>
      </c>
      <c r="R42" s="108">
        <v>28.673139784946233</v>
      </c>
      <c r="S42" s="108">
        <v>32.954774193548388</v>
      </c>
      <c r="T42" s="107">
        <v>75.767427035330257</v>
      </c>
      <c r="U42" s="108">
        <v>32.419921146953406</v>
      </c>
      <c r="V42" s="108">
        <v>27.762207885304662</v>
      </c>
      <c r="W42" s="109">
        <v>30.25106810035842</v>
      </c>
      <c r="X42" s="107">
        <v>45.347515360983103</v>
      </c>
      <c r="Y42" s="108">
        <v>25.62824014336918</v>
      </c>
      <c r="Z42" s="108">
        <v>23.185093189964153</v>
      </c>
      <c r="AA42" s="109">
        <v>23.37556630824373</v>
      </c>
      <c r="AB42" s="107">
        <v>25.254738598442714</v>
      </c>
      <c r="AC42" s="108">
        <v>21.023616487455197</v>
      </c>
      <c r="AD42" s="108">
        <v>22.789408602150541</v>
      </c>
      <c r="AE42" s="109">
        <v>25.739426523297492</v>
      </c>
      <c r="AF42" s="107">
        <v>26.821432411674348</v>
      </c>
      <c r="AG42" s="108">
        <v>22.619584229390682</v>
      </c>
      <c r="AH42" s="108">
        <v>21.91022580645161</v>
      </c>
      <c r="AI42" s="110">
        <v>27.646648745519713</v>
      </c>
      <c r="AJ42" s="107">
        <v>41.514711981566826</v>
      </c>
      <c r="AK42" s="108">
        <v>26.223602150537634</v>
      </c>
      <c r="AL42" s="108">
        <v>24.317541218637995</v>
      </c>
      <c r="AM42" s="110">
        <v>30.413071684587816</v>
      </c>
      <c r="AN42" s="107">
        <v>27.751643625192013</v>
      </c>
      <c r="AO42" s="108">
        <v>20.281756272401434</v>
      </c>
      <c r="AP42" s="108">
        <v>20.168591397849465</v>
      </c>
      <c r="AQ42" s="110">
        <v>22.603118279569895</v>
      </c>
      <c r="AR42" s="107">
        <v>18.024412309974043</v>
      </c>
      <c r="AS42" s="108">
        <v>14.567286738351255</v>
      </c>
      <c r="AT42" s="108">
        <v>16.527161290322578</v>
      </c>
      <c r="AU42" s="110">
        <v>19.666247311827956</v>
      </c>
      <c r="AV42" s="107">
        <v>27.673275729646694</v>
      </c>
      <c r="AW42" s="108">
        <v>23.018985663082436</v>
      </c>
      <c r="AX42" s="108">
        <v>31.685784946236563</v>
      </c>
      <c r="AY42" s="110">
        <v>46.920946236559139</v>
      </c>
      <c r="AZ42" s="107">
        <v>51.972269585253457</v>
      </c>
      <c r="BA42" s="108">
        <v>60.19919713261649</v>
      </c>
      <c r="BB42" s="108">
        <v>67.690129032258071</v>
      </c>
      <c r="BC42" s="110">
        <v>61.581353355580269</v>
      </c>
      <c r="BD42" s="107">
        <v>29.256540706605222</v>
      </c>
      <c r="BE42" s="108">
        <v>23.281329749103943</v>
      </c>
      <c r="BF42" s="108">
        <v>23.084802867383512</v>
      </c>
      <c r="BG42" s="109">
        <v>32.060279569892479</v>
      </c>
      <c r="BH42" s="107">
        <v>30.478301816833522</v>
      </c>
      <c r="BI42" s="108">
        <v>23.49981609195402</v>
      </c>
      <c r="BJ42" s="108">
        <v>25.215279569892473</v>
      </c>
      <c r="BK42" s="109">
        <v>34.777000000000001</v>
      </c>
      <c r="BL42" s="107">
        <v>46.710999999999991</v>
      </c>
      <c r="BM42" s="108">
        <v>30.603999999999999</v>
      </c>
      <c r="BN42" s="108">
        <v>33.880666666666663</v>
      </c>
      <c r="BO42" s="109">
        <v>40.469000000000001</v>
      </c>
      <c r="BP42" s="107">
        <v>54.403666666666673</v>
      </c>
      <c r="BQ42" s="108">
        <v>32.24</v>
      </c>
      <c r="BR42" s="108">
        <v>36.578666666666663</v>
      </c>
      <c r="BS42" s="109">
        <v>41.871000000000002</v>
      </c>
      <c r="BT42" s="107">
        <v>61.461750000000002</v>
      </c>
      <c r="BU42" s="111"/>
      <c r="BV42" s="111"/>
      <c r="BW42" s="26"/>
      <c r="BX42" s="29"/>
      <c r="BY42" s="29"/>
      <c r="BZ42" s="29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</row>
    <row r="43" spans="1:90" x14ac:dyDescent="0.25">
      <c r="A43" s="9"/>
      <c r="B43" s="9"/>
      <c r="C43" s="3" t="s">
        <v>12</v>
      </c>
      <c r="D43" s="3"/>
      <c r="E43" s="3"/>
      <c r="F43" s="20" t="s">
        <v>87</v>
      </c>
      <c r="G43" s="20" t="s">
        <v>178</v>
      </c>
      <c r="H43" s="107">
        <v>48.083571428571425</v>
      </c>
      <c r="I43" s="108">
        <v>36.092243727598564</v>
      </c>
      <c r="J43" s="108">
        <v>37.203688172043009</v>
      </c>
      <c r="K43" s="109">
        <v>31.937677419354838</v>
      </c>
      <c r="L43" s="108">
        <v>29.177601038190584</v>
      </c>
      <c r="M43" s="108">
        <v>23.388035842293906</v>
      </c>
      <c r="N43" s="108">
        <v>29.063060931899642</v>
      </c>
      <c r="O43" s="108">
        <v>33.259293906810036</v>
      </c>
      <c r="P43" s="107">
        <v>34.311420890937022</v>
      </c>
      <c r="Q43" s="108">
        <v>32.601010752688175</v>
      </c>
      <c r="R43" s="108">
        <v>30.45610752688172</v>
      </c>
      <c r="S43" s="108">
        <v>33.582250896057353</v>
      </c>
      <c r="T43" s="107">
        <v>92.80697388632872</v>
      </c>
      <c r="U43" s="108">
        <v>32.843103942652327</v>
      </c>
      <c r="V43" s="108">
        <v>26.12511111111111</v>
      </c>
      <c r="W43" s="109">
        <v>38.056275985663085</v>
      </c>
      <c r="X43" s="107">
        <v>55.255990783410141</v>
      </c>
      <c r="Y43" s="108">
        <v>24.929222222222222</v>
      </c>
      <c r="Z43" s="108">
        <v>20.540412186379928</v>
      </c>
      <c r="AA43" s="109">
        <v>23.924777777777777</v>
      </c>
      <c r="AB43" s="107">
        <v>27.279276974416018</v>
      </c>
      <c r="AC43" s="108">
        <v>19.281114695340502</v>
      </c>
      <c r="AD43" s="108">
        <v>21.88145878136201</v>
      </c>
      <c r="AE43" s="109">
        <v>20.956806451612902</v>
      </c>
      <c r="AF43" s="107">
        <v>28.990660522273426</v>
      </c>
      <c r="AG43" s="108">
        <v>21.984344086021508</v>
      </c>
      <c r="AH43" s="108">
        <v>19.496293906810038</v>
      </c>
      <c r="AI43" s="110">
        <v>30.979917562724012</v>
      </c>
      <c r="AJ43" s="107">
        <v>45.176466973886335</v>
      </c>
      <c r="AK43" s="108">
        <v>24.124985663082438</v>
      </c>
      <c r="AL43" s="108">
        <v>24.36968100358423</v>
      </c>
      <c r="AM43" s="110">
        <v>33.634921146953403</v>
      </c>
      <c r="AN43" s="107">
        <v>28.109600614439326</v>
      </c>
      <c r="AO43" s="108">
        <v>19.133071684587815</v>
      </c>
      <c r="AP43" s="108">
        <v>19.015007168458784</v>
      </c>
      <c r="AQ43" s="110">
        <v>19.379817204301073</v>
      </c>
      <c r="AR43" s="107">
        <v>17.356863181312573</v>
      </c>
      <c r="AS43" s="108">
        <v>13.666727598566306</v>
      </c>
      <c r="AT43" s="108">
        <v>15.57025448028674</v>
      </c>
      <c r="AU43" s="110">
        <v>18.875394265232973</v>
      </c>
      <c r="AV43" s="107">
        <v>32.46409370199693</v>
      </c>
      <c r="AW43" s="108">
        <v>21.19268458781362</v>
      </c>
      <c r="AX43" s="108">
        <v>30.895795698924729</v>
      </c>
      <c r="AY43" s="110">
        <v>42.39137275985663</v>
      </c>
      <c r="AZ43" s="107">
        <v>54.478141321044546</v>
      </c>
      <c r="BA43" s="108">
        <v>54.540469534050182</v>
      </c>
      <c r="BB43" s="108">
        <v>64.93725448028674</v>
      </c>
      <c r="BC43" s="110">
        <v>58.797000370782349</v>
      </c>
      <c r="BD43" s="107">
        <v>26.868467741935486</v>
      </c>
      <c r="BE43" s="108">
        <v>17.471865282412555</v>
      </c>
      <c r="BF43" s="108">
        <v>20.126082437275986</v>
      </c>
      <c r="BG43" s="109">
        <v>24.936168458781363</v>
      </c>
      <c r="BH43" s="107">
        <v>27.067408231368187</v>
      </c>
      <c r="BI43" s="108">
        <v>20.294620689655172</v>
      </c>
      <c r="BJ43" s="108">
        <v>26.124003910068424</v>
      </c>
      <c r="BK43" s="109">
        <v>35.55833333333333</v>
      </c>
      <c r="BL43" s="107">
        <v>49.286666666666669</v>
      </c>
      <c r="BM43" s="108">
        <v>30.120666666666665</v>
      </c>
      <c r="BN43" s="108">
        <v>35.076000000000001</v>
      </c>
      <c r="BO43" s="109">
        <v>39.729666666666667</v>
      </c>
      <c r="BP43" s="107">
        <v>54.56733333333333</v>
      </c>
      <c r="BQ43" s="108">
        <v>31.944333333333333</v>
      </c>
      <c r="BR43" s="108">
        <v>36.759666666666668</v>
      </c>
      <c r="BS43" s="109">
        <v>41.532000000000004</v>
      </c>
      <c r="BT43" s="107">
        <v>63.910000000000004</v>
      </c>
      <c r="BU43" s="111"/>
      <c r="BV43" s="111"/>
      <c r="BW43" s="26"/>
      <c r="BX43" s="29"/>
      <c r="BY43" s="29"/>
      <c r="BZ43" s="29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</row>
    <row r="44" spans="1:90" x14ac:dyDescent="0.25">
      <c r="A44" s="9"/>
      <c r="B44" s="9"/>
      <c r="C44" s="3" t="s">
        <v>13</v>
      </c>
      <c r="D44" s="3"/>
      <c r="E44" s="3"/>
      <c r="F44" s="20" t="s">
        <v>159</v>
      </c>
      <c r="G44" s="20" t="s">
        <v>198</v>
      </c>
      <c r="H44" s="107">
        <v>33.347884024577574</v>
      </c>
      <c r="I44" s="108">
        <v>30.961928315412184</v>
      </c>
      <c r="J44" s="108">
        <v>31.972670250896059</v>
      </c>
      <c r="K44" s="109">
        <v>30.547093189964158</v>
      </c>
      <c r="L44" s="108">
        <v>25.688824619948093</v>
      </c>
      <c r="M44" s="108">
        <v>21.720017921146951</v>
      </c>
      <c r="N44" s="108">
        <v>25.605992831541219</v>
      </c>
      <c r="O44" s="108">
        <v>29.721530465949822</v>
      </c>
      <c r="P44" s="107">
        <v>30.705595238095238</v>
      </c>
      <c r="Q44" s="108">
        <v>28.693759856630823</v>
      </c>
      <c r="R44" s="108">
        <v>26.279329749103947</v>
      </c>
      <c r="S44" s="108">
        <v>28.579713261648749</v>
      </c>
      <c r="T44" s="107">
        <v>55.541236559139783</v>
      </c>
      <c r="U44" s="108">
        <v>30.851795698924729</v>
      </c>
      <c r="V44" s="108">
        <v>26.495060931899644</v>
      </c>
      <c r="W44" s="109">
        <v>30.12110035842294</v>
      </c>
      <c r="X44" s="107">
        <v>33.94347107014849</v>
      </c>
      <c r="Y44" s="108">
        <v>24.430885304659498</v>
      </c>
      <c r="Z44" s="108">
        <v>22.768344086021504</v>
      </c>
      <c r="AA44" s="109">
        <v>22.008093189964157</v>
      </c>
      <c r="AB44" s="107">
        <v>21.947886540600667</v>
      </c>
      <c r="AC44" s="108">
        <v>21.22931899641577</v>
      </c>
      <c r="AD44" s="108">
        <v>22.398551971326167</v>
      </c>
      <c r="AE44" s="109">
        <v>25.043734890619206</v>
      </c>
      <c r="AF44" s="107">
        <v>25.45239247311828</v>
      </c>
      <c r="AG44" s="108">
        <v>22.470820788530471</v>
      </c>
      <c r="AH44" s="108">
        <v>22.564992831541218</v>
      </c>
      <c r="AI44" s="110">
        <v>26.184466073414907</v>
      </c>
      <c r="AJ44" s="107">
        <v>34.112392985151047</v>
      </c>
      <c r="AK44" s="108">
        <v>27.232039426523301</v>
      </c>
      <c r="AL44" s="108">
        <v>24.363473118279568</v>
      </c>
      <c r="AM44" s="110">
        <v>29.279265232974911</v>
      </c>
      <c r="AN44" s="107">
        <v>26.956123399897592</v>
      </c>
      <c r="AO44" s="108">
        <v>20.089566308243729</v>
      </c>
      <c r="AP44" s="108">
        <v>20.698157706093191</v>
      </c>
      <c r="AQ44" s="110">
        <v>23.335777777777775</v>
      </c>
      <c r="AR44" s="107">
        <v>17.674867383512545</v>
      </c>
      <c r="AS44" s="108">
        <v>14.84194982078853</v>
      </c>
      <c r="AT44" s="108">
        <v>17.344182795698927</v>
      </c>
      <c r="AU44" s="110">
        <v>19.694526881720432</v>
      </c>
      <c r="AV44" s="107">
        <v>26.505384024577577</v>
      </c>
      <c r="AW44" s="108">
        <v>23.336759856630824</v>
      </c>
      <c r="AX44" s="108">
        <v>32.231960573476705</v>
      </c>
      <c r="AY44" s="110">
        <v>46.117534050179216</v>
      </c>
      <c r="AZ44" s="107">
        <v>43.98985407066052</v>
      </c>
      <c r="BA44" s="108">
        <v>57.759818740399389</v>
      </c>
      <c r="BB44" s="108">
        <v>65.376225806451615</v>
      </c>
      <c r="BC44" s="110">
        <v>60.394781362007166</v>
      </c>
      <c r="BD44" s="107">
        <v>26.509850230414745</v>
      </c>
      <c r="BE44" s="108">
        <v>22.587222222222223</v>
      </c>
      <c r="BF44" s="108">
        <v>23.075562724014336</v>
      </c>
      <c r="BG44" s="109">
        <v>26.13768458781362</v>
      </c>
      <c r="BH44" s="107">
        <v>25.081234705228031</v>
      </c>
      <c r="BI44" s="108">
        <v>23.632151614668857</v>
      </c>
      <c r="BJ44" s="108">
        <v>24.677727969348656</v>
      </c>
      <c r="BK44" s="109">
        <v>32.890999999999998</v>
      </c>
      <c r="BL44" s="107">
        <v>40.669999999999995</v>
      </c>
      <c r="BM44" s="108">
        <v>29.324666666666669</v>
      </c>
      <c r="BN44" s="108">
        <v>32.806999999999995</v>
      </c>
      <c r="BO44" s="109">
        <v>37.423333333333332</v>
      </c>
      <c r="BP44" s="107">
        <v>44.983166666666669</v>
      </c>
      <c r="BQ44" s="108">
        <v>30.033000000000001</v>
      </c>
      <c r="BR44" s="108">
        <v>33.833333333333336</v>
      </c>
      <c r="BS44" s="109">
        <v>38.405999999999999</v>
      </c>
      <c r="BT44" s="107">
        <v>51.682500000000005</v>
      </c>
      <c r="BU44" s="111"/>
      <c r="BV44" s="111"/>
      <c r="BW44" s="26"/>
      <c r="BX44" s="29"/>
      <c r="BY44" s="29"/>
      <c r="BZ44" s="29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</row>
    <row r="45" spans="1:90" x14ac:dyDescent="0.25">
      <c r="A45" s="9"/>
      <c r="B45" s="9"/>
      <c r="C45" s="3" t="s">
        <v>14</v>
      </c>
      <c r="D45" s="3"/>
      <c r="E45" s="3"/>
      <c r="F45" s="20" t="s">
        <v>160</v>
      </c>
      <c r="G45" s="129"/>
      <c r="H45" s="107">
        <v>33.298033794162826</v>
      </c>
      <c r="I45" s="108">
        <v>31.009340501792114</v>
      </c>
      <c r="J45" s="108">
        <v>32.125118279569897</v>
      </c>
      <c r="K45" s="109">
        <v>30.676046594982079</v>
      </c>
      <c r="L45" s="108">
        <v>25.688591027067108</v>
      </c>
      <c r="M45" s="108">
        <v>21.837681003584226</v>
      </c>
      <c r="N45" s="108">
        <v>25.724408602150536</v>
      </c>
      <c r="O45" s="108">
        <v>29.811258064516128</v>
      </c>
      <c r="P45" s="107">
        <v>30.590199692780342</v>
      </c>
      <c r="Q45" s="108">
        <v>28.865225806451615</v>
      </c>
      <c r="R45" s="108">
        <v>26.415559139784946</v>
      </c>
      <c r="S45" s="108">
        <v>28.627401433691755</v>
      </c>
      <c r="T45" s="107">
        <v>55.214420122887866</v>
      </c>
      <c r="U45" s="108">
        <v>31.095670250896053</v>
      </c>
      <c r="V45" s="108">
        <v>26.585681003584227</v>
      </c>
      <c r="W45" s="109">
        <v>29.954075268817206</v>
      </c>
      <c r="X45" s="107">
        <v>33.825161546338968</v>
      </c>
      <c r="Y45" s="108">
        <v>24.376419354838713</v>
      </c>
      <c r="Z45" s="108">
        <v>22.842021505376341</v>
      </c>
      <c r="AA45" s="109">
        <v>21.997132616487452</v>
      </c>
      <c r="AB45" s="107">
        <v>22.072717834631067</v>
      </c>
      <c r="AC45" s="108">
        <v>21.379215053763442</v>
      </c>
      <c r="AD45" s="108">
        <v>22.513336917562725</v>
      </c>
      <c r="AE45" s="109">
        <v>24.973278581139539</v>
      </c>
      <c r="AF45" s="107">
        <v>25.481344086021505</v>
      </c>
      <c r="AG45" s="108">
        <v>22.570086021505375</v>
      </c>
      <c r="AH45" s="108">
        <v>22.690290322580648</v>
      </c>
      <c r="AI45" s="110">
        <v>26.094084538375977</v>
      </c>
      <c r="AJ45" s="107">
        <v>33.19622759856631</v>
      </c>
      <c r="AK45" s="108">
        <v>27.39832616487455</v>
      </c>
      <c r="AL45" s="108">
        <v>24.422025089605736</v>
      </c>
      <c r="AM45" s="110">
        <v>29.34837275985663</v>
      </c>
      <c r="AN45" s="107">
        <v>26.969953149001537</v>
      </c>
      <c r="AO45" s="108">
        <v>20.184967741935484</v>
      </c>
      <c r="AP45" s="108">
        <v>20.775709677419353</v>
      </c>
      <c r="AQ45" s="110">
        <v>23.38905376344086</v>
      </c>
      <c r="AR45" s="107">
        <v>17.671227660363368</v>
      </c>
      <c r="AS45" s="108">
        <v>14.852569892473118</v>
      </c>
      <c r="AT45" s="108">
        <v>17.429290322580645</v>
      </c>
      <c r="AU45" s="110">
        <v>19.592501792114696</v>
      </c>
      <c r="AV45" s="107">
        <v>26.498646953405018</v>
      </c>
      <c r="AW45" s="108">
        <v>23.430964157706089</v>
      </c>
      <c r="AX45" s="108">
        <v>32.313236559139789</v>
      </c>
      <c r="AY45" s="110">
        <v>45.306498207885305</v>
      </c>
      <c r="AZ45" s="107">
        <v>43.693049155145928</v>
      </c>
      <c r="BA45" s="108">
        <v>57.612471326164872</v>
      </c>
      <c r="BB45" s="108">
        <v>65.358139784946232</v>
      </c>
      <c r="BC45" s="110">
        <v>59.920229390681008</v>
      </c>
      <c r="BD45" s="107">
        <v>26.348091397849462</v>
      </c>
      <c r="BE45" s="108">
        <v>22.551111111111112</v>
      </c>
      <c r="BF45" s="108">
        <v>23.140146953405019</v>
      </c>
      <c r="BG45" s="109">
        <v>26.065799283154121</v>
      </c>
      <c r="BH45" s="107">
        <v>25.104175009269557</v>
      </c>
      <c r="BI45" s="108">
        <v>23.491459496442257</v>
      </c>
      <c r="BJ45" s="108">
        <v>23.89442528735632</v>
      </c>
      <c r="BK45" s="109"/>
      <c r="BL45" s="107"/>
      <c r="BM45" s="108"/>
      <c r="BN45" s="108"/>
      <c r="BO45" s="109"/>
      <c r="BP45" s="107"/>
      <c r="BQ45" s="108"/>
      <c r="BR45" s="108"/>
      <c r="BS45" s="109"/>
      <c r="BT45" s="107"/>
      <c r="BU45" s="111"/>
      <c r="BV45" s="111"/>
      <c r="BW45" s="26"/>
      <c r="BX45" s="29"/>
      <c r="BY45" s="29"/>
      <c r="BZ45" s="29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</row>
    <row r="46" spans="1:90" x14ac:dyDescent="0.25">
      <c r="A46" s="9"/>
      <c r="B46" s="9"/>
      <c r="C46" s="3" t="s">
        <v>15</v>
      </c>
      <c r="D46" s="3"/>
      <c r="E46" s="3"/>
      <c r="F46" s="20" t="s">
        <v>88</v>
      </c>
      <c r="G46" s="20" t="s">
        <v>179</v>
      </c>
      <c r="H46" s="107">
        <v>28.365737327188942</v>
      </c>
      <c r="I46" s="108">
        <v>24.09255555555556</v>
      </c>
      <c r="J46" s="108">
        <v>25.695250896057349</v>
      </c>
      <c r="K46" s="109">
        <v>20.59753405017921</v>
      </c>
      <c r="L46" s="108">
        <v>24.09860585836114</v>
      </c>
      <c r="M46" s="108">
        <v>19.812279569892471</v>
      </c>
      <c r="N46" s="108">
        <v>23.774541218637992</v>
      </c>
      <c r="O46" s="108">
        <v>23.10483870967742</v>
      </c>
      <c r="P46" s="107">
        <v>27.405944700460832</v>
      </c>
      <c r="Q46" s="108">
        <v>25.874584229390681</v>
      </c>
      <c r="R46" s="108">
        <v>23.870684587813617</v>
      </c>
      <c r="S46" s="108">
        <v>26.149584229390683</v>
      </c>
      <c r="T46" s="107">
        <v>46.07847542242704</v>
      </c>
      <c r="U46" s="108">
        <v>27.005200716845877</v>
      </c>
      <c r="V46" s="108">
        <v>24.014017921146955</v>
      </c>
      <c r="W46" s="109">
        <v>25.285017921146949</v>
      </c>
      <c r="X46" s="107">
        <v>27.835195852534564</v>
      </c>
      <c r="Y46" s="108">
        <v>18.379376344086022</v>
      </c>
      <c r="Z46" s="108">
        <v>21.306949820788532</v>
      </c>
      <c r="AA46" s="109">
        <v>19.738121863799282</v>
      </c>
      <c r="AB46" s="107">
        <v>19.842135706340379</v>
      </c>
      <c r="AC46" s="108">
        <v>18.19563082437276</v>
      </c>
      <c r="AD46" s="108">
        <v>21.276777777777777</v>
      </c>
      <c r="AE46" s="109">
        <v>23.444842293906806</v>
      </c>
      <c r="AF46" s="107">
        <v>23.188306451612902</v>
      </c>
      <c r="AG46" s="108">
        <v>20.113939068100358</v>
      </c>
      <c r="AH46" s="108">
        <v>18.337401433691756</v>
      </c>
      <c r="AI46" s="110">
        <v>21.493344086021505</v>
      </c>
      <c r="AJ46" s="107">
        <v>22.854642857142853</v>
      </c>
      <c r="AK46" s="108">
        <v>18.778000000000002</v>
      </c>
      <c r="AL46" s="108">
        <v>22.038691756272403</v>
      </c>
      <c r="AM46" s="110">
        <v>24.745315412186375</v>
      </c>
      <c r="AN46" s="107">
        <v>22.725783410138249</v>
      </c>
      <c r="AO46" s="108">
        <v>18.287035842293907</v>
      </c>
      <c r="AP46" s="108">
        <v>17.056290322580647</v>
      </c>
      <c r="AQ46" s="110">
        <v>16.944544802867384</v>
      </c>
      <c r="AR46" s="107">
        <v>16.37061920652577</v>
      </c>
      <c r="AS46" s="108">
        <v>12.41815770609319</v>
      </c>
      <c r="AT46" s="108">
        <v>15.267154121863799</v>
      </c>
      <c r="AU46" s="110">
        <v>16.659799283154122</v>
      </c>
      <c r="AV46" s="107">
        <v>24.988302611367128</v>
      </c>
      <c r="AW46" s="108">
        <v>21.212881720430108</v>
      </c>
      <c r="AX46" s="108">
        <v>30.059279569892471</v>
      </c>
      <c r="AY46" s="110">
        <v>36.044835125448024</v>
      </c>
      <c r="AZ46" s="107">
        <v>35.337546082949309</v>
      </c>
      <c r="BA46" s="108">
        <v>47.594390681003581</v>
      </c>
      <c r="BB46" s="108">
        <v>60.494186379928315</v>
      </c>
      <c r="BC46" s="110">
        <v>43.373978494623657</v>
      </c>
      <c r="BD46" s="107">
        <v>22.818207117255508</v>
      </c>
      <c r="BE46" s="108">
        <v>15.336743789395625</v>
      </c>
      <c r="BF46" s="108">
        <v>21.778172043010752</v>
      </c>
      <c r="BG46" s="109">
        <v>20.639609318996417</v>
      </c>
      <c r="BH46" s="107">
        <v>22.894942528735637</v>
      </c>
      <c r="BI46" s="108">
        <v>15.612743295019158</v>
      </c>
      <c r="BJ46" s="108">
        <v>18.680505376344087</v>
      </c>
      <c r="BK46" s="109">
        <v>25.492666666666665</v>
      </c>
      <c r="BL46" s="107">
        <v>35.363999999999997</v>
      </c>
      <c r="BM46" s="108">
        <v>23.592333333333332</v>
      </c>
      <c r="BN46" s="108">
        <v>28.414000000000001</v>
      </c>
      <c r="BO46" s="109">
        <v>29.799333333333333</v>
      </c>
      <c r="BP46" s="107">
        <v>38.283999999999999</v>
      </c>
      <c r="BQ46" s="108">
        <v>25.420666666666666</v>
      </c>
      <c r="BR46" s="108">
        <v>28.983333333333331</v>
      </c>
      <c r="BS46" s="109">
        <v>28.998666666666669</v>
      </c>
      <c r="BT46" s="107">
        <v>46.433250000000001</v>
      </c>
      <c r="BU46" s="111"/>
      <c r="BV46" s="111"/>
      <c r="BW46" s="26"/>
      <c r="BX46" s="29"/>
      <c r="BY46" s="29"/>
      <c r="BZ46" s="29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</row>
    <row r="47" spans="1:90" x14ac:dyDescent="0.25">
      <c r="A47" s="9"/>
      <c r="B47" s="9"/>
      <c r="C47" s="3" t="s">
        <v>16</v>
      </c>
      <c r="D47" s="3"/>
      <c r="E47" s="3"/>
      <c r="F47" s="20" t="s">
        <v>82</v>
      </c>
      <c r="G47" s="20" t="s">
        <v>215</v>
      </c>
      <c r="H47" s="107">
        <v>28.792995391705073</v>
      </c>
      <c r="I47" s="108">
        <v>26.111336917562724</v>
      </c>
      <c r="J47" s="108">
        <v>26.0621935483871</v>
      </c>
      <c r="K47" s="109">
        <v>21.418881720430107</v>
      </c>
      <c r="L47" s="108">
        <v>17.818427882832779</v>
      </c>
      <c r="M47" s="108">
        <v>15.593275985663084</v>
      </c>
      <c r="N47" s="108">
        <v>19.09759139784946</v>
      </c>
      <c r="O47" s="108">
        <v>21.150172043010752</v>
      </c>
      <c r="P47" s="107">
        <v>22.638437019969277</v>
      </c>
      <c r="Q47" s="108">
        <v>25.558698924731186</v>
      </c>
      <c r="R47" s="108">
        <v>24.006551971326164</v>
      </c>
      <c r="S47" s="108">
        <v>25.971541218637991</v>
      </c>
      <c r="T47" s="107">
        <v>32.398306451612903</v>
      </c>
      <c r="U47" s="108">
        <v>29.50877419354839</v>
      </c>
      <c r="V47" s="108">
        <v>26.784053763440863</v>
      </c>
      <c r="W47" s="109">
        <v>23.937885304659499</v>
      </c>
      <c r="X47" s="107">
        <v>19.345460829493089</v>
      </c>
      <c r="Y47" s="108">
        <v>18.209286738351253</v>
      </c>
      <c r="Z47" s="108">
        <v>18.644146953405016</v>
      </c>
      <c r="AA47" s="109">
        <v>15.067688172043011</v>
      </c>
      <c r="AB47" s="107">
        <v>12.695928809788654</v>
      </c>
      <c r="AC47" s="108">
        <v>12.968508960573478</v>
      </c>
      <c r="AD47" s="108">
        <v>18.55052329749104</v>
      </c>
      <c r="AE47" s="109">
        <v>16.590422939068102</v>
      </c>
      <c r="AF47" s="107">
        <v>17.379857910906299</v>
      </c>
      <c r="AG47" s="108">
        <v>20.988688172043013</v>
      </c>
      <c r="AH47" s="108">
        <v>19.935666666666666</v>
      </c>
      <c r="AI47" s="110">
        <v>18.296793968607094</v>
      </c>
      <c r="AJ47" s="107">
        <v>21.803218125960058</v>
      </c>
      <c r="AK47" s="108">
        <v>21.155616487455198</v>
      </c>
      <c r="AL47" s="108">
        <v>27.129236559139787</v>
      </c>
      <c r="AM47" s="110">
        <v>25.555974910394266</v>
      </c>
      <c r="AN47" s="107">
        <v>20.077050691244239</v>
      </c>
      <c r="AO47" s="108">
        <v>19.028960573476706</v>
      </c>
      <c r="AP47" s="108">
        <v>21.584390681003583</v>
      </c>
      <c r="AQ47" s="110">
        <v>17.980663082437278</v>
      </c>
      <c r="AR47" s="107">
        <v>14.836277345198368</v>
      </c>
      <c r="AS47" s="108">
        <v>13.490698924731182</v>
      </c>
      <c r="AT47" s="108">
        <v>18.018763440860216</v>
      </c>
      <c r="AU47" s="110">
        <v>18.575293906810035</v>
      </c>
      <c r="AV47" s="107">
        <v>513.02547619047607</v>
      </c>
      <c r="AW47" s="108">
        <v>22.95231541218638</v>
      </c>
      <c r="AX47" s="108">
        <v>31.178316648127549</v>
      </c>
      <c r="AY47" s="110">
        <v>31.927272401433687</v>
      </c>
      <c r="AZ47" s="107">
        <v>31.520698924731182</v>
      </c>
      <c r="BA47" s="108">
        <v>60.236752688172039</v>
      </c>
      <c r="BB47" s="108">
        <v>62.690230503028062</v>
      </c>
      <c r="BC47" s="110">
        <v>45.069310344827585</v>
      </c>
      <c r="BD47" s="107">
        <v>18.907290476190475</v>
      </c>
      <c r="BE47" s="108">
        <v>22.281172413793104</v>
      </c>
      <c r="BF47" s="108">
        <v>52.040743021346465</v>
      </c>
      <c r="BG47" s="109">
        <v>21.811176105137395</v>
      </c>
      <c r="BH47" s="107">
        <v>20.655462241997281</v>
      </c>
      <c r="BI47" s="108">
        <v>22.131288724685277</v>
      </c>
      <c r="BJ47" s="108">
        <v>22.833322580645159</v>
      </c>
      <c r="BK47" s="109">
        <v>26.926666666666666</v>
      </c>
      <c r="BL47" s="107">
        <v>49.259333333333331</v>
      </c>
      <c r="BM47" s="108">
        <v>35.447333333333333</v>
      </c>
      <c r="BN47" s="108">
        <v>46.280666666666662</v>
      </c>
      <c r="BO47" s="109">
        <v>37.702333333333335</v>
      </c>
      <c r="BP47" s="107">
        <v>51.395333333333326</v>
      </c>
      <c r="BQ47" s="108">
        <v>34.800333333333334</v>
      </c>
      <c r="BR47" s="108">
        <v>48.792999999999999</v>
      </c>
      <c r="BS47" s="109">
        <v>37.945666666666661</v>
      </c>
      <c r="BT47" s="107">
        <v>63.46275</v>
      </c>
      <c r="BU47" s="111"/>
      <c r="BV47" s="111"/>
      <c r="BW47" s="26"/>
      <c r="BX47" s="29"/>
      <c r="BY47" s="29"/>
      <c r="BZ47" s="29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</row>
    <row r="48" spans="1:90" x14ac:dyDescent="0.25">
      <c r="A48" s="9"/>
      <c r="B48" s="9"/>
      <c r="C48" s="3" t="s">
        <v>17</v>
      </c>
      <c r="D48" s="3"/>
      <c r="E48" s="3"/>
      <c r="F48" s="20" t="s">
        <v>83</v>
      </c>
      <c r="G48" s="20" t="s">
        <v>216</v>
      </c>
      <c r="H48" s="107">
        <v>29.003844086021505</v>
      </c>
      <c r="I48" s="108">
        <v>26.346229390681003</v>
      </c>
      <c r="J48" s="108">
        <v>26.107856630824372</v>
      </c>
      <c r="K48" s="109">
        <v>21.513906810035845</v>
      </c>
      <c r="L48" s="108">
        <v>17.816566555431962</v>
      </c>
      <c r="M48" s="108">
        <v>15.571286738351255</v>
      </c>
      <c r="N48" s="108">
        <v>19.02774551971326</v>
      </c>
      <c r="O48" s="108">
        <v>21.266666666666666</v>
      </c>
      <c r="P48" s="107">
        <v>22.624662058371737</v>
      </c>
      <c r="Q48" s="108">
        <v>25.451759856630826</v>
      </c>
      <c r="R48" s="108">
        <v>23.878240143369172</v>
      </c>
      <c r="S48" s="108">
        <v>25.720634408602152</v>
      </c>
      <c r="T48" s="107">
        <v>32.577872503840247</v>
      </c>
      <c r="U48" s="108">
        <v>29.44930465949821</v>
      </c>
      <c r="V48" s="108">
        <v>26.556881720430109</v>
      </c>
      <c r="W48" s="109">
        <v>24.043465949820789</v>
      </c>
      <c r="X48" s="107">
        <v>19.339297235023043</v>
      </c>
      <c r="Y48" s="108">
        <v>18.067842293906811</v>
      </c>
      <c r="Z48" s="108">
        <v>18.545322580645159</v>
      </c>
      <c r="AA48" s="109">
        <v>14.238308243727596</v>
      </c>
      <c r="AB48" s="107">
        <v>12.646262513904338</v>
      </c>
      <c r="AC48" s="108">
        <v>12.810566308243727</v>
      </c>
      <c r="AD48" s="108">
        <v>18.317469534050179</v>
      </c>
      <c r="AE48" s="109">
        <v>15.990107526881722</v>
      </c>
      <c r="AF48" s="107">
        <v>16.282837941628262</v>
      </c>
      <c r="AG48" s="108">
        <v>18.168369175627237</v>
      </c>
      <c r="AH48" s="108">
        <v>19.25232258064516</v>
      </c>
      <c r="AI48" s="110">
        <v>16.476257570139662</v>
      </c>
      <c r="AJ48" s="107">
        <v>21.37513440860215</v>
      </c>
      <c r="AK48" s="108">
        <v>20.672218637992831</v>
      </c>
      <c r="AL48" s="108">
        <v>26.916129032258066</v>
      </c>
      <c r="AM48" s="110">
        <v>25.50283870967742</v>
      </c>
      <c r="AN48" s="107">
        <v>19.817665130568358</v>
      </c>
      <c r="AO48" s="108">
        <v>18.587881720430108</v>
      </c>
      <c r="AP48" s="108">
        <v>21.263225806451612</v>
      </c>
      <c r="AQ48" s="110">
        <v>17.345541218637994</v>
      </c>
      <c r="AR48" s="107">
        <v>14.66602892102336</v>
      </c>
      <c r="AS48" s="108">
        <v>12.988505376344087</v>
      </c>
      <c r="AT48" s="108">
        <v>17.702774193548386</v>
      </c>
      <c r="AU48" s="110">
        <v>18.241125448028676</v>
      </c>
      <c r="AV48" s="107">
        <v>512.98281490015358</v>
      </c>
      <c r="AW48" s="108">
        <v>21.789426523297493</v>
      </c>
      <c r="AX48" s="108">
        <v>31.067011494252871</v>
      </c>
      <c r="AY48" s="110">
        <v>31.017989247311828</v>
      </c>
      <c r="AZ48" s="107">
        <v>30.00269969278034</v>
      </c>
      <c r="BA48" s="108">
        <v>53.835942652329749</v>
      </c>
      <c r="BB48" s="108">
        <v>62.740220615498707</v>
      </c>
      <c r="BC48" s="110">
        <v>43.947701149425285</v>
      </c>
      <c r="BD48" s="107">
        <v>18.192825396825395</v>
      </c>
      <c r="BE48" s="108">
        <v>21.009445295870581</v>
      </c>
      <c r="BF48" s="108">
        <v>51.036227422003286</v>
      </c>
      <c r="BG48" s="109">
        <v>20.604227160493824</v>
      </c>
      <c r="BH48" s="107">
        <v>20.226492769744159</v>
      </c>
      <c r="BI48" s="108">
        <v>20.040283251231525</v>
      </c>
      <c r="BJ48" s="108">
        <v>22.889430107526881</v>
      </c>
      <c r="BK48" s="109">
        <v>27.868333333333336</v>
      </c>
      <c r="BL48" s="107">
        <v>45.347666666666669</v>
      </c>
      <c r="BM48" s="108">
        <v>30.942333333333334</v>
      </c>
      <c r="BN48" s="108">
        <v>49.580999999999996</v>
      </c>
      <c r="BO48" s="109">
        <v>32.326333333333331</v>
      </c>
      <c r="BP48" s="107">
        <v>50.417333333333339</v>
      </c>
      <c r="BQ48" s="108">
        <v>30.915333333333333</v>
      </c>
      <c r="BR48" s="108">
        <v>48.68633333333333</v>
      </c>
      <c r="BS48" s="109">
        <v>32.704999999999998</v>
      </c>
      <c r="BT48" s="107">
        <v>60.722499999999997</v>
      </c>
      <c r="BU48" s="111"/>
      <c r="BV48" s="111"/>
      <c r="BW48" s="26"/>
      <c r="BX48" s="29"/>
      <c r="BY48" s="29"/>
      <c r="BZ48" s="29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</row>
    <row r="49" spans="1:90" x14ac:dyDescent="0.25">
      <c r="A49" s="9"/>
      <c r="B49" s="9"/>
      <c r="C49" s="3" t="s">
        <v>18</v>
      </c>
      <c r="D49" s="3"/>
      <c r="E49" s="3"/>
      <c r="F49" s="20" t="s">
        <v>84</v>
      </c>
      <c r="G49" s="20" t="s">
        <v>217</v>
      </c>
      <c r="H49" s="107">
        <v>29.307730414746544</v>
      </c>
      <c r="I49" s="108">
        <v>25.41595340501792</v>
      </c>
      <c r="J49" s="108">
        <v>25.988645161290322</v>
      </c>
      <c r="K49" s="109">
        <v>21.65830107526882</v>
      </c>
      <c r="L49" s="108">
        <v>17.777211716722285</v>
      </c>
      <c r="M49" s="108">
        <v>15.539756272401434</v>
      </c>
      <c r="N49" s="108">
        <v>19.10936917562724</v>
      </c>
      <c r="O49" s="108">
        <v>21.240896057347669</v>
      </c>
      <c r="P49" s="107">
        <v>22.531132872503843</v>
      </c>
      <c r="Q49" s="108">
        <v>25.333698924731181</v>
      </c>
      <c r="R49" s="108">
        <v>23.979591397849461</v>
      </c>
      <c r="S49" s="108">
        <v>25.927888888888887</v>
      </c>
      <c r="T49" s="107">
        <v>32.387584485407068</v>
      </c>
      <c r="U49" s="108">
        <v>29.294706093189962</v>
      </c>
      <c r="V49" s="108">
        <v>26.635136200716847</v>
      </c>
      <c r="W49" s="109">
        <v>23.917440860215052</v>
      </c>
      <c r="X49" s="107">
        <v>19.304354838709678</v>
      </c>
      <c r="Y49" s="108">
        <v>18.188609318996416</v>
      </c>
      <c r="Z49" s="108">
        <v>18.671107526881723</v>
      </c>
      <c r="AA49" s="109">
        <v>14.719444444444443</v>
      </c>
      <c r="AB49" s="107">
        <v>12.527096774193547</v>
      </c>
      <c r="AC49" s="108">
        <v>12.826999999999998</v>
      </c>
      <c r="AD49" s="108">
        <v>18.289566308243725</v>
      </c>
      <c r="AE49" s="109">
        <v>16.416759856630822</v>
      </c>
      <c r="AF49" s="107">
        <v>16.314665898617509</v>
      </c>
      <c r="AG49" s="108">
        <v>19.308118279569893</v>
      </c>
      <c r="AH49" s="108">
        <v>19.839706093189964</v>
      </c>
      <c r="AI49" s="110">
        <v>17.755352490421455</v>
      </c>
      <c r="AJ49" s="107">
        <v>22.018913210445465</v>
      </c>
      <c r="AK49" s="108">
        <v>21.435057347670252</v>
      </c>
      <c r="AL49" s="108">
        <v>27.206935483870968</v>
      </c>
      <c r="AM49" s="110">
        <v>25.106508960573475</v>
      </c>
      <c r="AN49" s="107">
        <v>19.930218894009219</v>
      </c>
      <c r="AO49" s="108">
        <v>18.221025089605735</v>
      </c>
      <c r="AP49" s="108">
        <v>21.483820788530466</v>
      </c>
      <c r="AQ49" s="110">
        <v>18.204440860215055</v>
      </c>
      <c r="AR49" s="107">
        <v>15.030177975528366</v>
      </c>
      <c r="AS49" s="108">
        <v>13.468537634408603</v>
      </c>
      <c r="AT49" s="108">
        <v>17.787867383512545</v>
      </c>
      <c r="AU49" s="110">
        <v>17.943448028673831</v>
      </c>
      <c r="AV49" s="107">
        <v>510.20155913978493</v>
      </c>
      <c r="AW49" s="108">
        <v>21.441974910394265</v>
      </c>
      <c r="AX49" s="108">
        <v>30.441086392287726</v>
      </c>
      <c r="AY49" s="110">
        <v>29.854992831541221</v>
      </c>
      <c r="AZ49" s="107">
        <v>27.697215821812595</v>
      </c>
      <c r="BA49" s="108">
        <v>52.691172043010745</v>
      </c>
      <c r="BB49" s="108">
        <v>62.033410579656412</v>
      </c>
      <c r="BC49" s="110">
        <v>44.400804597701153</v>
      </c>
      <c r="BD49" s="107">
        <v>18.369550793650792</v>
      </c>
      <c r="BE49" s="108">
        <v>21.479169433801616</v>
      </c>
      <c r="BF49" s="108">
        <v>50.33062397372742</v>
      </c>
      <c r="BG49" s="109">
        <v>21.945762007168458</v>
      </c>
      <c r="BH49" s="107">
        <v>20.123234705228029</v>
      </c>
      <c r="BI49" s="108">
        <v>22.238017515051997</v>
      </c>
      <c r="BJ49" s="108">
        <v>27.247835777126102</v>
      </c>
      <c r="BK49" s="109">
        <v>30.129333333333335</v>
      </c>
      <c r="BL49" s="107">
        <v>45.871000000000002</v>
      </c>
      <c r="BM49" s="108">
        <v>33.297333333333334</v>
      </c>
      <c r="BN49" s="108">
        <v>51.487333333333332</v>
      </c>
      <c r="BO49" s="109">
        <v>35.902999999999999</v>
      </c>
      <c r="BP49" s="107">
        <v>53.701999999999998</v>
      </c>
      <c r="BQ49" s="108">
        <v>36.776000000000003</v>
      </c>
      <c r="BR49" s="108">
        <v>49.336333333333336</v>
      </c>
      <c r="BS49" s="109">
        <v>34.567666666666668</v>
      </c>
      <c r="BT49" s="107">
        <v>65.698499999999996</v>
      </c>
      <c r="BU49" s="111"/>
      <c r="BV49" s="111"/>
      <c r="BW49" s="26"/>
      <c r="BX49" s="29"/>
      <c r="BY49" s="29"/>
      <c r="BZ49" s="29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</row>
    <row r="50" spans="1:90" x14ac:dyDescent="0.25">
      <c r="A50" s="9"/>
      <c r="B50" s="9"/>
      <c r="C50" s="3" t="s">
        <v>19</v>
      </c>
      <c r="D50" s="3"/>
      <c r="E50" s="3"/>
      <c r="F50" s="20" t="s">
        <v>93</v>
      </c>
      <c r="G50" s="20" t="s">
        <v>180</v>
      </c>
      <c r="H50" s="107">
        <v>20.989451563691841</v>
      </c>
      <c r="I50" s="108">
        <v>14.849151515151513</v>
      </c>
      <c r="J50" s="108">
        <v>24.74194927536232</v>
      </c>
      <c r="K50" s="109">
        <v>24.26255931495405</v>
      </c>
      <c r="L50" s="108">
        <v>19.155257575757577</v>
      </c>
      <c r="M50" s="108">
        <v>16.328321789321787</v>
      </c>
      <c r="N50" s="108">
        <v>20.926206094947513</v>
      </c>
      <c r="O50" s="108">
        <v>25.647444698703282</v>
      </c>
      <c r="P50" s="107">
        <v>26.908888053466999</v>
      </c>
      <c r="Q50" s="108">
        <v>27.335878787878784</v>
      </c>
      <c r="R50" s="108">
        <v>26.463727272727272</v>
      </c>
      <c r="S50" s="108">
        <v>31.073770531400967</v>
      </c>
      <c r="T50" s="107">
        <v>39.368287385129491</v>
      </c>
      <c r="U50" s="108">
        <v>32.674200083542189</v>
      </c>
      <c r="V50" s="108">
        <v>32.55665656565656</v>
      </c>
      <c r="W50" s="109">
        <v>30.011954288961963</v>
      </c>
      <c r="X50" s="107">
        <v>22.383044657097287</v>
      </c>
      <c r="Y50" s="108">
        <v>21.426091630591628</v>
      </c>
      <c r="Z50" s="108">
        <v>23.656327561327561</v>
      </c>
      <c r="AA50" s="109">
        <v>20.409894179894181</v>
      </c>
      <c r="AB50" s="107">
        <v>17.046860446570971</v>
      </c>
      <c r="AC50" s="108">
        <v>16.609292929292931</v>
      </c>
      <c r="AD50" s="108">
        <v>22.506254313319531</v>
      </c>
      <c r="AE50" s="109">
        <v>22.253646616541356</v>
      </c>
      <c r="AF50" s="107">
        <v>21.032033492822965</v>
      </c>
      <c r="AG50" s="108">
        <v>22.83050505050505</v>
      </c>
      <c r="AH50" s="108">
        <v>24.718803030303025</v>
      </c>
      <c r="AI50" s="110">
        <v>24.505534670008355</v>
      </c>
      <c r="AJ50" s="107">
        <v>24.928521303258147</v>
      </c>
      <c r="AK50" s="108">
        <v>19.439353383458648</v>
      </c>
      <c r="AL50" s="108">
        <v>32.849931731502672</v>
      </c>
      <c r="AM50" s="110">
        <v>34.045535638613444</v>
      </c>
      <c r="AN50" s="107">
        <v>37.928294068504592</v>
      </c>
      <c r="AO50" s="108">
        <v>14.95165162907268</v>
      </c>
      <c r="AP50" s="108">
        <v>22.892712121212124</v>
      </c>
      <c r="AQ50" s="110">
        <v>28.293421900161032</v>
      </c>
      <c r="AR50" s="107">
        <v>21.179055593529274</v>
      </c>
      <c r="AS50" s="108">
        <v>17.163253968253969</v>
      </c>
      <c r="AT50" s="108">
        <v>37.381248196248201</v>
      </c>
      <c r="AU50" s="110">
        <v>28.951308321308321</v>
      </c>
      <c r="AV50" s="107">
        <v>39.14651411136537</v>
      </c>
      <c r="AW50" s="108">
        <v>35.742676767676762</v>
      </c>
      <c r="AX50" s="108">
        <v>49.872604617604622</v>
      </c>
      <c r="AY50" s="110">
        <v>46.433987886382624</v>
      </c>
      <c r="AZ50" s="107">
        <v>41.855087337909993</v>
      </c>
      <c r="BA50" s="108">
        <v>66.260388888888883</v>
      </c>
      <c r="BB50" s="108">
        <v>85.078994824016561</v>
      </c>
      <c r="BC50" s="110">
        <v>119.44634795321637</v>
      </c>
      <c r="BD50" s="107">
        <v>91.846847826086957</v>
      </c>
      <c r="BE50" s="108">
        <v>42.127301587301588</v>
      </c>
      <c r="BF50" s="108">
        <v>56.599007246376807</v>
      </c>
      <c r="BG50" s="109">
        <v>50.674330143540665</v>
      </c>
      <c r="BH50" s="107">
        <v>44.364428571428569</v>
      </c>
      <c r="BI50" s="108">
        <v>24.906148325358853</v>
      </c>
      <c r="BJ50" s="108">
        <v>41.898034090909086</v>
      </c>
      <c r="BK50" s="109">
        <v>44.448333333333331</v>
      </c>
      <c r="BL50" s="107">
        <v>51.227333333333327</v>
      </c>
      <c r="BM50" s="108">
        <v>38.220666666666666</v>
      </c>
      <c r="BN50" s="108">
        <v>63.556999999999995</v>
      </c>
      <c r="BO50" s="109">
        <v>57.086333333333329</v>
      </c>
      <c r="BP50" s="107">
        <v>61.015666666666668</v>
      </c>
      <c r="BQ50" s="108">
        <v>37.25</v>
      </c>
      <c r="BR50" s="108">
        <v>73.39533333333334</v>
      </c>
      <c r="BS50" s="109">
        <v>60.539666666666669</v>
      </c>
      <c r="BT50" s="107">
        <v>76.326750000000004</v>
      </c>
      <c r="BU50" s="111"/>
      <c r="BV50" s="111"/>
      <c r="BW50" s="26"/>
      <c r="BX50" s="29"/>
      <c r="BY50" s="29"/>
      <c r="BZ50" s="29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</row>
    <row r="51" spans="1:90" x14ac:dyDescent="0.25">
      <c r="A51" s="9"/>
      <c r="B51" s="9"/>
      <c r="C51" s="3" t="s">
        <v>20</v>
      </c>
      <c r="D51" s="3"/>
      <c r="E51" s="3"/>
      <c r="F51" s="20" t="s">
        <v>94</v>
      </c>
      <c r="G51" s="20" t="s">
        <v>181</v>
      </c>
      <c r="H51" s="107">
        <v>22.127334858886346</v>
      </c>
      <c r="I51" s="108">
        <v>13.350181818181818</v>
      </c>
      <c r="J51" s="108">
        <v>25.059927536231882</v>
      </c>
      <c r="K51" s="109">
        <v>24.971964076858814</v>
      </c>
      <c r="L51" s="108">
        <v>20.408272727272728</v>
      </c>
      <c r="M51" s="108">
        <v>18.388093073593073</v>
      </c>
      <c r="N51" s="108">
        <v>23.608646236804134</v>
      </c>
      <c r="O51" s="108">
        <v>29.146674718196454</v>
      </c>
      <c r="P51" s="107">
        <v>38.534333333333336</v>
      </c>
      <c r="Q51" s="108">
        <v>36.508088751289989</v>
      </c>
      <c r="R51" s="108">
        <v>34.90521843825249</v>
      </c>
      <c r="S51" s="108">
        <v>38.032250233426701</v>
      </c>
      <c r="T51" s="107">
        <v>47.029963659147874</v>
      </c>
      <c r="U51" s="108">
        <v>38.568959694989104</v>
      </c>
      <c r="V51" s="108">
        <v>38.907664473684214</v>
      </c>
      <c r="W51" s="109">
        <v>37.020208333333336</v>
      </c>
      <c r="X51" s="107">
        <v>27.473252136752137</v>
      </c>
      <c r="Y51" s="108">
        <v>27.601428571428571</v>
      </c>
      <c r="Z51" s="108">
        <v>30.380361111111114</v>
      </c>
      <c r="AA51" s="109">
        <v>27.161861111111108</v>
      </c>
      <c r="AB51" s="107">
        <v>21.459458333333334</v>
      </c>
      <c r="AC51" s="108">
        <v>20.368954248366013</v>
      </c>
      <c r="AD51" s="108">
        <v>29.029335839599</v>
      </c>
      <c r="AE51" s="109">
        <v>28.461124183006536</v>
      </c>
      <c r="AF51" s="107">
        <v>24.177423245614037</v>
      </c>
      <c r="AG51" s="108">
        <v>25.267759259259261</v>
      </c>
      <c r="AH51" s="108">
        <v>33.730138888888888</v>
      </c>
      <c r="AI51" s="110">
        <v>34.067380952380951</v>
      </c>
      <c r="AJ51" s="107">
        <v>31.483999999999998</v>
      </c>
      <c r="AK51" s="108">
        <v>23.269603174603176</v>
      </c>
      <c r="AL51" s="108">
        <v>42.804829059829054</v>
      </c>
      <c r="AM51" s="110">
        <v>47.844141414141411</v>
      </c>
      <c r="AN51" s="107">
        <v>48.233333333333327</v>
      </c>
      <c r="AO51" s="108">
        <v>22.206</v>
      </c>
      <c r="AP51" s="108">
        <v>29.849067599067599</v>
      </c>
      <c r="AQ51" s="110">
        <v>36.166287878787877</v>
      </c>
      <c r="AR51" s="107">
        <v>25.186666666666667</v>
      </c>
      <c r="AS51" s="108">
        <v>16.94488888888889</v>
      </c>
      <c r="AT51" s="108">
        <v>46.142714285714284</v>
      </c>
      <c r="AU51" s="110">
        <v>38.042222222222222</v>
      </c>
      <c r="AV51" s="107">
        <v>78.562121212121212</v>
      </c>
      <c r="AW51" s="108">
        <v>37.064923076923073</v>
      </c>
      <c r="AX51" s="108">
        <v>57.398179487179483</v>
      </c>
      <c r="AY51" s="110">
        <v>56.125595238095237</v>
      </c>
      <c r="AZ51" s="107">
        <v>46.687681818181822</v>
      </c>
      <c r="BA51" s="108">
        <v>65.39991666666667</v>
      </c>
      <c r="BB51" s="108">
        <v>86.690388888888876</v>
      </c>
      <c r="BC51" s="110">
        <v>127.57222222222224</v>
      </c>
      <c r="BD51" s="107">
        <v>102.93873626373625</v>
      </c>
      <c r="BE51" s="108">
        <v>38.709694989106758</v>
      </c>
      <c r="BF51" s="108">
        <v>52.231697478991599</v>
      </c>
      <c r="BG51" s="109">
        <v>59.033888888888896</v>
      </c>
      <c r="BH51" s="107">
        <v>44.776404040404039</v>
      </c>
      <c r="BI51" s="108">
        <v>26.504185463659152</v>
      </c>
      <c r="BJ51" s="108">
        <v>39.207000000000001</v>
      </c>
      <c r="BK51" s="109">
        <v>47.125333333333337</v>
      </c>
      <c r="BL51" s="107">
        <v>51.604333333333329</v>
      </c>
      <c r="BM51" s="108">
        <v>33.452333333333335</v>
      </c>
      <c r="BN51" s="108">
        <v>53.127999999999993</v>
      </c>
      <c r="BO51" s="109">
        <v>59.179000000000002</v>
      </c>
      <c r="BP51" s="107">
        <v>63.558999999999997</v>
      </c>
      <c r="BQ51" s="108">
        <v>34.340333333333334</v>
      </c>
      <c r="BR51" s="108">
        <v>59.905333333333338</v>
      </c>
      <c r="BS51" s="109">
        <v>64.039666666666662</v>
      </c>
      <c r="BT51" s="107">
        <v>79.881750000000011</v>
      </c>
      <c r="BU51" s="111"/>
      <c r="BV51" s="111"/>
      <c r="BW51" s="26"/>
      <c r="BX51" s="29"/>
      <c r="BY51" s="29"/>
      <c r="BZ51" s="29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</row>
    <row r="52" spans="1:90" x14ac:dyDescent="0.25">
      <c r="A52" s="9"/>
      <c r="B52" s="9"/>
      <c r="C52" s="3" t="s">
        <v>21</v>
      </c>
      <c r="D52" s="3"/>
      <c r="E52" s="3"/>
      <c r="F52" s="20" t="s">
        <v>95</v>
      </c>
      <c r="G52" s="20" t="s">
        <v>182</v>
      </c>
      <c r="H52" s="107">
        <v>21.658611111111114</v>
      </c>
      <c r="I52" s="108">
        <v>9.6194052287581702</v>
      </c>
      <c r="J52" s="108">
        <v>24.193944444444444</v>
      </c>
      <c r="K52" s="109">
        <v>26.605211640211639</v>
      </c>
      <c r="L52" s="108">
        <v>20.140202020202022</v>
      </c>
      <c r="M52" s="108">
        <v>17.586916666666667</v>
      </c>
      <c r="N52" s="108">
        <v>22.187713675213672</v>
      </c>
      <c r="O52" s="108">
        <v>28.533804487179484</v>
      </c>
      <c r="P52" s="107">
        <v>34.392973901098898</v>
      </c>
      <c r="Q52" s="108">
        <v>33.279719169719165</v>
      </c>
      <c r="R52" s="108">
        <v>34.749194139194138</v>
      </c>
      <c r="S52" s="108">
        <v>39.196435185185187</v>
      </c>
      <c r="T52" s="107">
        <v>48.911060606060609</v>
      </c>
      <c r="U52" s="108">
        <v>39.273771043771042</v>
      </c>
      <c r="V52" s="108">
        <v>38.924444444444447</v>
      </c>
      <c r="W52" s="109">
        <v>36.6</v>
      </c>
      <c r="X52" s="107">
        <v>28.31</v>
      </c>
      <c r="Y52" s="108">
        <v>27.900000000000002</v>
      </c>
      <c r="Z52" s="108"/>
      <c r="AA52" s="109">
        <v>29.168333333333333</v>
      </c>
      <c r="AB52" s="107">
        <v>17.7</v>
      </c>
      <c r="AC52" s="108">
        <v>18.666666666666668</v>
      </c>
      <c r="AD52" s="108">
        <v>30.319444444444443</v>
      </c>
      <c r="AE52" s="109">
        <v>29.027777777777775</v>
      </c>
      <c r="AF52" s="107">
        <v>28.625</v>
      </c>
      <c r="AG52" s="108">
        <v>22.375</v>
      </c>
      <c r="AH52" s="108">
        <v>31.25</v>
      </c>
      <c r="AI52" s="110"/>
      <c r="AJ52" s="107"/>
      <c r="AK52" s="108"/>
      <c r="AL52" s="108"/>
      <c r="AM52" s="110"/>
      <c r="AN52" s="107">
        <v>65.658333333333331</v>
      </c>
      <c r="AO52" s="108"/>
      <c r="AP52" s="108"/>
      <c r="AQ52" s="110"/>
      <c r="AR52" s="107"/>
      <c r="AS52" s="108"/>
      <c r="AT52" s="108"/>
      <c r="AU52" s="110"/>
      <c r="AV52" s="107">
        <v>158.04999999999998</v>
      </c>
      <c r="AW52" s="108">
        <v>36</v>
      </c>
      <c r="AX52" s="108"/>
      <c r="AY52" s="110">
        <v>52</v>
      </c>
      <c r="AZ52" s="107">
        <v>44.666666666666664</v>
      </c>
      <c r="BA52" s="108"/>
      <c r="BB52" s="108"/>
      <c r="BC52" s="110"/>
      <c r="BD52" s="107">
        <v>70</v>
      </c>
      <c r="BE52" s="108">
        <v>24</v>
      </c>
      <c r="BF52" s="108">
        <v>44.479166666666671</v>
      </c>
      <c r="BG52" s="109">
        <v>60.3</v>
      </c>
      <c r="BH52" s="107">
        <v>146.66666666666666</v>
      </c>
      <c r="BI52" s="108"/>
      <c r="BJ52" s="108">
        <v>39.100111111111111</v>
      </c>
      <c r="BK52" s="109">
        <v>52.492666666666672</v>
      </c>
      <c r="BL52" s="107">
        <v>58.234999999999992</v>
      </c>
      <c r="BM52" s="108">
        <v>38.872999999999998</v>
      </c>
      <c r="BN52" s="108">
        <v>54.197333333333326</v>
      </c>
      <c r="BO52" s="109">
        <v>65.087333333333333</v>
      </c>
      <c r="BP52" s="107">
        <v>72.066999999999993</v>
      </c>
      <c r="BQ52" s="108">
        <v>41.112333333333332</v>
      </c>
      <c r="BR52" s="108">
        <v>62.349666666666657</v>
      </c>
      <c r="BS52" s="109">
        <v>72.724000000000004</v>
      </c>
      <c r="BT52" s="107">
        <v>87.377499999999998</v>
      </c>
      <c r="BU52" s="111"/>
      <c r="BV52" s="111"/>
      <c r="BW52" s="26"/>
      <c r="BX52" s="29"/>
      <c r="BY52" s="29"/>
      <c r="BZ52" s="29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</row>
    <row r="53" spans="1:90" x14ac:dyDescent="0.25">
      <c r="A53" s="9"/>
      <c r="B53" s="9"/>
      <c r="C53" s="3" t="s">
        <v>22</v>
      </c>
      <c r="D53" s="3"/>
      <c r="E53" s="3"/>
      <c r="F53" s="20" t="s">
        <v>96</v>
      </c>
      <c r="G53" s="20" t="s">
        <v>183</v>
      </c>
      <c r="H53" s="107">
        <v>15.853194889397406</v>
      </c>
      <c r="I53" s="108">
        <v>3.5539393939393942</v>
      </c>
      <c r="J53" s="108">
        <v>17.875231884057971</v>
      </c>
      <c r="K53" s="109">
        <v>27.452083124477863</v>
      </c>
      <c r="L53" s="108">
        <v>19.306015151515151</v>
      </c>
      <c r="M53" s="108">
        <v>-4.7837662337662325E-2</v>
      </c>
      <c r="N53" s="108">
        <v>14.080325088082526</v>
      </c>
      <c r="O53" s="108">
        <v>24.986628527841344</v>
      </c>
      <c r="P53" s="107">
        <v>27.86434962406015</v>
      </c>
      <c r="Q53" s="108">
        <v>16.729742424242424</v>
      </c>
      <c r="R53" s="108">
        <v>25.292666666666666</v>
      </c>
      <c r="S53" s="108">
        <v>34.797674718196454</v>
      </c>
      <c r="T53" s="107">
        <v>40.334193817878031</v>
      </c>
      <c r="U53" s="108">
        <v>11.424515873015872</v>
      </c>
      <c r="V53" s="108">
        <v>29.903761183261185</v>
      </c>
      <c r="W53" s="109">
        <v>28.144519546949216</v>
      </c>
      <c r="X53" s="107">
        <v>15.090196172248804</v>
      </c>
      <c r="Y53" s="108">
        <v>22.063629870129873</v>
      </c>
      <c r="Z53" s="108">
        <v>23.19210678210678</v>
      </c>
      <c r="AA53" s="109">
        <v>20.35431216931217</v>
      </c>
      <c r="AB53" s="107">
        <v>15.267507974481658</v>
      </c>
      <c r="AC53" s="108">
        <v>10.421464646464647</v>
      </c>
      <c r="AD53" s="108">
        <v>22.990583160800551</v>
      </c>
      <c r="AE53" s="109">
        <v>19.566411445279865</v>
      </c>
      <c r="AF53" s="107">
        <v>15.932524790236462</v>
      </c>
      <c r="AG53" s="108">
        <v>1.9659259259259263</v>
      </c>
      <c r="AH53" s="108">
        <v>24.159954545454543</v>
      </c>
      <c r="AI53" s="110">
        <v>23.530912002227794</v>
      </c>
      <c r="AJ53" s="107">
        <v>16.7052798663325</v>
      </c>
      <c r="AK53" s="108">
        <v>5.1253358395989972</v>
      </c>
      <c r="AL53" s="108">
        <v>30.704371090770405</v>
      </c>
      <c r="AM53" s="110">
        <v>43.097686668361725</v>
      </c>
      <c r="AN53" s="107">
        <v>62.480718462823724</v>
      </c>
      <c r="AO53" s="108">
        <v>12.694347535505429</v>
      </c>
      <c r="AP53" s="108">
        <v>24.059106060606059</v>
      </c>
      <c r="AQ53" s="110">
        <v>29.681182769726249</v>
      </c>
      <c r="AR53" s="107">
        <v>18.864641148325358</v>
      </c>
      <c r="AS53" s="108">
        <v>7.0575057720057721</v>
      </c>
      <c r="AT53" s="108">
        <v>16.296334776334778</v>
      </c>
      <c r="AU53" s="110">
        <v>25.561132756132753</v>
      </c>
      <c r="AV53" s="107">
        <v>28.072074752097635</v>
      </c>
      <c r="AW53" s="108">
        <v>31.181957545378598</v>
      </c>
      <c r="AX53" s="108">
        <v>45.886392496392489</v>
      </c>
      <c r="AY53" s="110">
        <v>45.727908103592313</v>
      </c>
      <c r="AZ53" s="107">
        <v>34.666482837528605</v>
      </c>
      <c r="BA53" s="108">
        <v>41.768920634920633</v>
      </c>
      <c r="BB53" s="108">
        <v>62.453201173222908</v>
      </c>
      <c r="BC53" s="110">
        <v>133.58834419381787</v>
      </c>
      <c r="BD53" s="107">
        <v>100.25704538520215</v>
      </c>
      <c r="BE53" s="108">
        <v>44.369314954051788</v>
      </c>
      <c r="BF53" s="108">
        <v>50.917260869565219</v>
      </c>
      <c r="BG53" s="109">
        <v>64.21924242424241</v>
      </c>
      <c r="BH53" s="107">
        <v>79.346634920634926</v>
      </c>
      <c r="BI53" s="108">
        <v>26.752256778309413</v>
      </c>
      <c r="BJ53" s="108">
        <v>37.012731060606058</v>
      </c>
      <c r="BK53" s="109">
        <v>55.924666666666667</v>
      </c>
      <c r="BL53" s="107">
        <v>63.157333333333327</v>
      </c>
      <c r="BM53" s="108">
        <v>28.292333333333332</v>
      </c>
      <c r="BN53" s="108">
        <v>46.194003333333335</v>
      </c>
      <c r="BO53" s="109">
        <v>67.50633333333333</v>
      </c>
      <c r="BP53" s="107">
        <v>76.76200333333334</v>
      </c>
      <c r="BQ53" s="108">
        <v>27.212</v>
      </c>
      <c r="BR53" s="108">
        <v>53.379003333333337</v>
      </c>
      <c r="BS53" s="109">
        <v>76.64400333333333</v>
      </c>
      <c r="BT53" s="107">
        <v>81.082504999999998</v>
      </c>
      <c r="BU53" s="127"/>
      <c r="BV53" s="127"/>
      <c r="BW53" s="51"/>
      <c r="BX53" s="29"/>
      <c r="BY53" s="29"/>
      <c r="BZ53" s="29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</row>
    <row r="54" spans="1:90" x14ac:dyDescent="0.25">
      <c r="A54" s="9"/>
      <c r="B54" s="9"/>
      <c r="C54" s="3" t="s">
        <v>23</v>
      </c>
      <c r="D54" s="3"/>
      <c r="E54" s="3"/>
      <c r="F54" s="20" t="s">
        <v>85</v>
      </c>
      <c r="G54" s="20" t="s">
        <v>218</v>
      </c>
      <c r="H54" s="107">
        <v>19.985549155145929</v>
      </c>
      <c r="I54" s="108">
        <v>12.548634408602149</v>
      </c>
      <c r="J54" s="108">
        <v>25.589032258064517</v>
      </c>
      <c r="K54" s="109">
        <v>15.205093189964158</v>
      </c>
      <c r="L54" s="108">
        <v>12.79</v>
      </c>
      <c r="M54" s="108">
        <v>11.478275985663082</v>
      </c>
      <c r="N54" s="108">
        <v>18.0467311827957</v>
      </c>
      <c r="O54" s="108">
        <v>18.457243727598566</v>
      </c>
      <c r="P54" s="107">
        <v>20.108966973886329</v>
      </c>
      <c r="Q54" s="108">
        <v>22.777971326164874</v>
      </c>
      <c r="R54" s="108">
        <v>23.914996415770606</v>
      </c>
      <c r="S54" s="108">
        <v>25.287232974910395</v>
      </c>
      <c r="T54" s="107">
        <v>32.584043778801842</v>
      </c>
      <c r="U54" s="108">
        <v>29.419641577060929</v>
      </c>
      <c r="V54" s="108">
        <v>26.507587813620074</v>
      </c>
      <c r="W54" s="109">
        <v>23.808146953405018</v>
      </c>
      <c r="X54" s="107">
        <v>19.392753456221197</v>
      </c>
      <c r="Y54" s="108">
        <v>18.055315412186378</v>
      </c>
      <c r="Z54" s="108">
        <v>18.548544802867383</v>
      </c>
      <c r="AA54" s="109">
        <v>13.892340501792114</v>
      </c>
      <c r="AB54" s="107">
        <v>12.307619577308122</v>
      </c>
      <c r="AC54" s="108">
        <v>12.378688172043011</v>
      </c>
      <c r="AD54" s="108">
        <v>18.189164874551974</v>
      </c>
      <c r="AE54" s="109">
        <v>15.707799283154122</v>
      </c>
      <c r="AF54" s="107">
        <v>13.998310291858679</v>
      </c>
      <c r="AG54" s="108">
        <v>16.686964157706093</v>
      </c>
      <c r="AH54" s="108">
        <v>19.225845878136202</v>
      </c>
      <c r="AI54" s="110">
        <v>15.937682363119514</v>
      </c>
      <c r="AJ54" s="107">
        <v>19.4427688172043</v>
      </c>
      <c r="AK54" s="108">
        <v>16.229175627240142</v>
      </c>
      <c r="AL54" s="108">
        <v>26.71393189964158</v>
      </c>
      <c r="AM54" s="110">
        <v>24.071724014336919</v>
      </c>
      <c r="AN54" s="107">
        <v>18.551117511520737</v>
      </c>
      <c r="AO54" s="108">
        <v>17.16941218637993</v>
      </c>
      <c r="AP54" s="108">
        <v>20.695071684587813</v>
      </c>
      <c r="AQ54" s="110">
        <v>15.421043010752689</v>
      </c>
      <c r="AR54" s="107">
        <v>12.662365591397849</v>
      </c>
      <c r="AS54" s="108">
        <v>11.537845878136201</v>
      </c>
      <c r="AT54" s="108">
        <v>17.37268100358423</v>
      </c>
      <c r="AU54" s="110">
        <v>14.2456164874552</v>
      </c>
      <c r="AV54" s="107">
        <v>512.24398233486943</v>
      </c>
      <c r="AW54" s="108">
        <v>19.448559139784948</v>
      </c>
      <c r="AX54" s="108">
        <v>29.713055246570264</v>
      </c>
      <c r="AY54" s="110">
        <v>23.791387096774191</v>
      </c>
      <c r="AZ54" s="107">
        <v>24.241482334869431</v>
      </c>
      <c r="BA54" s="108">
        <v>49.451161290322581</v>
      </c>
      <c r="BB54" s="108">
        <v>62.753097886540594</v>
      </c>
      <c r="BC54" s="110">
        <v>42.741609195402297</v>
      </c>
      <c r="BD54" s="107">
        <v>20.350577777777776</v>
      </c>
      <c r="BE54" s="108">
        <v>22.340263942103022</v>
      </c>
      <c r="BF54" s="108">
        <v>53.78913382594417</v>
      </c>
      <c r="BG54" s="109">
        <v>25.26274950219036</v>
      </c>
      <c r="BH54" s="107">
        <v>26.592841923124457</v>
      </c>
      <c r="BI54" s="108">
        <v>21.345093048713739</v>
      </c>
      <c r="BJ54" s="108">
        <v>26.011372759856631</v>
      </c>
      <c r="BK54" s="109">
        <v>33.031666666666666</v>
      </c>
      <c r="BL54" s="107">
        <v>50.55766666666667</v>
      </c>
      <c r="BM54" s="108">
        <v>35.163999999999994</v>
      </c>
      <c r="BN54" s="108">
        <v>48.68966666666666</v>
      </c>
      <c r="BO54" s="109">
        <v>37.979666666666667</v>
      </c>
      <c r="BP54" s="107">
        <v>53.020333333333333</v>
      </c>
      <c r="BQ54" s="108">
        <v>32.252666666666663</v>
      </c>
      <c r="BR54" s="108">
        <v>47.166333333333334</v>
      </c>
      <c r="BS54" s="109">
        <v>36.68</v>
      </c>
      <c r="BT54" s="107">
        <v>64.137749999999997</v>
      </c>
      <c r="BU54" s="111"/>
      <c r="BV54" s="111"/>
      <c r="BW54" s="26"/>
      <c r="BX54" s="29"/>
      <c r="BY54" s="29"/>
      <c r="BZ54" s="29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</row>
    <row r="55" spans="1:90" x14ac:dyDescent="0.25">
      <c r="A55" s="9"/>
      <c r="B55" s="9"/>
      <c r="C55" s="3"/>
      <c r="D55" s="3"/>
      <c r="E55" s="3"/>
      <c r="F55" s="20"/>
      <c r="G55" s="20"/>
      <c r="H55" s="48"/>
      <c r="I55" s="49"/>
      <c r="J55" s="49"/>
      <c r="K55" s="50"/>
      <c r="L55" s="48"/>
      <c r="M55" s="49"/>
      <c r="N55" s="49"/>
      <c r="O55" s="49"/>
      <c r="P55" s="48"/>
      <c r="Q55" s="49"/>
      <c r="R55" s="49"/>
      <c r="S55" s="50"/>
      <c r="T55" s="49"/>
      <c r="U55" s="49"/>
      <c r="V55" s="49"/>
      <c r="W55" s="50"/>
      <c r="X55" s="49"/>
      <c r="Y55" s="49"/>
      <c r="Z55" s="49"/>
      <c r="AA55" s="50"/>
      <c r="AB55" s="49"/>
      <c r="AC55" s="49"/>
      <c r="AD55" s="49"/>
      <c r="AE55" s="50"/>
      <c r="AF55" s="49"/>
      <c r="AG55" s="49"/>
      <c r="AH55" s="49"/>
      <c r="AI55" s="24"/>
      <c r="AJ55" s="49"/>
      <c r="AK55" s="49"/>
      <c r="AL55" s="49"/>
      <c r="AM55" s="24"/>
      <c r="AN55" s="49"/>
      <c r="AO55" s="49"/>
      <c r="AP55" s="49"/>
      <c r="AQ55" s="24"/>
      <c r="AR55" s="49"/>
      <c r="AS55" s="49"/>
      <c r="AT55" s="49"/>
      <c r="AU55" s="24"/>
      <c r="AV55" s="49"/>
      <c r="AW55" s="49"/>
      <c r="AX55" s="49"/>
      <c r="AY55" s="24"/>
      <c r="AZ55" s="49"/>
      <c r="BA55" s="49"/>
      <c r="BB55" s="49"/>
      <c r="BC55" s="24"/>
      <c r="BD55" s="49"/>
      <c r="BE55" s="49"/>
      <c r="BF55" s="49"/>
      <c r="BG55" s="23"/>
      <c r="BH55" s="49"/>
      <c r="BI55" s="25"/>
      <c r="BJ55" s="25"/>
      <c r="BK55" s="26"/>
      <c r="BL55" s="25"/>
      <c r="BM55" s="25"/>
      <c r="BN55" s="25"/>
      <c r="BO55" s="26"/>
      <c r="BP55" s="25"/>
      <c r="BQ55" s="25"/>
      <c r="BR55" s="25"/>
      <c r="BS55" s="26"/>
      <c r="BT55" s="25"/>
      <c r="BU55" s="25"/>
      <c r="BV55" s="25"/>
      <c r="BW55" s="26"/>
      <c r="BX55" s="29"/>
      <c r="BY55" s="29"/>
      <c r="BZ55" s="29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</row>
    <row r="56" spans="1:90" x14ac:dyDescent="0.25">
      <c r="A56" s="9"/>
      <c r="B56" s="9"/>
      <c r="C56" s="1" t="s">
        <v>25</v>
      </c>
      <c r="D56" s="41"/>
      <c r="E56" s="41"/>
      <c r="F56" s="78"/>
      <c r="G56" s="78"/>
      <c r="H56" s="30"/>
      <c r="I56" s="31"/>
      <c r="J56" s="31"/>
      <c r="K56" s="32"/>
      <c r="L56" s="30"/>
      <c r="M56" s="31"/>
      <c r="N56" s="31"/>
      <c r="O56" s="31"/>
      <c r="P56" s="47"/>
      <c r="Q56" s="33"/>
      <c r="R56" s="33"/>
      <c r="S56" s="34"/>
      <c r="T56" s="33"/>
      <c r="U56" s="33"/>
      <c r="V56" s="33"/>
      <c r="W56" s="34"/>
      <c r="X56" s="33"/>
      <c r="Y56" s="35"/>
      <c r="Z56" s="35"/>
      <c r="AA56" s="36"/>
      <c r="AB56" s="33"/>
      <c r="AC56" s="35"/>
      <c r="AD56" s="35"/>
      <c r="AE56" s="36"/>
      <c r="AF56" s="33"/>
      <c r="AG56" s="35"/>
      <c r="AH56" s="35"/>
      <c r="AI56" s="37"/>
      <c r="AJ56" s="33"/>
      <c r="AK56" s="35"/>
      <c r="AL56" s="35"/>
      <c r="AM56" s="37"/>
      <c r="AN56" s="33"/>
      <c r="AO56" s="35"/>
      <c r="AP56" s="35"/>
      <c r="AQ56" s="37"/>
      <c r="AR56" s="35"/>
      <c r="AS56" s="35"/>
      <c r="AT56" s="35"/>
      <c r="AU56" s="37"/>
      <c r="AV56" s="35"/>
      <c r="AW56" s="35"/>
      <c r="AX56" s="35"/>
      <c r="AY56" s="36"/>
      <c r="AZ56" s="35"/>
      <c r="BA56" s="35"/>
      <c r="BB56" s="35"/>
      <c r="BC56" s="36"/>
      <c r="BD56" s="38"/>
      <c r="BE56" s="38"/>
      <c r="BF56" s="38"/>
      <c r="BG56" s="39"/>
      <c r="BH56" s="35"/>
      <c r="BI56" s="35"/>
      <c r="BJ56" s="35"/>
      <c r="BK56" s="36"/>
      <c r="BL56" s="35"/>
      <c r="BM56" s="35"/>
      <c r="BN56" s="35"/>
      <c r="BO56" s="36"/>
      <c r="BP56" s="35"/>
      <c r="BQ56" s="35"/>
      <c r="BR56" s="35"/>
      <c r="BS56" s="36"/>
      <c r="BT56" s="35"/>
      <c r="BU56" s="35"/>
      <c r="BV56" s="35"/>
      <c r="BW56" s="36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</row>
    <row r="57" spans="1:90" x14ac:dyDescent="0.25">
      <c r="A57" s="9"/>
      <c r="B57" s="9"/>
      <c r="C57" s="5" t="str">
        <f>_xlfn.CONCAT("$ / mmbtu (Basis Differential to ",E57,")")</f>
        <v>$ / mmbtu (Basis Differential to HH)</v>
      </c>
      <c r="D57" s="3" t="s">
        <v>213</v>
      </c>
      <c r="E57" s="131" t="s">
        <v>208</v>
      </c>
      <c r="F57" s="20"/>
      <c r="G57" s="20"/>
      <c r="H57" s="107"/>
      <c r="I57" s="22"/>
      <c r="J57" s="22"/>
      <c r="K57" s="23"/>
      <c r="L57" s="21"/>
      <c r="M57" s="22"/>
      <c r="N57" s="22"/>
      <c r="O57" s="22"/>
      <c r="P57" s="21"/>
      <c r="Q57" s="25"/>
      <c r="R57" s="25"/>
      <c r="S57" s="26"/>
      <c r="T57" s="25"/>
      <c r="U57" s="25"/>
      <c r="V57" s="25"/>
      <c r="W57" s="26"/>
      <c r="X57" s="25"/>
      <c r="Y57" s="25"/>
      <c r="Z57" s="25"/>
      <c r="AA57" s="26"/>
      <c r="AB57" s="25"/>
      <c r="AC57" s="25"/>
      <c r="AD57" s="25"/>
      <c r="AE57" s="26"/>
      <c r="AF57" s="25"/>
      <c r="AG57" s="25"/>
      <c r="AH57" s="25"/>
      <c r="AI57" s="24"/>
      <c r="AJ57" s="25"/>
      <c r="AK57" s="25"/>
      <c r="AL57" s="25"/>
      <c r="AM57" s="24"/>
      <c r="AN57" s="25"/>
      <c r="AO57" s="25"/>
      <c r="AP57" s="25"/>
      <c r="AQ57" s="24"/>
      <c r="AR57" s="25"/>
      <c r="AS57" s="25"/>
      <c r="AT57" s="25"/>
      <c r="AU57" s="24"/>
      <c r="AV57" s="25"/>
      <c r="AW57" s="25"/>
      <c r="AX57" s="25"/>
      <c r="AY57" s="26"/>
      <c r="AZ57" s="25"/>
      <c r="BA57" s="25"/>
      <c r="BB57" s="25"/>
      <c r="BC57" s="26"/>
      <c r="BD57" s="22"/>
      <c r="BE57" s="22"/>
      <c r="BF57" s="22"/>
      <c r="BG57" s="23"/>
      <c r="BH57" s="25"/>
      <c r="BI57" s="25"/>
      <c r="BJ57" s="25"/>
      <c r="BK57" s="26"/>
      <c r="BL57" s="25"/>
      <c r="BM57" s="25"/>
      <c r="BN57" s="25"/>
      <c r="BO57" s="26"/>
      <c r="BP57" s="25"/>
      <c r="BQ57" s="25"/>
      <c r="BR57" s="25"/>
      <c r="BS57" s="26"/>
      <c r="BT57" s="25"/>
      <c r="BU57" s="25"/>
      <c r="BV57" s="25"/>
      <c r="BW57" s="26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</row>
    <row r="58" spans="1:90" x14ac:dyDescent="0.25">
      <c r="A58" s="9"/>
      <c r="B58" s="9"/>
      <c r="C58" s="3" t="s">
        <v>7</v>
      </c>
      <c r="D58" s="130" t="s">
        <v>205</v>
      </c>
      <c r="E58" s="3" t="s">
        <v>206</v>
      </c>
      <c r="F58" s="20"/>
      <c r="G58" s="20"/>
      <c r="H58" s="107">
        <f>_xlfn.XLOOKUP($E58,$C:$C,H:H) - _xlfn.XLOOKUP($E$57,$C:$C,H:H)</f>
        <v>2.8901563691838295</v>
      </c>
      <c r="I58" s="108">
        <f t="shared" ref="I58:AM58" si="0">_xlfn.XLOOKUP($E58,$C:$C,I:I) - _xlfn.XLOOKUP($E$57,$C:$C,I:I)</f>
        <v>0.38814069264069317</v>
      </c>
      <c r="J58" s="108">
        <f t="shared" si="0"/>
        <v>0.604976190476191</v>
      </c>
      <c r="K58" s="109">
        <f t="shared" si="0"/>
        <v>0.49117460317460404</v>
      </c>
      <c r="L58" s="107">
        <f t="shared" si="0"/>
        <v>0.71131020733652361</v>
      </c>
      <c r="M58" s="108">
        <f t="shared" si="0"/>
        <v>0.20786078833447208</v>
      </c>
      <c r="N58" s="108">
        <f t="shared" si="0"/>
        <v>0.1801402220967443</v>
      </c>
      <c r="O58" s="109">
        <f t="shared" si="0"/>
        <v>0.77668379446640268</v>
      </c>
      <c r="P58" s="107">
        <f t="shared" si="0"/>
        <v>4.1908244467377589</v>
      </c>
      <c r="Q58" s="108">
        <f t="shared" si="0"/>
        <v>0.28893145743145698</v>
      </c>
      <c r="R58" s="108">
        <f t="shared" si="0"/>
        <v>0.2976666666666663</v>
      </c>
      <c r="S58" s="109">
        <f t="shared" si="0"/>
        <v>0.66396937997166861</v>
      </c>
      <c r="T58" s="107">
        <f t="shared" si="0"/>
        <v>11.191780182780182</v>
      </c>
      <c r="U58" s="108">
        <f t="shared" si="0"/>
        <v>-0.88089091192032365</v>
      </c>
      <c r="V58" s="108">
        <f t="shared" si="0"/>
        <v>-1.3679588744588744</v>
      </c>
      <c r="W58" s="109">
        <f t="shared" si="0"/>
        <v>-0.58599470899470862</v>
      </c>
      <c r="X58" s="107">
        <f t="shared" si="0"/>
        <v>6.3359398148148136</v>
      </c>
      <c r="Y58" s="108">
        <f t="shared" si="0"/>
        <v>-1.8976190476190702E-2</v>
      </c>
      <c r="Z58" s="108">
        <f t="shared" si="0"/>
        <v>2.2908400673400675</v>
      </c>
      <c r="AA58" s="109">
        <f t="shared" si="0"/>
        <v>1.8920833333333331</v>
      </c>
      <c r="AB58" s="107">
        <f t="shared" si="0"/>
        <v>0.55239821159232938</v>
      </c>
      <c r="AC58" s="108">
        <f t="shared" si="0"/>
        <v>-0.315625937392501</v>
      </c>
      <c r="AD58" s="108">
        <f t="shared" si="0"/>
        <v>-1.1342986425339363</v>
      </c>
      <c r="AE58" s="109">
        <f t="shared" si="0"/>
        <v>-0.11176190476190495</v>
      </c>
      <c r="AF58" s="107">
        <f t="shared" si="0"/>
        <v>0.56011764705882383</v>
      </c>
      <c r="AG58" s="108">
        <f t="shared" si="0"/>
        <v>-0.26336385836385778</v>
      </c>
      <c r="AH58" s="108">
        <f t="shared" si="0"/>
        <v>2.5445726495726499</v>
      </c>
      <c r="AI58" s="109">
        <f t="shared" si="0"/>
        <v>0.82550427350427391</v>
      </c>
      <c r="AJ58" s="107">
        <f t="shared" si="0"/>
        <v>4.0249144921126341</v>
      </c>
      <c r="AK58" s="108">
        <f t="shared" si="0"/>
        <v>-0.1179417862838914</v>
      </c>
      <c r="AL58" s="108">
        <f t="shared" si="0"/>
        <v>6.4424400923255298E-3</v>
      </c>
      <c r="AM58" s="109">
        <f t="shared" si="0"/>
        <v>-1.5252892194253853E-2</v>
      </c>
      <c r="AN58" s="107">
        <f t="shared" ref="AN58:BT73" si="1">_xlfn.XLOOKUP($E58,$C:$C,AN:AN) - _xlfn.XLOOKUP($E$57,$C:$C,AN:AN)</f>
        <v>0.7728199665831248</v>
      </c>
      <c r="AO58" s="108">
        <f t="shared" si="1"/>
        <v>-0.28140740740740755</v>
      </c>
      <c r="AP58" s="108">
        <f t="shared" si="1"/>
        <v>-0.4081669704564439</v>
      </c>
      <c r="AQ58" s="109">
        <f t="shared" si="1"/>
        <v>2.0476735316552475E-2</v>
      </c>
      <c r="AR58" s="107">
        <f t="shared" si="1"/>
        <v>-8.5402407533986535E-2</v>
      </c>
      <c r="AS58" s="108">
        <f t="shared" si="1"/>
        <v>-0.23452869352869343</v>
      </c>
      <c r="AT58" s="108">
        <f t="shared" si="1"/>
        <v>-0.46663595262666457</v>
      </c>
      <c r="AU58" s="109">
        <f t="shared" si="1"/>
        <v>-0.4796595860566446</v>
      </c>
      <c r="AV58" s="107">
        <f t="shared" si="1"/>
        <v>0.1305929038281981</v>
      </c>
      <c r="AW58" s="108">
        <f t="shared" si="1"/>
        <v>-0.50680340557275505</v>
      </c>
      <c r="AX58" s="108">
        <f t="shared" si="1"/>
        <v>-0.50902738873327191</v>
      </c>
      <c r="AY58" s="109">
        <f t="shared" si="1"/>
        <v>-0.32816855865153016</v>
      </c>
      <c r="AZ58" s="107">
        <f t="shared" si="1"/>
        <v>2.4039294113907967</v>
      </c>
      <c r="BA58" s="108">
        <f t="shared" si="1"/>
        <v>-0.70661422346716396</v>
      </c>
      <c r="BB58" s="108">
        <f t="shared" si="1"/>
        <v>-0.58339539026206211</v>
      </c>
      <c r="BC58" s="109">
        <f t="shared" si="1"/>
        <v>1.0507568172568176</v>
      </c>
      <c r="BD58" s="107">
        <f t="shared" si="1"/>
        <v>0.40559077432142443</v>
      </c>
      <c r="BE58" s="108">
        <f t="shared" si="1"/>
        <v>-0.62866427432216931</v>
      </c>
      <c r="BF58" s="108">
        <f t="shared" si="1"/>
        <v>-1.0716845913393231</v>
      </c>
      <c r="BG58" s="109">
        <f t="shared" si="1"/>
        <v>-0.769126187423401</v>
      </c>
      <c r="BH58" s="107">
        <f t="shared" si="1"/>
        <v>0.41450326797385628</v>
      </c>
      <c r="BI58" s="108">
        <f t="shared" si="1"/>
        <v>-0.46960667600373474</v>
      </c>
      <c r="BJ58" s="108">
        <f t="shared" si="1"/>
        <v>-0.56448355263157901</v>
      </c>
      <c r="BK58" s="109">
        <f t="shared" si="1"/>
        <v>-0.34533333333333349</v>
      </c>
      <c r="BL58" s="107">
        <f t="shared" si="1"/>
        <v>1.7786666666666662</v>
      </c>
      <c r="BM58" s="108">
        <f t="shared" si="1"/>
        <v>-0.71166666666666645</v>
      </c>
      <c r="BN58" s="108">
        <f t="shared" si="1"/>
        <v>-0.89100000000000001</v>
      </c>
      <c r="BO58" s="109">
        <f t="shared" si="1"/>
        <v>-0.43066666666666675</v>
      </c>
      <c r="BP58" s="107">
        <f t="shared" si="1"/>
        <v>2.0903333333333323</v>
      </c>
      <c r="BQ58" s="108">
        <f t="shared" si="1"/>
        <v>-0.7283333333333335</v>
      </c>
      <c r="BR58" s="108">
        <f t="shared" si="1"/>
        <v>-0.8839999999999999</v>
      </c>
      <c r="BS58" s="109">
        <f t="shared" si="1"/>
        <v>-0.20699999999999985</v>
      </c>
      <c r="BT58" s="107">
        <f t="shared" si="1"/>
        <v>3.2480000000000011</v>
      </c>
      <c r="BU58" s="108"/>
      <c r="BV58" s="108"/>
      <c r="BW58" s="109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</row>
    <row r="59" spans="1:90" x14ac:dyDescent="0.25">
      <c r="A59" s="9"/>
      <c r="B59" s="9"/>
      <c r="C59" s="3" t="s">
        <v>8</v>
      </c>
      <c r="D59" s="130" t="s">
        <v>205</v>
      </c>
      <c r="E59" s="3" t="s">
        <v>207</v>
      </c>
      <c r="F59" s="20"/>
      <c r="G59" s="20"/>
      <c r="H59" s="107">
        <f t="shared" ref="H59:N68" si="2">_xlfn.XLOOKUP($E59,$C:$C,H:H) - _xlfn.XLOOKUP($E$57,$C:$C,H:H)</f>
        <v>1.7494298245614033</v>
      </c>
      <c r="I59" s="108">
        <f t="shared" si="2"/>
        <v>0.28882972582972677</v>
      </c>
      <c r="J59" s="108">
        <f t="shared" si="2"/>
        <v>0.25620841959972473</v>
      </c>
      <c r="K59" s="109">
        <f t="shared" si="2"/>
        <v>0.27394444444444455</v>
      </c>
      <c r="L59" s="107">
        <f t="shared" si="2"/>
        <v>0.29753748006379643</v>
      </c>
      <c r="M59" s="108">
        <f t="shared" si="2"/>
        <v>0.16276987924356368</v>
      </c>
      <c r="N59" s="108">
        <f t="shared" si="2"/>
        <v>0.16539793158786331</v>
      </c>
      <c r="O59" s="109">
        <f t="shared" ref="O59:X68" si="3">_xlfn.XLOOKUP($E59,$C:$C,O:O) - _xlfn.XLOOKUP($E$57,$C:$C,O:O)</f>
        <v>0.28000724637681085</v>
      </c>
      <c r="P59" s="107">
        <f t="shared" si="3"/>
        <v>0.72228643504185319</v>
      </c>
      <c r="Q59" s="108">
        <f t="shared" si="3"/>
        <v>0.1070829725829725</v>
      </c>
      <c r="R59" s="108">
        <f t="shared" si="3"/>
        <v>8.0530303030303063E-2</v>
      </c>
      <c r="S59" s="109">
        <f t="shared" si="3"/>
        <v>0.19774185463659144</v>
      </c>
      <c r="T59" s="107">
        <f t="shared" si="3"/>
        <v>7.825910926305661</v>
      </c>
      <c r="U59" s="108">
        <f t="shared" si="3"/>
        <v>-0.90806022408963605</v>
      </c>
      <c r="V59" s="108">
        <f t="shared" si="3"/>
        <v>-1.4397914862914858</v>
      </c>
      <c r="W59" s="109">
        <f t="shared" si="3"/>
        <v>-1.1032962962962962</v>
      </c>
      <c r="X59" s="107">
        <f t="shared" si="3"/>
        <v>3.0571331738436998</v>
      </c>
      <c r="Y59" s="108">
        <f t="shared" ref="Y59:AH68" si="4">_xlfn.XLOOKUP($E59,$C:$C,Y:Y) - _xlfn.XLOOKUP($E$57,$C:$C,Y:Y)</f>
        <v>-0.94385714285714273</v>
      </c>
      <c r="Z59" s="108">
        <f t="shared" si="4"/>
        <v>1.3712525252525254</v>
      </c>
      <c r="AA59" s="109">
        <f t="shared" si="4"/>
        <v>1.2871212121212121</v>
      </c>
      <c r="AB59" s="107">
        <f t="shared" si="4"/>
        <v>-2.9919576719576568E-2</v>
      </c>
      <c r="AC59" s="108">
        <f t="shared" si="4"/>
        <v>-0.47020476190476201</v>
      </c>
      <c r="AD59" s="108">
        <f t="shared" si="4"/>
        <v>-1.7379955141476879</v>
      </c>
      <c r="AE59" s="109">
        <f t="shared" si="4"/>
        <v>-0.70884920634920645</v>
      </c>
      <c r="AF59" s="107">
        <f t="shared" si="4"/>
        <v>5.0556826849733394E-2</v>
      </c>
      <c r="AG59" s="108">
        <f t="shared" si="4"/>
        <v>-0.49294486215538802</v>
      </c>
      <c r="AH59" s="108">
        <f t="shared" si="4"/>
        <v>1.7192185354691076</v>
      </c>
      <c r="AI59" s="109">
        <f t="shared" ref="AI59:AR68" si="5">_xlfn.XLOOKUP($E59,$C:$C,AI:AI) - _xlfn.XLOOKUP($E$57,$C:$C,AI:AI)</f>
        <v>0.21595454545454551</v>
      </c>
      <c r="AJ59" s="107">
        <f t="shared" si="5"/>
        <v>3.043785935426802</v>
      </c>
      <c r="AK59" s="108">
        <f t="shared" si="5"/>
        <v>-0.44818774208247891</v>
      </c>
      <c r="AL59" s="108">
        <f t="shared" si="5"/>
        <v>-0.42400251286978952</v>
      </c>
      <c r="AM59" s="109">
        <f t="shared" si="5"/>
        <v>-0.18357780801916901</v>
      </c>
      <c r="AN59" s="107">
        <f t="shared" si="5"/>
        <v>0.34248955722639929</v>
      </c>
      <c r="AO59" s="108">
        <f t="shared" si="5"/>
        <v>-0.33522414622414631</v>
      </c>
      <c r="AP59" s="108">
        <f t="shared" si="5"/>
        <v>-0.48076148705096022</v>
      </c>
      <c r="AQ59" s="109">
        <f t="shared" si="5"/>
        <v>-0.11430184761420437</v>
      </c>
      <c r="AR59" s="107">
        <f t="shared" si="5"/>
        <v>-0.17016594516594519</v>
      </c>
      <c r="AS59" s="108">
        <f t="shared" ref="AS59:BB68" si="6">_xlfn.XLOOKUP($E59,$C:$C,AS:AS) - _xlfn.XLOOKUP($E$57,$C:$C,AS:AS)</f>
        <v>-0.23708513708513701</v>
      </c>
      <c r="AT59" s="108">
        <f t="shared" si="6"/>
        <v>-0.47520315941368585</v>
      </c>
      <c r="AU59" s="109">
        <f t="shared" si="6"/>
        <v>-0.66868905217589414</v>
      </c>
      <c r="AV59" s="107">
        <f t="shared" si="6"/>
        <v>-0.18492968904733642</v>
      </c>
      <c r="AW59" s="108">
        <f t="shared" si="6"/>
        <v>-0.56048941798941776</v>
      </c>
      <c r="AX59" s="108">
        <f t="shared" si="6"/>
        <v>-0.44569487890850201</v>
      </c>
      <c r="AY59" s="109">
        <f t="shared" si="6"/>
        <v>-0.42553550543024166</v>
      </c>
      <c r="AZ59" s="107">
        <f t="shared" si="6"/>
        <v>1.8157354287252669</v>
      </c>
      <c r="BA59" s="108">
        <f t="shared" si="6"/>
        <v>-0.635851851851851</v>
      </c>
      <c r="BB59" s="108">
        <f t="shared" si="6"/>
        <v>-0.82457131465026201</v>
      </c>
      <c r="BC59" s="109">
        <f t="shared" ref="BC59:BR68" si="7">_xlfn.XLOOKUP($E59,$C:$C,BC:BC) - _xlfn.XLOOKUP($E$57,$C:$C,BC:BC)</f>
        <v>0.52437493305914451</v>
      </c>
      <c r="BD59" s="107">
        <f t="shared" si="7"/>
        <v>0.37663797174094649</v>
      </c>
      <c r="BE59" s="108">
        <f t="shared" si="7"/>
        <v>-0.64684609250398717</v>
      </c>
      <c r="BF59" s="108">
        <f t="shared" si="7"/>
        <v>-1.1496334185848256</v>
      </c>
      <c r="BG59" s="109">
        <f t="shared" si="7"/>
        <v>-0.8642636738906091</v>
      </c>
      <c r="BH59" s="107">
        <f t="shared" si="7"/>
        <v>0.4338174029845856</v>
      </c>
      <c r="BI59" s="108">
        <f t="shared" si="7"/>
        <v>-0.52807539682539684</v>
      </c>
      <c r="BJ59" s="108">
        <f t="shared" si="7"/>
        <v>-0.55109565580618214</v>
      </c>
      <c r="BK59" s="109">
        <f t="shared" si="7"/>
        <v>-0.45466666666666677</v>
      </c>
      <c r="BL59" s="107">
        <f t="shared" si="7"/>
        <v>0.85866666666666625</v>
      </c>
      <c r="BM59" s="108">
        <f t="shared" si="7"/>
        <v>-0.61766666666666659</v>
      </c>
      <c r="BN59" s="108">
        <f t="shared" si="7"/>
        <v>-0.92966666666666686</v>
      </c>
      <c r="BO59" s="109">
        <f t="shared" si="7"/>
        <v>-0.54233333333333311</v>
      </c>
      <c r="BP59" s="107">
        <f t="shared" si="7"/>
        <v>1.2273333333333336</v>
      </c>
      <c r="BQ59" s="108">
        <f t="shared" si="7"/>
        <v>-0.73399999999999999</v>
      </c>
      <c r="BR59" s="108">
        <f t="shared" si="7"/>
        <v>-0.93699999999999983</v>
      </c>
      <c r="BS59" s="109">
        <f t="shared" si="1"/>
        <v>-0.52533333333333321</v>
      </c>
      <c r="BT59" s="107">
        <f t="shared" si="1"/>
        <v>2.1300000000000008</v>
      </c>
      <c r="BU59" s="108"/>
      <c r="BV59" s="108"/>
      <c r="BW59" s="109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</row>
    <row r="60" spans="1:90" x14ac:dyDescent="0.25">
      <c r="A60" s="9"/>
      <c r="B60" s="9"/>
      <c r="C60" s="3" t="s">
        <v>9</v>
      </c>
      <c r="D60" s="130" t="s">
        <v>205</v>
      </c>
      <c r="E60" s="3" t="s">
        <v>206</v>
      </c>
      <c r="F60" s="20"/>
      <c r="G60" s="20"/>
      <c r="H60" s="107">
        <f t="shared" si="2"/>
        <v>2.8901563691838295</v>
      </c>
      <c r="I60" s="108">
        <f t="shared" si="2"/>
        <v>0.38814069264069317</v>
      </c>
      <c r="J60" s="108">
        <f t="shared" si="2"/>
        <v>0.604976190476191</v>
      </c>
      <c r="K60" s="109">
        <f t="shared" si="2"/>
        <v>0.49117460317460404</v>
      </c>
      <c r="L60" s="107">
        <f t="shared" si="2"/>
        <v>0.71131020733652361</v>
      </c>
      <c r="M60" s="108">
        <f t="shared" si="2"/>
        <v>0.20786078833447208</v>
      </c>
      <c r="N60" s="108">
        <f t="shared" ref="N60:N74" si="8">_xlfn.XLOOKUP($E60,$C:$C,N:N) - _xlfn.XLOOKUP($E$57,$C:$C,N:N)</f>
        <v>0.1801402220967443</v>
      </c>
      <c r="O60" s="109">
        <f t="shared" si="3"/>
        <v>0.77668379446640268</v>
      </c>
      <c r="P60" s="107">
        <f t="shared" si="3"/>
        <v>4.1908244467377589</v>
      </c>
      <c r="Q60" s="108">
        <f t="shared" si="3"/>
        <v>0.28893145743145698</v>
      </c>
      <c r="R60" s="108">
        <f t="shared" si="3"/>
        <v>0.2976666666666663</v>
      </c>
      <c r="S60" s="109">
        <f t="shared" si="3"/>
        <v>0.66396937997166861</v>
      </c>
      <c r="T60" s="107">
        <f t="shared" si="3"/>
        <v>11.191780182780182</v>
      </c>
      <c r="U60" s="108">
        <f t="shared" si="3"/>
        <v>-0.88089091192032365</v>
      </c>
      <c r="V60" s="108">
        <f t="shared" si="3"/>
        <v>-1.3679588744588744</v>
      </c>
      <c r="W60" s="109">
        <f t="shared" si="3"/>
        <v>-0.58599470899470862</v>
      </c>
      <c r="X60" s="107">
        <f t="shared" si="3"/>
        <v>6.3359398148148136</v>
      </c>
      <c r="Y60" s="108">
        <f t="shared" si="4"/>
        <v>-1.8976190476190702E-2</v>
      </c>
      <c r="Z60" s="108">
        <f t="shared" si="4"/>
        <v>2.2908400673400675</v>
      </c>
      <c r="AA60" s="109">
        <f t="shared" si="4"/>
        <v>1.8920833333333331</v>
      </c>
      <c r="AB60" s="107">
        <f t="shared" si="4"/>
        <v>0.55239821159232938</v>
      </c>
      <c r="AC60" s="108">
        <f t="shared" si="4"/>
        <v>-0.315625937392501</v>
      </c>
      <c r="AD60" s="108">
        <f t="shared" si="4"/>
        <v>-1.1342986425339363</v>
      </c>
      <c r="AE60" s="109">
        <f t="shared" si="4"/>
        <v>-0.11176190476190495</v>
      </c>
      <c r="AF60" s="107">
        <f t="shared" si="4"/>
        <v>0.56011764705882383</v>
      </c>
      <c r="AG60" s="108">
        <f t="shared" si="4"/>
        <v>-0.26336385836385778</v>
      </c>
      <c r="AH60" s="108">
        <f t="shared" si="4"/>
        <v>2.5445726495726499</v>
      </c>
      <c r="AI60" s="109">
        <f t="shared" si="5"/>
        <v>0.82550427350427391</v>
      </c>
      <c r="AJ60" s="107">
        <f t="shared" si="5"/>
        <v>4.0249144921126341</v>
      </c>
      <c r="AK60" s="108">
        <f t="shared" si="5"/>
        <v>-0.1179417862838914</v>
      </c>
      <c r="AL60" s="108">
        <f t="shared" si="5"/>
        <v>6.4424400923255298E-3</v>
      </c>
      <c r="AM60" s="109">
        <f t="shared" si="5"/>
        <v>-1.5252892194253853E-2</v>
      </c>
      <c r="AN60" s="107">
        <f t="shared" si="5"/>
        <v>0.7728199665831248</v>
      </c>
      <c r="AO60" s="108">
        <f t="shared" si="5"/>
        <v>-0.28140740740740755</v>
      </c>
      <c r="AP60" s="108">
        <f t="shared" si="5"/>
        <v>-0.4081669704564439</v>
      </c>
      <c r="AQ60" s="109">
        <f t="shared" si="5"/>
        <v>2.0476735316552475E-2</v>
      </c>
      <c r="AR60" s="107">
        <f t="shared" si="5"/>
        <v>-8.5402407533986535E-2</v>
      </c>
      <c r="AS60" s="108">
        <f t="shared" si="6"/>
        <v>-0.23452869352869343</v>
      </c>
      <c r="AT60" s="108">
        <f t="shared" si="6"/>
        <v>-0.46663595262666457</v>
      </c>
      <c r="AU60" s="109">
        <f t="shared" si="6"/>
        <v>-0.4796595860566446</v>
      </c>
      <c r="AV60" s="107">
        <f t="shared" si="6"/>
        <v>0.1305929038281981</v>
      </c>
      <c r="AW60" s="108">
        <f t="shared" si="6"/>
        <v>-0.50680340557275505</v>
      </c>
      <c r="AX60" s="108">
        <f t="shared" si="6"/>
        <v>-0.50902738873327191</v>
      </c>
      <c r="AY60" s="109">
        <f t="shared" si="6"/>
        <v>-0.32816855865153016</v>
      </c>
      <c r="AZ60" s="107">
        <f t="shared" si="6"/>
        <v>2.4039294113907967</v>
      </c>
      <c r="BA60" s="108">
        <f t="shared" si="6"/>
        <v>-0.70661422346716396</v>
      </c>
      <c r="BB60" s="108">
        <f t="shared" si="6"/>
        <v>-0.58339539026206211</v>
      </c>
      <c r="BC60" s="109">
        <f t="shared" si="7"/>
        <v>1.0507568172568176</v>
      </c>
      <c r="BD60" s="107">
        <f t="shared" si="7"/>
        <v>0.40559077432142443</v>
      </c>
      <c r="BE60" s="108">
        <f t="shared" si="7"/>
        <v>-0.62866427432216931</v>
      </c>
      <c r="BF60" s="108">
        <f t="shared" si="7"/>
        <v>-1.0716845913393231</v>
      </c>
      <c r="BG60" s="109">
        <f t="shared" si="7"/>
        <v>-0.769126187423401</v>
      </c>
      <c r="BH60" s="107">
        <f t="shared" si="7"/>
        <v>0.41450326797385628</v>
      </c>
      <c r="BI60" s="108">
        <f t="shared" si="7"/>
        <v>-0.46960667600373474</v>
      </c>
      <c r="BJ60" s="108">
        <f t="shared" si="7"/>
        <v>-0.56448355263157901</v>
      </c>
      <c r="BK60" s="109">
        <f t="shared" si="7"/>
        <v>-0.34533333333333349</v>
      </c>
      <c r="BL60" s="107">
        <f t="shared" si="7"/>
        <v>1.7786666666666662</v>
      </c>
      <c r="BM60" s="108">
        <f t="shared" si="7"/>
        <v>-0.71166666666666645</v>
      </c>
      <c r="BN60" s="108">
        <f t="shared" si="7"/>
        <v>-0.89100000000000001</v>
      </c>
      <c r="BO60" s="109">
        <f t="shared" si="7"/>
        <v>-0.43066666666666675</v>
      </c>
      <c r="BP60" s="107">
        <f t="shared" si="7"/>
        <v>2.0903333333333323</v>
      </c>
      <c r="BQ60" s="108">
        <f t="shared" si="7"/>
        <v>-0.7283333333333335</v>
      </c>
      <c r="BR60" s="108">
        <f t="shared" si="1"/>
        <v>-0.8839999999999999</v>
      </c>
      <c r="BS60" s="109">
        <f t="shared" si="1"/>
        <v>-0.20699999999999985</v>
      </c>
      <c r="BT60" s="107">
        <f t="shared" si="1"/>
        <v>3.2480000000000011</v>
      </c>
      <c r="BU60" s="108"/>
      <c r="BV60" s="108"/>
      <c r="BW60" s="109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</row>
    <row r="61" spans="1:90" x14ac:dyDescent="0.25">
      <c r="A61" s="9"/>
      <c r="B61" s="9"/>
      <c r="C61" s="3" t="s">
        <v>10</v>
      </c>
      <c r="D61" s="130" t="s">
        <v>205</v>
      </c>
      <c r="E61" s="3" t="s">
        <v>206</v>
      </c>
      <c r="F61" s="20"/>
      <c r="G61" s="20"/>
      <c r="H61" s="107">
        <f t="shared" si="2"/>
        <v>2.8901563691838295</v>
      </c>
      <c r="I61" s="108">
        <f t="shared" si="2"/>
        <v>0.38814069264069317</v>
      </c>
      <c r="J61" s="108">
        <f t="shared" si="2"/>
        <v>0.604976190476191</v>
      </c>
      <c r="K61" s="109">
        <f t="shared" si="2"/>
        <v>0.49117460317460404</v>
      </c>
      <c r="L61" s="107">
        <f t="shared" si="2"/>
        <v>0.71131020733652361</v>
      </c>
      <c r="M61" s="108">
        <f t="shared" si="2"/>
        <v>0.20786078833447208</v>
      </c>
      <c r="N61" s="108">
        <f t="shared" si="8"/>
        <v>0.1801402220967443</v>
      </c>
      <c r="O61" s="109">
        <f t="shared" si="3"/>
        <v>0.77668379446640268</v>
      </c>
      <c r="P61" s="107">
        <f t="shared" si="3"/>
        <v>4.1908244467377589</v>
      </c>
      <c r="Q61" s="108">
        <f t="shared" si="3"/>
        <v>0.28893145743145698</v>
      </c>
      <c r="R61" s="108">
        <f t="shared" si="3"/>
        <v>0.2976666666666663</v>
      </c>
      <c r="S61" s="109">
        <f t="shared" si="3"/>
        <v>0.66396937997166861</v>
      </c>
      <c r="T61" s="107">
        <f t="shared" si="3"/>
        <v>11.191780182780182</v>
      </c>
      <c r="U61" s="108">
        <f t="shared" si="3"/>
        <v>-0.88089091192032365</v>
      </c>
      <c r="V61" s="108">
        <f t="shared" si="3"/>
        <v>-1.3679588744588744</v>
      </c>
      <c r="W61" s="109">
        <f t="shared" si="3"/>
        <v>-0.58599470899470862</v>
      </c>
      <c r="X61" s="107">
        <f t="shared" si="3"/>
        <v>6.3359398148148136</v>
      </c>
      <c r="Y61" s="108">
        <f t="shared" si="4"/>
        <v>-1.8976190476190702E-2</v>
      </c>
      <c r="Z61" s="108">
        <f t="shared" si="4"/>
        <v>2.2908400673400675</v>
      </c>
      <c r="AA61" s="109">
        <f t="shared" si="4"/>
        <v>1.8920833333333331</v>
      </c>
      <c r="AB61" s="107">
        <f t="shared" si="4"/>
        <v>0.55239821159232938</v>
      </c>
      <c r="AC61" s="108">
        <f t="shared" si="4"/>
        <v>-0.315625937392501</v>
      </c>
      <c r="AD61" s="108">
        <f t="shared" si="4"/>
        <v>-1.1342986425339363</v>
      </c>
      <c r="AE61" s="109">
        <f t="shared" si="4"/>
        <v>-0.11176190476190495</v>
      </c>
      <c r="AF61" s="107">
        <f t="shared" si="4"/>
        <v>0.56011764705882383</v>
      </c>
      <c r="AG61" s="108">
        <f t="shared" si="4"/>
        <v>-0.26336385836385778</v>
      </c>
      <c r="AH61" s="108">
        <f t="shared" si="4"/>
        <v>2.5445726495726499</v>
      </c>
      <c r="AI61" s="109">
        <f t="shared" si="5"/>
        <v>0.82550427350427391</v>
      </c>
      <c r="AJ61" s="107">
        <f t="shared" si="5"/>
        <v>4.0249144921126341</v>
      </c>
      <c r="AK61" s="108">
        <f t="shared" si="5"/>
        <v>-0.1179417862838914</v>
      </c>
      <c r="AL61" s="108">
        <f t="shared" si="5"/>
        <v>6.4424400923255298E-3</v>
      </c>
      <c r="AM61" s="109">
        <f t="shared" si="5"/>
        <v>-1.5252892194253853E-2</v>
      </c>
      <c r="AN61" s="107">
        <f t="shared" si="5"/>
        <v>0.7728199665831248</v>
      </c>
      <c r="AO61" s="108">
        <f t="shared" si="5"/>
        <v>-0.28140740740740755</v>
      </c>
      <c r="AP61" s="108">
        <f t="shared" si="5"/>
        <v>-0.4081669704564439</v>
      </c>
      <c r="AQ61" s="109">
        <f t="shared" si="5"/>
        <v>2.0476735316552475E-2</v>
      </c>
      <c r="AR61" s="107">
        <f t="shared" si="5"/>
        <v>-8.5402407533986535E-2</v>
      </c>
      <c r="AS61" s="108">
        <f t="shared" si="6"/>
        <v>-0.23452869352869343</v>
      </c>
      <c r="AT61" s="108">
        <f t="shared" si="6"/>
        <v>-0.46663595262666457</v>
      </c>
      <c r="AU61" s="109">
        <f t="shared" si="6"/>
        <v>-0.4796595860566446</v>
      </c>
      <c r="AV61" s="107">
        <f t="shared" si="6"/>
        <v>0.1305929038281981</v>
      </c>
      <c r="AW61" s="108">
        <f t="shared" si="6"/>
        <v>-0.50680340557275505</v>
      </c>
      <c r="AX61" s="108">
        <f t="shared" si="6"/>
        <v>-0.50902738873327191</v>
      </c>
      <c r="AY61" s="109">
        <f t="shared" si="6"/>
        <v>-0.32816855865153016</v>
      </c>
      <c r="AZ61" s="107">
        <f t="shared" si="6"/>
        <v>2.4039294113907967</v>
      </c>
      <c r="BA61" s="108">
        <f t="shared" si="6"/>
        <v>-0.70661422346716396</v>
      </c>
      <c r="BB61" s="108">
        <f t="shared" si="6"/>
        <v>-0.58339539026206211</v>
      </c>
      <c r="BC61" s="109">
        <f t="shared" si="7"/>
        <v>1.0507568172568176</v>
      </c>
      <c r="BD61" s="107">
        <f t="shared" si="7"/>
        <v>0.40559077432142443</v>
      </c>
      <c r="BE61" s="108">
        <f t="shared" si="7"/>
        <v>-0.62866427432216931</v>
      </c>
      <c r="BF61" s="108">
        <f t="shared" si="7"/>
        <v>-1.0716845913393231</v>
      </c>
      <c r="BG61" s="109">
        <f t="shared" si="7"/>
        <v>-0.769126187423401</v>
      </c>
      <c r="BH61" s="107">
        <f t="shared" si="7"/>
        <v>0.41450326797385628</v>
      </c>
      <c r="BI61" s="108">
        <f t="shared" si="7"/>
        <v>-0.46960667600373474</v>
      </c>
      <c r="BJ61" s="108">
        <f t="shared" si="7"/>
        <v>-0.56448355263157901</v>
      </c>
      <c r="BK61" s="109">
        <f t="shared" si="7"/>
        <v>-0.34533333333333349</v>
      </c>
      <c r="BL61" s="107">
        <f t="shared" si="7"/>
        <v>1.7786666666666662</v>
      </c>
      <c r="BM61" s="108">
        <f t="shared" si="7"/>
        <v>-0.71166666666666645</v>
      </c>
      <c r="BN61" s="108">
        <f t="shared" si="7"/>
        <v>-0.89100000000000001</v>
      </c>
      <c r="BO61" s="109">
        <f t="shared" si="7"/>
        <v>-0.43066666666666675</v>
      </c>
      <c r="BP61" s="107">
        <f t="shared" si="7"/>
        <v>2.0903333333333323</v>
      </c>
      <c r="BQ61" s="108">
        <f t="shared" si="7"/>
        <v>-0.7283333333333335</v>
      </c>
      <c r="BR61" s="108">
        <f t="shared" si="1"/>
        <v>-0.8839999999999999</v>
      </c>
      <c r="BS61" s="109">
        <f t="shared" si="1"/>
        <v>-0.20699999999999985</v>
      </c>
      <c r="BT61" s="107">
        <f t="shared" si="1"/>
        <v>3.2480000000000011</v>
      </c>
      <c r="BU61" s="108"/>
      <c r="BV61" s="108"/>
      <c r="BW61" s="109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</row>
    <row r="62" spans="1:90" x14ac:dyDescent="0.25">
      <c r="A62" s="9"/>
      <c r="B62" s="9"/>
      <c r="C62" s="3" t="s">
        <v>11</v>
      </c>
      <c r="D62" s="130" t="s">
        <v>205</v>
      </c>
      <c r="E62" s="3" t="s">
        <v>207</v>
      </c>
      <c r="F62" s="20"/>
      <c r="G62" s="20"/>
      <c r="H62" s="107">
        <f t="shared" si="2"/>
        <v>1.7494298245614033</v>
      </c>
      <c r="I62" s="108">
        <f t="shared" si="2"/>
        <v>0.28882972582972677</v>
      </c>
      <c r="J62" s="108">
        <f t="shared" si="2"/>
        <v>0.25620841959972473</v>
      </c>
      <c r="K62" s="109">
        <f t="shared" si="2"/>
        <v>0.27394444444444455</v>
      </c>
      <c r="L62" s="107">
        <f t="shared" si="2"/>
        <v>0.29753748006379643</v>
      </c>
      <c r="M62" s="108">
        <f t="shared" si="2"/>
        <v>0.16276987924356368</v>
      </c>
      <c r="N62" s="108">
        <f t="shared" si="8"/>
        <v>0.16539793158786331</v>
      </c>
      <c r="O62" s="109">
        <f t="shared" si="3"/>
        <v>0.28000724637681085</v>
      </c>
      <c r="P62" s="107">
        <f t="shared" si="3"/>
        <v>0.72228643504185319</v>
      </c>
      <c r="Q62" s="108">
        <f t="shared" si="3"/>
        <v>0.1070829725829725</v>
      </c>
      <c r="R62" s="108">
        <f t="shared" si="3"/>
        <v>8.0530303030303063E-2</v>
      </c>
      <c r="S62" s="109">
        <f t="shared" si="3"/>
        <v>0.19774185463659144</v>
      </c>
      <c r="T62" s="107">
        <f t="shared" si="3"/>
        <v>7.825910926305661</v>
      </c>
      <c r="U62" s="108">
        <f t="shared" si="3"/>
        <v>-0.90806022408963605</v>
      </c>
      <c r="V62" s="108">
        <f t="shared" si="3"/>
        <v>-1.4397914862914858</v>
      </c>
      <c r="W62" s="109">
        <f t="shared" si="3"/>
        <v>-1.1032962962962962</v>
      </c>
      <c r="X62" s="107">
        <f t="shared" si="3"/>
        <v>3.0571331738436998</v>
      </c>
      <c r="Y62" s="108">
        <f t="shared" si="4"/>
        <v>-0.94385714285714273</v>
      </c>
      <c r="Z62" s="108">
        <f t="shared" si="4"/>
        <v>1.3712525252525254</v>
      </c>
      <c r="AA62" s="109">
        <f t="shared" si="4"/>
        <v>1.2871212121212121</v>
      </c>
      <c r="AB62" s="107">
        <f t="shared" si="4"/>
        <v>-2.9919576719576568E-2</v>
      </c>
      <c r="AC62" s="108">
        <f t="shared" si="4"/>
        <v>-0.47020476190476201</v>
      </c>
      <c r="AD62" s="108">
        <f t="shared" si="4"/>
        <v>-1.7379955141476879</v>
      </c>
      <c r="AE62" s="109">
        <f t="shared" si="4"/>
        <v>-0.70884920634920645</v>
      </c>
      <c r="AF62" s="107">
        <f t="shared" si="4"/>
        <v>5.0556826849733394E-2</v>
      </c>
      <c r="AG62" s="108">
        <f t="shared" si="4"/>
        <v>-0.49294486215538802</v>
      </c>
      <c r="AH62" s="108">
        <f t="shared" si="4"/>
        <v>1.7192185354691076</v>
      </c>
      <c r="AI62" s="109">
        <f t="shared" si="5"/>
        <v>0.21595454545454551</v>
      </c>
      <c r="AJ62" s="107">
        <f t="shared" si="5"/>
        <v>3.043785935426802</v>
      </c>
      <c r="AK62" s="108">
        <f t="shared" si="5"/>
        <v>-0.44818774208247891</v>
      </c>
      <c r="AL62" s="108">
        <f t="shared" si="5"/>
        <v>-0.42400251286978952</v>
      </c>
      <c r="AM62" s="109">
        <f t="shared" si="5"/>
        <v>-0.18357780801916901</v>
      </c>
      <c r="AN62" s="107">
        <f t="shared" si="5"/>
        <v>0.34248955722639929</v>
      </c>
      <c r="AO62" s="108">
        <f t="shared" si="5"/>
        <v>-0.33522414622414631</v>
      </c>
      <c r="AP62" s="108">
        <f t="shared" si="5"/>
        <v>-0.48076148705096022</v>
      </c>
      <c r="AQ62" s="109">
        <f t="shared" si="5"/>
        <v>-0.11430184761420437</v>
      </c>
      <c r="AR62" s="107">
        <f t="shared" si="5"/>
        <v>-0.17016594516594519</v>
      </c>
      <c r="AS62" s="108">
        <f t="shared" si="6"/>
        <v>-0.23708513708513701</v>
      </c>
      <c r="AT62" s="108">
        <f t="shared" si="6"/>
        <v>-0.47520315941368585</v>
      </c>
      <c r="AU62" s="109">
        <f t="shared" si="6"/>
        <v>-0.66868905217589414</v>
      </c>
      <c r="AV62" s="107">
        <f t="shared" si="6"/>
        <v>-0.18492968904733642</v>
      </c>
      <c r="AW62" s="108">
        <f t="shared" si="6"/>
        <v>-0.56048941798941776</v>
      </c>
      <c r="AX62" s="108">
        <f t="shared" si="6"/>
        <v>-0.44569487890850201</v>
      </c>
      <c r="AY62" s="109">
        <f t="shared" si="6"/>
        <v>-0.42553550543024166</v>
      </c>
      <c r="AZ62" s="107">
        <f t="shared" si="6"/>
        <v>1.8157354287252669</v>
      </c>
      <c r="BA62" s="108">
        <f t="shared" si="6"/>
        <v>-0.635851851851851</v>
      </c>
      <c r="BB62" s="108">
        <f t="shared" si="6"/>
        <v>-0.82457131465026201</v>
      </c>
      <c r="BC62" s="109">
        <f t="shared" si="7"/>
        <v>0.52437493305914451</v>
      </c>
      <c r="BD62" s="107">
        <f t="shared" si="7"/>
        <v>0.37663797174094649</v>
      </c>
      <c r="BE62" s="108">
        <f t="shared" si="7"/>
        <v>-0.64684609250398717</v>
      </c>
      <c r="BF62" s="108">
        <f t="shared" si="7"/>
        <v>-1.1496334185848256</v>
      </c>
      <c r="BG62" s="109">
        <f t="shared" si="7"/>
        <v>-0.8642636738906091</v>
      </c>
      <c r="BH62" s="107">
        <f t="shared" si="7"/>
        <v>0.4338174029845856</v>
      </c>
      <c r="BI62" s="108">
        <f t="shared" si="7"/>
        <v>-0.52807539682539684</v>
      </c>
      <c r="BJ62" s="108">
        <f t="shared" si="7"/>
        <v>-0.55109565580618214</v>
      </c>
      <c r="BK62" s="109">
        <f t="shared" si="7"/>
        <v>-0.45466666666666677</v>
      </c>
      <c r="BL62" s="107">
        <f t="shared" si="7"/>
        <v>0.85866666666666625</v>
      </c>
      <c r="BM62" s="108">
        <f t="shared" si="7"/>
        <v>-0.61766666666666659</v>
      </c>
      <c r="BN62" s="108">
        <f t="shared" si="7"/>
        <v>-0.92966666666666686</v>
      </c>
      <c r="BO62" s="109">
        <f t="shared" si="7"/>
        <v>-0.54233333333333311</v>
      </c>
      <c r="BP62" s="107">
        <f t="shared" si="7"/>
        <v>1.2273333333333336</v>
      </c>
      <c r="BQ62" s="108">
        <f t="shared" si="7"/>
        <v>-0.73399999999999999</v>
      </c>
      <c r="BR62" s="108">
        <f t="shared" si="1"/>
        <v>-0.93699999999999983</v>
      </c>
      <c r="BS62" s="109">
        <f t="shared" si="1"/>
        <v>-0.52533333333333321</v>
      </c>
      <c r="BT62" s="107">
        <f t="shared" si="1"/>
        <v>2.1300000000000008</v>
      </c>
      <c r="BU62" s="108"/>
      <c r="BV62" s="108"/>
      <c r="BW62" s="109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</row>
    <row r="63" spans="1:90" x14ac:dyDescent="0.25">
      <c r="A63" s="9"/>
      <c r="B63" s="9"/>
      <c r="C63" s="3" t="s">
        <v>12</v>
      </c>
      <c r="D63" s="130" t="s">
        <v>205</v>
      </c>
      <c r="E63" s="3" t="s">
        <v>207</v>
      </c>
      <c r="F63" s="20"/>
      <c r="G63" s="20"/>
      <c r="H63" s="107">
        <f t="shared" si="2"/>
        <v>1.7494298245614033</v>
      </c>
      <c r="I63" s="108">
        <f t="shared" si="2"/>
        <v>0.28882972582972677</v>
      </c>
      <c r="J63" s="108">
        <f t="shared" si="2"/>
        <v>0.25620841959972473</v>
      </c>
      <c r="K63" s="109">
        <f t="shared" si="2"/>
        <v>0.27394444444444455</v>
      </c>
      <c r="L63" s="107">
        <f t="shared" si="2"/>
        <v>0.29753748006379643</v>
      </c>
      <c r="M63" s="108">
        <f t="shared" si="2"/>
        <v>0.16276987924356368</v>
      </c>
      <c r="N63" s="108">
        <f t="shared" si="8"/>
        <v>0.16539793158786331</v>
      </c>
      <c r="O63" s="109">
        <f t="shared" si="3"/>
        <v>0.28000724637681085</v>
      </c>
      <c r="P63" s="107">
        <f t="shared" si="3"/>
        <v>0.72228643504185319</v>
      </c>
      <c r="Q63" s="108">
        <f t="shared" si="3"/>
        <v>0.1070829725829725</v>
      </c>
      <c r="R63" s="108">
        <f t="shared" si="3"/>
        <v>8.0530303030303063E-2</v>
      </c>
      <c r="S63" s="109">
        <f t="shared" si="3"/>
        <v>0.19774185463659144</v>
      </c>
      <c r="T63" s="107">
        <f t="shared" si="3"/>
        <v>7.825910926305661</v>
      </c>
      <c r="U63" s="108">
        <f t="shared" si="3"/>
        <v>-0.90806022408963605</v>
      </c>
      <c r="V63" s="108">
        <f t="shared" si="3"/>
        <v>-1.4397914862914858</v>
      </c>
      <c r="W63" s="109">
        <f t="shared" si="3"/>
        <v>-1.1032962962962962</v>
      </c>
      <c r="X63" s="107">
        <f t="shared" si="3"/>
        <v>3.0571331738436998</v>
      </c>
      <c r="Y63" s="108">
        <f t="shared" si="4"/>
        <v>-0.94385714285714273</v>
      </c>
      <c r="Z63" s="108">
        <f t="shared" si="4"/>
        <v>1.3712525252525254</v>
      </c>
      <c r="AA63" s="109">
        <f t="shared" si="4"/>
        <v>1.2871212121212121</v>
      </c>
      <c r="AB63" s="107">
        <f t="shared" si="4"/>
        <v>-2.9919576719576568E-2</v>
      </c>
      <c r="AC63" s="108">
        <f t="shared" si="4"/>
        <v>-0.47020476190476201</v>
      </c>
      <c r="AD63" s="108">
        <f t="shared" si="4"/>
        <v>-1.7379955141476879</v>
      </c>
      <c r="AE63" s="109">
        <f t="shared" si="4"/>
        <v>-0.70884920634920645</v>
      </c>
      <c r="AF63" s="107">
        <f t="shared" si="4"/>
        <v>5.0556826849733394E-2</v>
      </c>
      <c r="AG63" s="108">
        <f t="shared" si="4"/>
        <v>-0.49294486215538802</v>
      </c>
      <c r="AH63" s="108">
        <f t="shared" si="4"/>
        <v>1.7192185354691076</v>
      </c>
      <c r="AI63" s="109">
        <f t="shared" si="5"/>
        <v>0.21595454545454551</v>
      </c>
      <c r="AJ63" s="107">
        <f t="shared" si="5"/>
        <v>3.043785935426802</v>
      </c>
      <c r="AK63" s="108">
        <f t="shared" si="5"/>
        <v>-0.44818774208247891</v>
      </c>
      <c r="AL63" s="108">
        <f t="shared" si="5"/>
        <v>-0.42400251286978952</v>
      </c>
      <c r="AM63" s="109">
        <f t="shared" si="5"/>
        <v>-0.18357780801916901</v>
      </c>
      <c r="AN63" s="107">
        <f t="shared" si="5"/>
        <v>0.34248955722639929</v>
      </c>
      <c r="AO63" s="108">
        <f t="shared" si="5"/>
        <v>-0.33522414622414631</v>
      </c>
      <c r="AP63" s="108">
        <f t="shared" si="5"/>
        <v>-0.48076148705096022</v>
      </c>
      <c r="AQ63" s="109">
        <f t="shared" si="5"/>
        <v>-0.11430184761420437</v>
      </c>
      <c r="AR63" s="107">
        <f t="shared" si="5"/>
        <v>-0.17016594516594519</v>
      </c>
      <c r="AS63" s="108">
        <f t="shared" si="6"/>
        <v>-0.23708513708513701</v>
      </c>
      <c r="AT63" s="108">
        <f t="shared" si="6"/>
        <v>-0.47520315941368585</v>
      </c>
      <c r="AU63" s="109">
        <f t="shared" si="6"/>
        <v>-0.66868905217589414</v>
      </c>
      <c r="AV63" s="107">
        <f t="shared" si="6"/>
        <v>-0.18492968904733642</v>
      </c>
      <c r="AW63" s="108">
        <f t="shared" si="6"/>
        <v>-0.56048941798941776</v>
      </c>
      <c r="AX63" s="108">
        <f t="shared" si="6"/>
        <v>-0.44569487890850201</v>
      </c>
      <c r="AY63" s="109">
        <f t="shared" si="6"/>
        <v>-0.42553550543024166</v>
      </c>
      <c r="AZ63" s="107">
        <f t="shared" si="6"/>
        <v>1.8157354287252669</v>
      </c>
      <c r="BA63" s="108">
        <f t="shared" si="6"/>
        <v>-0.635851851851851</v>
      </c>
      <c r="BB63" s="108">
        <f t="shared" si="6"/>
        <v>-0.82457131465026201</v>
      </c>
      <c r="BC63" s="109">
        <f t="shared" si="7"/>
        <v>0.52437493305914451</v>
      </c>
      <c r="BD63" s="107">
        <f t="shared" si="7"/>
        <v>0.37663797174094649</v>
      </c>
      <c r="BE63" s="108">
        <f t="shared" si="7"/>
        <v>-0.64684609250398717</v>
      </c>
      <c r="BF63" s="108">
        <f t="shared" si="7"/>
        <v>-1.1496334185848256</v>
      </c>
      <c r="BG63" s="109">
        <f t="shared" si="7"/>
        <v>-0.8642636738906091</v>
      </c>
      <c r="BH63" s="107">
        <f t="shared" si="7"/>
        <v>0.4338174029845856</v>
      </c>
      <c r="BI63" s="108">
        <f t="shared" si="7"/>
        <v>-0.52807539682539684</v>
      </c>
      <c r="BJ63" s="108">
        <f t="shared" si="7"/>
        <v>-0.55109565580618214</v>
      </c>
      <c r="BK63" s="109">
        <f t="shared" si="7"/>
        <v>-0.45466666666666677</v>
      </c>
      <c r="BL63" s="107">
        <f t="shared" si="7"/>
        <v>0.85866666666666625</v>
      </c>
      <c r="BM63" s="108">
        <f t="shared" si="7"/>
        <v>-0.61766666666666659</v>
      </c>
      <c r="BN63" s="108">
        <f t="shared" si="7"/>
        <v>-0.92966666666666686</v>
      </c>
      <c r="BO63" s="109">
        <f t="shared" si="7"/>
        <v>-0.54233333333333311</v>
      </c>
      <c r="BP63" s="107">
        <f t="shared" si="7"/>
        <v>1.2273333333333336</v>
      </c>
      <c r="BQ63" s="108">
        <f t="shared" si="7"/>
        <v>-0.73399999999999999</v>
      </c>
      <c r="BR63" s="108">
        <f t="shared" si="1"/>
        <v>-0.93699999999999983</v>
      </c>
      <c r="BS63" s="109">
        <f t="shared" si="1"/>
        <v>-0.52533333333333321</v>
      </c>
      <c r="BT63" s="107">
        <f t="shared" si="1"/>
        <v>2.1300000000000008</v>
      </c>
      <c r="BU63" s="108"/>
      <c r="BV63" s="108"/>
      <c r="BW63" s="109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</row>
    <row r="64" spans="1:90" x14ac:dyDescent="0.25">
      <c r="A64" s="9"/>
      <c r="B64" s="9"/>
      <c r="C64" s="3" t="s">
        <v>13</v>
      </c>
      <c r="D64" s="130" t="s">
        <v>205</v>
      </c>
      <c r="E64" s="3" t="s">
        <v>207</v>
      </c>
      <c r="F64" s="20"/>
      <c r="G64" s="20"/>
      <c r="H64" s="107">
        <f>_xlfn.XLOOKUP($E64,$C:$C,H:H) - _xlfn.XLOOKUP($E$57,$C:$C,H:H)</f>
        <v>1.7494298245614033</v>
      </c>
      <c r="I64" s="108">
        <f t="shared" si="2"/>
        <v>0.28882972582972677</v>
      </c>
      <c r="J64" s="108">
        <f t="shared" si="2"/>
        <v>0.25620841959972473</v>
      </c>
      <c r="K64" s="109">
        <f t="shared" si="2"/>
        <v>0.27394444444444455</v>
      </c>
      <c r="L64" s="107">
        <f t="shared" si="2"/>
        <v>0.29753748006379643</v>
      </c>
      <c r="M64" s="108">
        <f t="shared" si="2"/>
        <v>0.16276987924356368</v>
      </c>
      <c r="N64" s="108">
        <f t="shared" si="8"/>
        <v>0.16539793158786331</v>
      </c>
      <c r="O64" s="109">
        <f t="shared" si="3"/>
        <v>0.28000724637681085</v>
      </c>
      <c r="P64" s="107">
        <f t="shared" si="3"/>
        <v>0.72228643504185319</v>
      </c>
      <c r="Q64" s="108">
        <f t="shared" si="3"/>
        <v>0.1070829725829725</v>
      </c>
      <c r="R64" s="108">
        <f t="shared" si="3"/>
        <v>8.0530303030303063E-2</v>
      </c>
      <c r="S64" s="109">
        <f t="shared" si="3"/>
        <v>0.19774185463659144</v>
      </c>
      <c r="T64" s="107">
        <f t="shared" si="3"/>
        <v>7.825910926305661</v>
      </c>
      <c r="U64" s="108">
        <f t="shared" si="3"/>
        <v>-0.90806022408963605</v>
      </c>
      <c r="V64" s="108">
        <f t="shared" si="3"/>
        <v>-1.4397914862914858</v>
      </c>
      <c r="W64" s="109">
        <f t="shared" si="3"/>
        <v>-1.1032962962962962</v>
      </c>
      <c r="X64" s="107">
        <f t="shared" si="3"/>
        <v>3.0571331738436998</v>
      </c>
      <c r="Y64" s="108">
        <f t="shared" si="4"/>
        <v>-0.94385714285714273</v>
      </c>
      <c r="Z64" s="108">
        <f t="shared" si="4"/>
        <v>1.3712525252525254</v>
      </c>
      <c r="AA64" s="109">
        <f t="shared" si="4"/>
        <v>1.2871212121212121</v>
      </c>
      <c r="AB64" s="107">
        <f t="shared" si="4"/>
        <v>-2.9919576719576568E-2</v>
      </c>
      <c r="AC64" s="108">
        <f t="shared" si="4"/>
        <v>-0.47020476190476201</v>
      </c>
      <c r="AD64" s="108">
        <f t="shared" si="4"/>
        <v>-1.7379955141476879</v>
      </c>
      <c r="AE64" s="109">
        <f t="shared" si="4"/>
        <v>-0.70884920634920645</v>
      </c>
      <c r="AF64" s="107">
        <f t="shared" si="4"/>
        <v>5.0556826849733394E-2</v>
      </c>
      <c r="AG64" s="108">
        <f t="shared" si="4"/>
        <v>-0.49294486215538802</v>
      </c>
      <c r="AH64" s="108">
        <f t="shared" si="4"/>
        <v>1.7192185354691076</v>
      </c>
      <c r="AI64" s="109">
        <f t="shared" si="5"/>
        <v>0.21595454545454551</v>
      </c>
      <c r="AJ64" s="107">
        <f t="shared" si="5"/>
        <v>3.043785935426802</v>
      </c>
      <c r="AK64" s="108">
        <f t="shared" si="5"/>
        <v>-0.44818774208247891</v>
      </c>
      <c r="AL64" s="108">
        <f t="shared" si="5"/>
        <v>-0.42400251286978952</v>
      </c>
      <c r="AM64" s="109">
        <f t="shared" si="5"/>
        <v>-0.18357780801916901</v>
      </c>
      <c r="AN64" s="107">
        <f t="shared" si="5"/>
        <v>0.34248955722639929</v>
      </c>
      <c r="AO64" s="108">
        <f t="shared" si="5"/>
        <v>-0.33522414622414631</v>
      </c>
      <c r="AP64" s="108">
        <f t="shared" si="5"/>
        <v>-0.48076148705096022</v>
      </c>
      <c r="AQ64" s="109">
        <f t="shared" si="5"/>
        <v>-0.11430184761420437</v>
      </c>
      <c r="AR64" s="107">
        <f t="shared" si="5"/>
        <v>-0.17016594516594519</v>
      </c>
      <c r="AS64" s="108">
        <f t="shared" si="6"/>
        <v>-0.23708513708513701</v>
      </c>
      <c r="AT64" s="108">
        <f t="shared" si="6"/>
        <v>-0.47520315941368585</v>
      </c>
      <c r="AU64" s="109">
        <f t="shared" si="6"/>
        <v>-0.66868905217589414</v>
      </c>
      <c r="AV64" s="107">
        <f t="shared" si="6"/>
        <v>-0.18492968904733642</v>
      </c>
      <c r="AW64" s="108">
        <f t="shared" si="6"/>
        <v>-0.56048941798941776</v>
      </c>
      <c r="AX64" s="108">
        <f t="shared" si="6"/>
        <v>-0.44569487890850201</v>
      </c>
      <c r="AY64" s="109">
        <f t="shared" si="6"/>
        <v>-0.42553550543024166</v>
      </c>
      <c r="AZ64" s="107">
        <f t="shared" si="6"/>
        <v>1.8157354287252669</v>
      </c>
      <c r="BA64" s="108">
        <f t="shared" si="6"/>
        <v>-0.635851851851851</v>
      </c>
      <c r="BB64" s="108">
        <f t="shared" si="6"/>
        <v>-0.82457131465026201</v>
      </c>
      <c r="BC64" s="109">
        <f t="shared" si="7"/>
        <v>0.52437493305914451</v>
      </c>
      <c r="BD64" s="107">
        <f t="shared" si="7"/>
        <v>0.37663797174094649</v>
      </c>
      <c r="BE64" s="108">
        <f t="shared" si="7"/>
        <v>-0.64684609250398717</v>
      </c>
      <c r="BF64" s="108">
        <f t="shared" si="7"/>
        <v>-1.1496334185848256</v>
      </c>
      <c r="BG64" s="109">
        <f t="shared" si="7"/>
        <v>-0.8642636738906091</v>
      </c>
      <c r="BH64" s="107">
        <f t="shared" si="7"/>
        <v>0.4338174029845856</v>
      </c>
      <c r="BI64" s="108">
        <f t="shared" si="7"/>
        <v>-0.52807539682539684</v>
      </c>
      <c r="BJ64" s="108">
        <f t="shared" si="7"/>
        <v>-0.55109565580618214</v>
      </c>
      <c r="BK64" s="109">
        <f t="shared" si="7"/>
        <v>-0.45466666666666677</v>
      </c>
      <c r="BL64" s="107">
        <f t="shared" si="7"/>
        <v>0.85866666666666625</v>
      </c>
      <c r="BM64" s="108">
        <f t="shared" si="7"/>
        <v>-0.61766666666666659</v>
      </c>
      <c r="BN64" s="108">
        <f t="shared" si="7"/>
        <v>-0.92966666666666686</v>
      </c>
      <c r="BO64" s="109">
        <f t="shared" si="7"/>
        <v>-0.54233333333333311</v>
      </c>
      <c r="BP64" s="107">
        <f t="shared" si="7"/>
        <v>1.2273333333333336</v>
      </c>
      <c r="BQ64" s="108">
        <f t="shared" si="7"/>
        <v>-0.73399999999999999</v>
      </c>
      <c r="BR64" s="108">
        <f t="shared" si="1"/>
        <v>-0.93699999999999983</v>
      </c>
      <c r="BS64" s="109">
        <f t="shared" si="1"/>
        <v>-0.52533333333333321</v>
      </c>
      <c r="BT64" s="107">
        <f t="shared" si="1"/>
        <v>2.1300000000000008</v>
      </c>
      <c r="BU64" s="108"/>
      <c r="BV64" s="108"/>
      <c r="BW64" s="109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</row>
    <row r="65" spans="1:90" x14ac:dyDescent="0.25">
      <c r="A65" s="9"/>
      <c r="B65" s="9"/>
      <c r="C65" s="3" t="s">
        <v>14</v>
      </c>
      <c r="D65" s="130" t="s">
        <v>205</v>
      </c>
      <c r="E65" s="3" t="s">
        <v>208</v>
      </c>
      <c r="F65" s="20"/>
      <c r="G65" s="20"/>
      <c r="H65" s="107">
        <f t="shared" si="2"/>
        <v>0</v>
      </c>
      <c r="I65" s="108">
        <f t="shared" si="2"/>
        <v>0</v>
      </c>
      <c r="J65" s="108">
        <f t="shared" si="2"/>
        <v>0</v>
      </c>
      <c r="K65" s="109">
        <f t="shared" si="2"/>
        <v>0</v>
      </c>
      <c r="L65" s="107">
        <f t="shared" si="2"/>
        <v>0</v>
      </c>
      <c r="M65" s="108">
        <f t="shared" si="2"/>
        <v>0</v>
      </c>
      <c r="N65" s="108">
        <f t="shared" si="8"/>
        <v>0</v>
      </c>
      <c r="O65" s="109">
        <f t="shared" si="3"/>
        <v>0</v>
      </c>
      <c r="P65" s="107">
        <f t="shared" si="3"/>
        <v>0</v>
      </c>
      <c r="Q65" s="108">
        <f t="shared" si="3"/>
        <v>0</v>
      </c>
      <c r="R65" s="108">
        <f t="shared" si="3"/>
        <v>0</v>
      </c>
      <c r="S65" s="109">
        <f t="shared" si="3"/>
        <v>0</v>
      </c>
      <c r="T65" s="107">
        <f t="shared" si="3"/>
        <v>0</v>
      </c>
      <c r="U65" s="108">
        <f t="shared" si="3"/>
        <v>0</v>
      </c>
      <c r="V65" s="108">
        <f t="shared" si="3"/>
        <v>0</v>
      </c>
      <c r="W65" s="109">
        <f t="shared" si="3"/>
        <v>0</v>
      </c>
      <c r="X65" s="107">
        <f t="shared" si="3"/>
        <v>0</v>
      </c>
      <c r="Y65" s="108">
        <f t="shared" si="4"/>
        <v>0</v>
      </c>
      <c r="Z65" s="108">
        <f t="shared" si="4"/>
        <v>0</v>
      </c>
      <c r="AA65" s="109">
        <f t="shared" si="4"/>
        <v>0</v>
      </c>
      <c r="AB65" s="107">
        <f t="shared" si="4"/>
        <v>0</v>
      </c>
      <c r="AC65" s="108">
        <f t="shared" si="4"/>
        <v>0</v>
      </c>
      <c r="AD65" s="108">
        <f t="shared" si="4"/>
        <v>0</v>
      </c>
      <c r="AE65" s="109">
        <f t="shared" si="4"/>
        <v>0</v>
      </c>
      <c r="AF65" s="107">
        <f t="shared" si="4"/>
        <v>0</v>
      </c>
      <c r="AG65" s="108">
        <f t="shared" si="4"/>
        <v>0</v>
      </c>
      <c r="AH65" s="108">
        <f t="shared" si="4"/>
        <v>0</v>
      </c>
      <c r="AI65" s="109">
        <f t="shared" si="5"/>
        <v>0</v>
      </c>
      <c r="AJ65" s="107">
        <f t="shared" si="5"/>
        <v>0</v>
      </c>
      <c r="AK65" s="108">
        <f t="shared" si="5"/>
        <v>0</v>
      </c>
      <c r="AL65" s="108">
        <f t="shared" si="5"/>
        <v>0</v>
      </c>
      <c r="AM65" s="109">
        <f t="shared" si="5"/>
        <v>0</v>
      </c>
      <c r="AN65" s="107">
        <f t="shared" si="5"/>
        <v>0</v>
      </c>
      <c r="AO65" s="108">
        <f t="shared" si="5"/>
        <v>0</v>
      </c>
      <c r="AP65" s="108">
        <f t="shared" si="5"/>
        <v>0</v>
      </c>
      <c r="AQ65" s="109">
        <f t="shared" si="5"/>
        <v>0</v>
      </c>
      <c r="AR65" s="107">
        <f t="shared" si="5"/>
        <v>0</v>
      </c>
      <c r="AS65" s="108">
        <f t="shared" si="6"/>
        <v>0</v>
      </c>
      <c r="AT65" s="108">
        <f t="shared" si="6"/>
        <v>0</v>
      </c>
      <c r="AU65" s="109">
        <f t="shared" si="6"/>
        <v>0</v>
      </c>
      <c r="AV65" s="107">
        <f t="shared" si="6"/>
        <v>0</v>
      </c>
      <c r="AW65" s="108">
        <f t="shared" si="6"/>
        <v>0</v>
      </c>
      <c r="AX65" s="108">
        <f t="shared" si="6"/>
        <v>0</v>
      </c>
      <c r="AY65" s="109">
        <f t="shared" si="6"/>
        <v>0</v>
      </c>
      <c r="AZ65" s="107">
        <f t="shared" si="6"/>
        <v>0</v>
      </c>
      <c r="BA65" s="108">
        <f t="shared" si="6"/>
        <v>0</v>
      </c>
      <c r="BB65" s="108">
        <f t="shared" si="6"/>
        <v>0</v>
      </c>
      <c r="BC65" s="109">
        <f t="shared" si="7"/>
        <v>0</v>
      </c>
      <c r="BD65" s="107">
        <f t="shared" si="7"/>
        <v>0</v>
      </c>
      <c r="BE65" s="108">
        <f t="shared" si="7"/>
        <v>0</v>
      </c>
      <c r="BF65" s="108">
        <f t="shared" si="7"/>
        <v>0</v>
      </c>
      <c r="BG65" s="109">
        <f t="shared" si="7"/>
        <v>0</v>
      </c>
      <c r="BH65" s="107">
        <f t="shared" si="7"/>
        <v>0</v>
      </c>
      <c r="BI65" s="108">
        <f t="shared" si="7"/>
        <v>0</v>
      </c>
      <c r="BJ65" s="108">
        <f t="shared" si="7"/>
        <v>0</v>
      </c>
      <c r="BK65" s="109">
        <f t="shared" si="7"/>
        <v>0</v>
      </c>
      <c r="BL65" s="107">
        <f t="shared" si="7"/>
        <v>0</v>
      </c>
      <c r="BM65" s="108">
        <f t="shared" si="7"/>
        <v>0</v>
      </c>
      <c r="BN65" s="108">
        <f t="shared" si="7"/>
        <v>0</v>
      </c>
      <c r="BO65" s="109">
        <f t="shared" si="7"/>
        <v>0</v>
      </c>
      <c r="BP65" s="107">
        <f t="shared" si="7"/>
        <v>0</v>
      </c>
      <c r="BQ65" s="108">
        <f t="shared" si="7"/>
        <v>0</v>
      </c>
      <c r="BR65" s="108">
        <f t="shared" si="1"/>
        <v>0</v>
      </c>
      <c r="BS65" s="109">
        <f t="shared" si="1"/>
        <v>0</v>
      </c>
      <c r="BT65" s="107">
        <f t="shared" si="1"/>
        <v>0</v>
      </c>
      <c r="BU65" s="108"/>
      <c r="BV65" s="108"/>
      <c r="BW65" s="109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</row>
    <row r="66" spans="1:90" x14ac:dyDescent="0.25">
      <c r="A66" s="9"/>
      <c r="B66" s="9"/>
      <c r="C66" s="3" t="s">
        <v>15</v>
      </c>
      <c r="D66" s="130" t="s">
        <v>205</v>
      </c>
      <c r="E66" s="3" t="s">
        <v>208</v>
      </c>
      <c r="F66" s="20"/>
      <c r="G66" s="20"/>
      <c r="H66" s="107">
        <f t="shared" si="2"/>
        <v>0</v>
      </c>
      <c r="I66" s="108">
        <f t="shared" si="2"/>
        <v>0</v>
      </c>
      <c r="J66" s="108">
        <f t="shared" si="2"/>
        <v>0</v>
      </c>
      <c r="K66" s="109">
        <f t="shared" si="2"/>
        <v>0</v>
      </c>
      <c r="L66" s="107">
        <f t="shared" si="2"/>
        <v>0</v>
      </c>
      <c r="M66" s="108">
        <f t="shared" si="2"/>
        <v>0</v>
      </c>
      <c r="N66" s="108">
        <f t="shared" si="8"/>
        <v>0</v>
      </c>
      <c r="O66" s="109">
        <f t="shared" si="3"/>
        <v>0</v>
      </c>
      <c r="P66" s="107">
        <f t="shared" si="3"/>
        <v>0</v>
      </c>
      <c r="Q66" s="108">
        <f t="shared" si="3"/>
        <v>0</v>
      </c>
      <c r="R66" s="108">
        <f t="shared" si="3"/>
        <v>0</v>
      </c>
      <c r="S66" s="109">
        <f t="shared" si="3"/>
        <v>0</v>
      </c>
      <c r="T66" s="107">
        <f t="shared" si="3"/>
        <v>0</v>
      </c>
      <c r="U66" s="108">
        <f t="shared" si="3"/>
        <v>0</v>
      </c>
      <c r="V66" s="108">
        <f t="shared" si="3"/>
        <v>0</v>
      </c>
      <c r="W66" s="109">
        <f t="shared" si="3"/>
        <v>0</v>
      </c>
      <c r="X66" s="107">
        <f t="shared" si="3"/>
        <v>0</v>
      </c>
      <c r="Y66" s="108">
        <f t="shared" si="4"/>
        <v>0</v>
      </c>
      <c r="Z66" s="108">
        <f t="shared" si="4"/>
        <v>0</v>
      </c>
      <c r="AA66" s="109">
        <f t="shared" si="4"/>
        <v>0</v>
      </c>
      <c r="AB66" s="107">
        <f t="shared" si="4"/>
        <v>0</v>
      </c>
      <c r="AC66" s="108">
        <f t="shared" si="4"/>
        <v>0</v>
      </c>
      <c r="AD66" s="108">
        <f t="shared" si="4"/>
        <v>0</v>
      </c>
      <c r="AE66" s="109">
        <f t="shared" si="4"/>
        <v>0</v>
      </c>
      <c r="AF66" s="107">
        <f t="shared" si="4"/>
        <v>0</v>
      </c>
      <c r="AG66" s="108">
        <f t="shared" si="4"/>
        <v>0</v>
      </c>
      <c r="AH66" s="108">
        <f t="shared" si="4"/>
        <v>0</v>
      </c>
      <c r="AI66" s="109">
        <f t="shared" si="5"/>
        <v>0</v>
      </c>
      <c r="AJ66" s="107">
        <f t="shared" si="5"/>
        <v>0</v>
      </c>
      <c r="AK66" s="108">
        <f t="shared" si="5"/>
        <v>0</v>
      </c>
      <c r="AL66" s="108">
        <f t="shared" si="5"/>
        <v>0</v>
      </c>
      <c r="AM66" s="109">
        <f t="shared" si="5"/>
        <v>0</v>
      </c>
      <c r="AN66" s="107">
        <f t="shared" si="5"/>
        <v>0</v>
      </c>
      <c r="AO66" s="108">
        <f t="shared" si="5"/>
        <v>0</v>
      </c>
      <c r="AP66" s="108">
        <f t="shared" si="5"/>
        <v>0</v>
      </c>
      <c r="AQ66" s="109">
        <f t="shared" si="5"/>
        <v>0</v>
      </c>
      <c r="AR66" s="107">
        <f t="shared" si="5"/>
        <v>0</v>
      </c>
      <c r="AS66" s="108">
        <f t="shared" si="6"/>
        <v>0</v>
      </c>
      <c r="AT66" s="108">
        <f t="shared" si="6"/>
        <v>0</v>
      </c>
      <c r="AU66" s="109">
        <f t="shared" si="6"/>
        <v>0</v>
      </c>
      <c r="AV66" s="107">
        <f t="shared" si="6"/>
        <v>0</v>
      </c>
      <c r="AW66" s="108">
        <f t="shared" si="6"/>
        <v>0</v>
      </c>
      <c r="AX66" s="108">
        <f t="shared" si="6"/>
        <v>0</v>
      </c>
      <c r="AY66" s="109">
        <f t="shared" si="6"/>
        <v>0</v>
      </c>
      <c r="AZ66" s="107">
        <f t="shared" si="6"/>
        <v>0</v>
      </c>
      <c r="BA66" s="108">
        <f t="shared" si="6"/>
        <v>0</v>
      </c>
      <c r="BB66" s="108">
        <f t="shared" si="6"/>
        <v>0</v>
      </c>
      <c r="BC66" s="109">
        <f t="shared" si="7"/>
        <v>0</v>
      </c>
      <c r="BD66" s="107">
        <f t="shared" si="7"/>
        <v>0</v>
      </c>
      <c r="BE66" s="108">
        <f t="shared" si="7"/>
        <v>0</v>
      </c>
      <c r="BF66" s="108">
        <f t="shared" si="7"/>
        <v>0</v>
      </c>
      <c r="BG66" s="109">
        <f t="shared" si="7"/>
        <v>0</v>
      </c>
      <c r="BH66" s="107">
        <f t="shared" si="7"/>
        <v>0</v>
      </c>
      <c r="BI66" s="108">
        <f t="shared" si="7"/>
        <v>0</v>
      </c>
      <c r="BJ66" s="108">
        <f t="shared" si="7"/>
        <v>0</v>
      </c>
      <c r="BK66" s="109">
        <f t="shared" si="7"/>
        <v>0</v>
      </c>
      <c r="BL66" s="107">
        <f t="shared" si="7"/>
        <v>0</v>
      </c>
      <c r="BM66" s="108">
        <f t="shared" si="7"/>
        <v>0</v>
      </c>
      <c r="BN66" s="108">
        <f t="shared" si="7"/>
        <v>0</v>
      </c>
      <c r="BO66" s="109">
        <f t="shared" si="7"/>
        <v>0</v>
      </c>
      <c r="BP66" s="107">
        <f t="shared" si="7"/>
        <v>0</v>
      </c>
      <c r="BQ66" s="108">
        <f t="shared" si="7"/>
        <v>0</v>
      </c>
      <c r="BR66" s="108">
        <f t="shared" si="1"/>
        <v>0</v>
      </c>
      <c r="BS66" s="109">
        <f t="shared" si="1"/>
        <v>0</v>
      </c>
      <c r="BT66" s="107">
        <f t="shared" si="1"/>
        <v>0</v>
      </c>
      <c r="BU66" s="108"/>
      <c r="BV66" s="108"/>
      <c r="BW66" s="109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</row>
    <row r="67" spans="1:90" x14ac:dyDescent="0.25">
      <c r="A67" s="9"/>
      <c r="B67" s="9"/>
      <c r="C67" s="3" t="s">
        <v>16</v>
      </c>
      <c r="D67" s="130" t="s">
        <v>205</v>
      </c>
      <c r="E67" s="3" t="s">
        <v>208</v>
      </c>
      <c r="F67" s="20"/>
      <c r="G67" s="20"/>
      <c r="H67" s="107">
        <f t="shared" si="2"/>
        <v>0</v>
      </c>
      <c r="I67" s="108">
        <f t="shared" si="2"/>
        <v>0</v>
      </c>
      <c r="J67" s="108">
        <f t="shared" si="2"/>
        <v>0</v>
      </c>
      <c r="K67" s="109">
        <f t="shared" si="2"/>
        <v>0</v>
      </c>
      <c r="L67" s="107">
        <f t="shared" si="2"/>
        <v>0</v>
      </c>
      <c r="M67" s="108">
        <f t="shared" si="2"/>
        <v>0</v>
      </c>
      <c r="N67" s="108">
        <f t="shared" si="8"/>
        <v>0</v>
      </c>
      <c r="O67" s="109">
        <f t="shared" si="3"/>
        <v>0</v>
      </c>
      <c r="P67" s="107">
        <f t="shared" si="3"/>
        <v>0</v>
      </c>
      <c r="Q67" s="108">
        <f t="shared" si="3"/>
        <v>0</v>
      </c>
      <c r="R67" s="108">
        <f t="shared" si="3"/>
        <v>0</v>
      </c>
      <c r="S67" s="109">
        <f t="shared" si="3"/>
        <v>0</v>
      </c>
      <c r="T67" s="107">
        <f t="shared" si="3"/>
        <v>0</v>
      </c>
      <c r="U67" s="108">
        <f t="shared" si="3"/>
        <v>0</v>
      </c>
      <c r="V67" s="108">
        <f t="shared" si="3"/>
        <v>0</v>
      </c>
      <c r="W67" s="109">
        <f t="shared" si="3"/>
        <v>0</v>
      </c>
      <c r="X67" s="107">
        <f t="shared" si="3"/>
        <v>0</v>
      </c>
      <c r="Y67" s="108">
        <f t="shared" si="4"/>
        <v>0</v>
      </c>
      <c r="Z67" s="108">
        <f t="shared" si="4"/>
        <v>0</v>
      </c>
      <c r="AA67" s="109">
        <f t="shared" si="4"/>
        <v>0</v>
      </c>
      <c r="AB67" s="107">
        <f t="shared" si="4"/>
        <v>0</v>
      </c>
      <c r="AC67" s="108">
        <f t="shared" si="4"/>
        <v>0</v>
      </c>
      <c r="AD67" s="108">
        <f t="shared" si="4"/>
        <v>0</v>
      </c>
      <c r="AE67" s="109">
        <f t="shared" si="4"/>
        <v>0</v>
      </c>
      <c r="AF67" s="107">
        <f t="shared" si="4"/>
        <v>0</v>
      </c>
      <c r="AG67" s="108">
        <f t="shared" si="4"/>
        <v>0</v>
      </c>
      <c r="AH67" s="108">
        <f t="shared" si="4"/>
        <v>0</v>
      </c>
      <c r="AI67" s="109">
        <f t="shared" si="5"/>
        <v>0</v>
      </c>
      <c r="AJ67" s="107">
        <f t="shared" si="5"/>
        <v>0</v>
      </c>
      <c r="AK67" s="108">
        <f t="shared" si="5"/>
        <v>0</v>
      </c>
      <c r="AL67" s="108">
        <f t="shared" si="5"/>
        <v>0</v>
      </c>
      <c r="AM67" s="109">
        <f t="shared" si="5"/>
        <v>0</v>
      </c>
      <c r="AN67" s="107">
        <f t="shared" si="5"/>
        <v>0</v>
      </c>
      <c r="AO67" s="108">
        <f t="shared" si="5"/>
        <v>0</v>
      </c>
      <c r="AP67" s="108">
        <f t="shared" si="5"/>
        <v>0</v>
      </c>
      <c r="AQ67" s="109">
        <f t="shared" si="5"/>
        <v>0</v>
      </c>
      <c r="AR67" s="107">
        <f t="shared" si="5"/>
        <v>0</v>
      </c>
      <c r="AS67" s="108">
        <f t="shared" si="6"/>
        <v>0</v>
      </c>
      <c r="AT67" s="108">
        <f t="shared" si="6"/>
        <v>0</v>
      </c>
      <c r="AU67" s="109">
        <f t="shared" si="6"/>
        <v>0</v>
      </c>
      <c r="AV67" s="107">
        <f t="shared" si="6"/>
        <v>0</v>
      </c>
      <c r="AW67" s="108">
        <f t="shared" si="6"/>
        <v>0</v>
      </c>
      <c r="AX67" s="108">
        <f t="shared" si="6"/>
        <v>0</v>
      </c>
      <c r="AY67" s="109">
        <f t="shared" si="6"/>
        <v>0</v>
      </c>
      <c r="AZ67" s="107">
        <f t="shared" si="6"/>
        <v>0</v>
      </c>
      <c r="BA67" s="108">
        <f t="shared" si="6"/>
        <v>0</v>
      </c>
      <c r="BB67" s="108">
        <f t="shared" si="6"/>
        <v>0</v>
      </c>
      <c r="BC67" s="109">
        <f t="shared" si="7"/>
        <v>0</v>
      </c>
      <c r="BD67" s="107">
        <f t="shared" si="7"/>
        <v>0</v>
      </c>
      <c r="BE67" s="108">
        <f t="shared" si="7"/>
        <v>0</v>
      </c>
      <c r="BF67" s="108">
        <f t="shared" si="7"/>
        <v>0</v>
      </c>
      <c r="BG67" s="109">
        <f t="shared" si="7"/>
        <v>0</v>
      </c>
      <c r="BH67" s="107">
        <f t="shared" si="7"/>
        <v>0</v>
      </c>
      <c r="BI67" s="108">
        <f t="shared" si="7"/>
        <v>0</v>
      </c>
      <c r="BJ67" s="108">
        <f t="shared" si="7"/>
        <v>0</v>
      </c>
      <c r="BK67" s="109">
        <f t="shared" si="7"/>
        <v>0</v>
      </c>
      <c r="BL67" s="107">
        <f t="shared" si="7"/>
        <v>0</v>
      </c>
      <c r="BM67" s="108">
        <f t="shared" si="7"/>
        <v>0</v>
      </c>
      <c r="BN67" s="108">
        <f t="shared" si="7"/>
        <v>0</v>
      </c>
      <c r="BO67" s="109">
        <f t="shared" si="7"/>
        <v>0</v>
      </c>
      <c r="BP67" s="107">
        <f t="shared" si="7"/>
        <v>0</v>
      </c>
      <c r="BQ67" s="108">
        <f t="shared" si="7"/>
        <v>0</v>
      </c>
      <c r="BR67" s="108">
        <f t="shared" si="1"/>
        <v>0</v>
      </c>
      <c r="BS67" s="109">
        <f t="shared" si="1"/>
        <v>0</v>
      </c>
      <c r="BT67" s="107">
        <f t="shared" si="1"/>
        <v>0</v>
      </c>
      <c r="BU67" s="108"/>
      <c r="BV67" s="108"/>
      <c r="BW67" s="109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</row>
    <row r="68" spans="1:90" x14ac:dyDescent="0.25">
      <c r="A68" s="9"/>
      <c r="B68" s="9"/>
      <c r="C68" s="3" t="s">
        <v>17</v>
      </c>
      <c r="D68" s="130" t="s">
        <v>205</v>
      </c>
      <c r="E68" s="3" t="s">
        <v>208</v>
      </c>
      <c r="F68" s="20"/>
      <c r="G68" s="20"/>
      <c r="H68" s="107">
        <f t="shared" si="2"/>
        <v>0</v>
      </c>
      <c r="I68" s="108">
        <f t="shared" si="2"/>
        <v>0</v>
      </c>
      <c r="J68" s="108">
        <f t="shared" si="2"/>
        <v>0</v>
      </c>
      <c r="K68" s="109">
        <f t="shared" si="2"/>
        <v>0</v>
      </c>
      <c r="L68" s="107">
        <f t="shared" si="2"/>
        <v>0</v>
      </c>
      <c r="M68" s="108">
        <f t="shared" si="2"/>
        <v>0</v>
      </c>
      <c r="N68" s="108">
        <f t="shared" si="8"/>
        <v>0</v>
      </c>
      <c r="O68" s="109">
        <f t="shared" si="3"/>
        <v>0</v>
      </c>
      <c r="P68" s="107">
        <f t="shared" si="3"/>
        <v>0</v>
      </c>
      <c r="Q68" s="108">
        <f t="shared" si="3"/>
        <v>0</v>
      </c>
      <c r="R68" s="108">
        <f t="shared" si="3"/>
        <v>0</v>
      </c>
      <c r="S68" s="109">
        <f t="shared" si="3"/>
        <v>0</v>
      </c>
      <c r="T68" s="107">
        <f t="shared" si="3"/>
        <v>0</v>
      </c>
      <c r="U68" s="108">
        <f t="shared" si="3"/>
        <v>0</v>
      </c>
      <c r="V68" s="108">
        <f t="shared" si="3"/>
        <v>0</v>
      </c>
      <c r="W68" s="109">
        <f t="shared" si="3"/>
        <v>0</v>
      </c>
      <c r="X68" s="107">
        <f t="shared" si="3"/>
        <v>0</v>
      </c>
      <c r="Y68" s="108">
        <f t="shared" si="4"/>
        <v>0</v>
      </c>
      <c r="Z68" s="108">
        <f t="shared" si="4"/>
        <v>0</v>
      </c>
      <c r="AA68" s="109">
        <f t="shared" si="4"/>
        <v>0</v>
      </c>
      <c r="AB68" s="107">
        <f t="shared" si="4"/>
        <v>0</v>
      </c>
      <c r="AC68" s="108">
        <f t="shared" si="4"/>
        <v>0</v>
      </c>
      <c r="AD68" s="108">
        <f t="shared" si="4"/>
        <v>0</v>
      </c>
      <c r="AE68" s="109">
        <f t="shared" si="4"/>
        <v>0</v>
      </c>
      <c r="AF68" s="107">
        <f t="shared" si="4"/>
        <v>0</v>
      </c>
      <c r="AG68" s="108">
        <f t="shared" si="4"/>
        <v>0</v>
      </c>
      <c r="AH68" s="108">
        <f t="shared" si="4"/>
        <v>0</v>
      </c>
      <c r="AI68" s="109">
        <f t="shared" si="5"/>
        <v>0</v>
      </c>
      <c r="AJ68" s="107">
        <f t="shared" si="5"/>
        <v>0</v>
      </c>
      <c r="AK68" s="108">
        <f t="shared" si="5"/>
        <v>0</v>
      </c>
      <c r="AL68" s="108">
        <f t="shared" si="5"/>
        <v>0</v>
      </c>
      <c r="AM68" s="109">
        <f t="shared" si="5"/>
        <v>0</v>
      </c>
      <c r="AN68" s="107">
        <f t="shared" si="5"/>
        <v>0</v>
      </c>
      <c r="AO68" s="108">
        <f t="shared" si="5"/>
        <v>0</v>
      </c>
      <c r="AP68" s="108">
        <f t="shared" si="5"/>
        <v>0</v>
      </c>
      <c r="AQ68" s="109">
        <f t="shared" si="5"/>
        <v>0</v>
      </c>
      <c r="AR68" s="107">
        <f t="shared" si="5"/>
        <v>0</v>
      </c>
      <c r="AS68" s="108">
        <f t="shared" si="6"/>
        <v>0</v>
      </c>
      <c r="AT68" s="108">
        <f t="shared" si="6"/>
        <v>0</v>
      </c>
      <c r="AU68" s="109">
        <f t="shared" si="6"/>
        <v>0</v>
      </c>
      <c r="AV68" s="107">
        <f t="shared" si="6"/>
        <v>0</v>
      </c>
      <c r="AW68" s="108">
        <f t="shared" si="6"/>
        <v>0</v>
      </c>
      <c r="AX68" s="108">
        <f t="shared" si="6"/>
        <v>0</v>
      </c>
      <c r="AY68" s="109">
        <f t="shared" si="6"/>
        <v>0</v>
      </c>
      <c r="AZ68" s="107">
        <f t="shared" si="6"/>
        <v>0</v>
      </c>
      <c r="BA68" s="108">
        <f t="shared" si="6"/>
        <v>0</v>
      </c>
      <c r="BB68" s="108">
        <f t="shared" si="6"/>
        <v>0</v>
      </c>
      <c r="BC68" s="109">
        <f t="shared" si="7"/>
        <v>0</v>
      </c>
      <c r="BD68" s="107">
        <f t="shared" si="7"/>
        <v>0</v>
      </c>
      <c r="BE68" s="108">
        <f t="shared" si="7"/>
        <v>0</v>
      </c>
      <c r="BF68" s="108">
        <f t="shared" si="7"/>
        <v>0</v>
      </c>
      <c r="BG68" s="109">
        <f t="shared" si="7"/>
        <v>0</v>
      </c>
      <c r="BH68" s="107">
        <f t="shared" si="7"/>
        <v>0</v>
      </c>
      <c r="BI68" s="108">
        <f t="shared" si="7"/>
        <v>0</v>
      </c>
      <c r="BJ68" s="108">
        <f t="shared" si="7"/>
        <v>0</v>
      </c>
      <c r="BK68" s="109">
        <f t="shared" si="7"/>
        <v>0</v>
      </c>
      <c r="BL68" s="107">
        <f t="shared" si="7"/>
        <v>0</v>
      </c>
      <c r="BM68" s="108">
        <f t="shared" si="7"/>
        <v>0</v>
      </c>
      <c r="BN68" s="108">
        <f t="shared" si="7"/>
        <v>0</v>
      </c>
      <c r="BO68" s="109">
        <f t="shared" si="7"/>
        <v>0</v>
      </c>
      <c r="BP68" s="107">
        <f t="shared" si="7"/>
        <v>0</v>
      </c>
      <c r="BQ68" s="108">
        <f t="shared" si="7"/>
        <v>0</v>
      </c>
      <c r="BR68" s="108">
        <f t="shared" si="1"/>
        <v>0</v>
      </c>
      <c r="BS68" s="109">
        <f t="shared" si="1"/>
        <v>0</v>
      </c>
      <c r="BT68" s="107">
        <f t="shared" si="1"/>
        <v>0</v>
      </c>
      <c r="BU68" s="108"/>
      <c r="BV68" s="108"/>
      <c r="BW68" s="109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</row>
    <row r="69" spans="1:90" x14ac:dyDescent="0.25">
      <c r="A69" s="9"/>
      <c r="B69" s="9"/>
      <c r="C69" s="3" t="s">
        <v>18</v>
      </c>
      <c r="D69" s="130" t="s">
        <v>205</v>
      </c>
      <c r="E69" s="3" t="s">
        <v>208</v>
      </c>
      <c r="F69" s="20"/>
      <c r="G69" s="20"/>
      <c r="H69" s="107">
        <f t="shared" ref="H69:M74" si="9">_xlfn.XLOOKUP($E69,$C:$C,H:H) - _xlfn.XLOOKUP($E$57,$C:$C,H:H)</f>
        <v>0</v>
      </c>
      <c r="I69" s="108">
        <f t="shared" si="9"/>
        <v>0</v>
      </c>
      <c r="J69" s="108">
        <f t="shared" si="9"/>
        <v>0</v>
      </c>
      <c r="K69" s="109">
        <f t="shared" si="9"/>
        <v>0</v>
      </c>
      <c r="L69" s="107">
        <f t="shared" si="9"/>
        <v>0</v>
      </c>
      <c r="M69" s="108">
        <f t="shared" si="9"/>
        <v>0</v>
      </c>
      <c r="N69" s="108">
        <f t="shared" si="8"/>
        <v>0</v>
      </c>
      <c r="O69" s="109">
        <f t="shared" ref="O69:X74" si="10">_xlfn.XLOOKUP($E69,$C:$C,O:O) - _xlfn.XLOOKUP($E$57,$C:$C,O:O)</f>
        <v>0</v>
      </c>
      <c r="P69" s="107">
        <f t="shared" si="10"/>
        <v>0</v>
      </c>
      <c r="Q69" s="108">
        <f t="shared" si="10"/>
        <v>0</v>
      </c>
      <c r="R69" s="108">
        <f t="shared" si="10"/>
        <v>0</v>
      </c>
      <c r="S69" s="109">
        <f t="shared" si="10"/>
        <v>0</v>
      </c>
      <c r="T69" s="107">
        <f t="shared" si="10"/>
        <v>0</v>
      </c>
      <c r="U69" s="108">
        <f t="shared" si="10"/>
        <v>0</v>
      </c>
      <c r="V69" s="108">
        <f t="shared" si="10"/>
        <v>0</v>
      </c>
      <c r="W69" s="109">
        <f t="shared" si="10"/>
        <v>0</v>
      </c>
      <c r="X69" s="107">
        <f t="shared" si="10"/>
        <v>0</v>
      </c>
      <c r="Y69" s="108">
        <f t="shared" ref="Y69:AH74" si="11">_xlfn.XLOOKUP($E69,$C:$C,Y:Y) - _xlfn.XLOOKUP($E$57,$C:$C,Y:Y)</f>
        <v>0</v>
      </c>
      <c r="Z69" s="108">
        <f t="shared" si="11"/>
        <v>0</v>
      </c>
      <c r="AA69" s="109">
        <f t="shared" si="11"/>
        <v>0</v>
      </c>
      <c r="AB69" s="107">
        <f t="shared" si="11"/>
        <v>0</v>
      </c>
      <c r="AC69" s="108">
        <f t="shared" si="11"/>
        <v>0</v>
      </c>
      <c r="AD69" s="108">
        <f t="shared" si="11"/>
        <v>0</v>
      </c>
      <c r="AE69" s="109">
        <f t="shared" si="11"/>
        <v>0</v>
      </c>
      <c r="AF69" s="107">
        <f t="shared" si="11"/>
        <v>0</v>
      </c>
      <c r="AG69" s="108">
        <f t="shared" si="11"/>
        <v>0</v>
      </c>
      <c r="AH69" s="108">
        <f t="shared" si="11"/>
        <v>0</v>
      </c>
      <c r="AI69" s="109">
        <f t="shared" ref="AI69:AR74" si="12">_xlfn.XLOOKUP($E69,$C:$C,AI:AI) - _xlfn.XLOOKUP($E$57,$C:$C,AI:AI)</f>
        <v>0</v>
      </c>
      <c r="AJ69" s="107">
        <f t="shared" si="12"/>
        <v>0</v>
      </c>
      <c r="AK69" s="108">
        <f t="shared" si="12"/>
        <v>0</v>
      </c>
      <c r="AL69" s="108">
        <f t="shared" si="12"/>
        <v>0</v>
      </c>
      <c r="AM69" s="109">
        <f t="shared" si="12"/>
        <v>0</v>
      </c>
      <c r="AN69" s="107">
        <f t="shared" si="12"/>
        <v>0</v>
      </c>
      <c r="AO69" s="108">
        <f t="shared" si="12"/>
        <v>0</v>
      </c>
      <c r="AP69" s="108">
        <f t="shared" si="12"/>
        <v>0</v>
      </c>
      <c r="AQ69" s="109">
        <f t="shared" si="12"/>
        <v>0</v>
      </c>
      <c r="AR69" s="107">
        <f t="shared" si="12"/>
        <v>0</v>
      </c>
      <c r="AS69" s="108">
        <f t="shared" ref="AS69:BB74" si="13">_xlfn.XLOOKUP($E69,$C:$C,AS:AS) - _xlfn.XLOOKUP($E$57,$C:$C,AS:AS)</f>
        <v>0</v>
      </c>
      <c r="AT69" s="108">
        <f t="shared" si="13"/>
        <v>0</v>
      </c>
      <c r="AU69" s="109">
        <f t="shared" si="13"/>
        <v>0</v>
      </c>
      <c r="AV69" s="107">
        <f t="shared" si="13"/>
        <v>0</v>
      </c>
      <c r="AW69" s="108">
        <f t="shared" si="13"/>
        <v>0</v>
      </c>
      <c r="AX69" s="108">
        <f t="shared" si="13"/>
        <v>0</v>
      </c>
      <c r="AY69" s="109">
        <f t="shared" si="13"/>
        <v>0</v>
      </c>
      <c r="AZ69" s="107">
        <f t="shared" si="13"/>
        <v>0</v>
      </c>
      <c r="BA69" s="108">
        <f t="shared" si="13"/>
        <v>0</v>
      </c>
      <c r="BB69" s="108">
        <f t="shared" si="13"/>
        <v>0</v>
      </c>
      <c r="BC69" s="109">
        <f t="shared" ref="BC69:BR74" si="14">_xlfn.XLOOKUP($E69,$C:$C,BC:BC) - _xlfn.XLOOKUP($E$57,$C:$C,BC:BC)</f>
        <v>0</v>
      </c>
      <c r="BD69" s="107">
        <f t="shared" si="14"/>
        <v>0</v>
      </c>
      <c r="BE69" s="108">
        <f t="shared" si="14"/>
        <v>0</v>
      </c>
      <c r="BF69" s="108">
        <f t="shared" si="14"/>
        <v>0</v>
      </c>
      <c r="BG69" s="109">
        <f t="shared" si="14"/>
        <v>0</v>
      </c>
      <c r="BH69" s="107">
        <f t="shared" si="14"/>
        <v>0</v>
      </c>
      <c r="BI69" s="108">
        <f t="shared" si="14"/>
        <v>0</v>
      </c>
      <c r="BJ69" s="108">
        <f t="shared" si="14"/>
        <v>0</v>
      </c>
      <c r="BK69" s="109">
        <f t="shared" si="14"/>
        <v>0</v>
      </c>
      <c r="BL69" s="107">
        <f t="shared" si="14"/>
        <v>0</v>
      </c>
      <c r="BM69" s="108">
        <f t="shared" si="14"/>
        <v>0</v>
      </c>
      <c r="BN69" s="108">
        <f t="shared" si="14"/>
        <v>0</v>
      </c>
      <c r="BO69" s="109">
        <f t="shared" si="14"/>
        <v>0</v>
      </c>
      <c r="BP69" s="107">
        <f t="shared" si="14"/>
        <v>0</v>
      </c>
      <c r="BQ69" s="108">
        <f t="shared" si="14"/>
        <v>0</v>
      </c>
      <c r="BR69" s="108">
        <f t="shared" si="14"/>
        <v>0</v>
      </c>
      <c r="BS69" s="109">
        <f t="shared" si="1"/>
        <v>0</v>
      </c>
      <c r="BT69" s="107">
        <f t="shared" si="1"/>
        <v>0</v>
      </c>
      <c r="BU69" s="108"/>
      <c r="BV69" s="108"/>
      <c r="BW69" s="109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</row>
    <row r="70" spans="1:90" x14ac:dyDescent="0.25">
      <c r="A70" s="9"/>
      <c r="B70" s="9"/>
      <c r="C70" s="3" t="s">
        <v>19</v>
      </c>
      <c r="D70" s="130" t="s">
        <v>205</v>
      </c>
      <c r="E70" s="3" t="s">
        <v>209</v>
      </c>
      <c r="F70" s="20"/>
      <c r="G70" s="20"/>
      <c r="H70" s="107">
        <f t="shared" si="9"/>
        <v>-3.4329900839054517E-2</v>
      </c>
      <c r="I70" s="108">
        <f t="shared" si="9"/>
        <v>2.6424603174604044E-2</v>
      </c>
      <c r="J70" s="108">
        <f t="shared" si="9"/>
        <v>0.14779629629629731</v>
      </c>
      <c r="K70" s="109">
        <f t="shared" si="9"/>
        <v>0.31662799154749655</v>
      </c>
      <c r="L70" s="107">
        <f t="shared" si="9"/>
        <v>0.32185220627325917</v>
      </c>
      <c r="M70" s="108">
        <f t="shared" si="9"/>
        <v>0.27271352772900759</v>
      </c>
      <c r="N70" s="108">
        <f t="shared" si="8"/>
        <v>0.21824526731849403</v>
      </c>
      <c r="O70" s="109">
        <f t="shared" si="10"/>
        <v>0.32701970256701651</v>
      </c>
      <c r="P70" s="107">
        <f t="shared" si="10"/>
        <v>0.26670485288132362</v>
      </c>
      <c r="Q70" s="108">
        <f t="shared" si="10"/>
        <v>0.15449513449513397</v>
      </c>
      <c r="R70" s="108">
        <f t="shared" si="10"/>
        <v>0.31230880230880231</v>
      </c>
      <c r="S70" s="109">
        <f t="shared" si="10"/>
        <v>0.31175980392156921</v>
      </c>
      <c r="T70" s="107">
        <f t="shared" si="10"/>
        <v>0.50265197765197733</v>
      </c>
      <c r="U70" s="108">
        <f t="shared" si="10"/>
        <v>0.30527433780529734</v>
      </c>
      <c r="V70" s="108">
        <f t="shared" si="10"/>
        <v>0.52326100530589725</v>
      </c>
      <c r="W70" s="109">
        <f t="shared" si="10"/>
        <v>0.11419047619047662</v>
      </c>
      <c r="X70" s="107">
        <f t="shared" si="10"/>
        <v>-8.0208333333333659E-2</v>
      </c>
      <c r="Y70" s="108">
        <f t="shared" si="11"/>
        <v>0.27747712418300674</v>
      </c>
      <c r="Z70" s="108">
        <f t="shared" si="11"/>
        <v>3.0173606237816766</v>
      </c>
      <c r="AA70" s="109">
        <f t="shared" si="11"/>
        <v>2.5278095238095237</v>
      </c>
      <c r="AB70" s="107">
        <f t="shared" si="11"/>
        <v>0.29793928571428574</v>
      </c>
      <c r="AC70" s="108">
        <f t="shared" si="11"/>
        <v>0.15017385620915036</v>
      </c>
      <c r="AD70" s="108">
        <f t="shared" si="11"/>
        <v>-0.14299771167048059</v>
      </c>
      <c r="AE70" s="109">
        <f t="shared" si="11"/>
        <v>9.5501253132831643E-2</v>
      </c>
      <c r="AF70" s="107">
        <f t="shared" si="11"/>
        <v>0.25017450142450226</v>
      </c>
      <c r="AG70" s="108">
        <f t="shared" si="11"/>
        <v>0.18115715983363057</v>
      </c>
      <c r="AH70" s="108">
        <f t="shared" si="11"/>
        <v>3.2436414754835812</v>
      </c>
      <c r="AI70" s="109">
        <f t="shared" si="12"/>
        <v>1.3857407407407409</v>
      </c>
      <c r="AJ70" s="107">
        <f t="shared" si="12"/>
        <v>0.96738103428505928</v>
      </c>
      <c r="AK70" s="108">
        <f t="shared" si="12"/>
        <v>0.19134215068270777</v>
      </c>
      <c r="AL70" s="108">
        <f t="shared" si="12"/>
        <v>4.8859118261177743</v>
      </c>
      <c r="AM70" s="109">
        <f t="shared" si="12"/>
        <v>2.6667931706753385</v>
      </c>
      <c r="AN70" s="107">
        <f t="shared" si="12"/>
        <v>3.7040421888053467</v>
      </c>
      <c r="AO70" s="108">
        <f t="shared" si="12"/>
        <v>6.4640211640211831E-2</v>
      </c>
      <c r="AP70" s="108">
        <f t="shared" si="12"/>
        <v>0.63307769423558913</v>
      </c>
      <c r="AQ70" s="109">
        <f t="shared" si="12"/>
        <v>2.1900410392990151</v>
      </c>
      <c r="AR70" s="107">
        <f t="shared" si="12"/>
        <v>0.95993886230728354</v>
      </c>
      <c r="AS70" s="108">
        <f t="shared" si="13"/>
        <v>0.16350889478598485</v>
      </c>
      <c r="AT70" s="108">
        <f t="shared" si="13"/>
        <v>1.2246645654540391</v>
      </c>
      <c r="AU70" s="109">
        <f t="shared" si="13"/>
        <v>1.8085396825396827</v>
      </c>
      <c r="AV70" s="107">
        <f t="shared" si="13"/>
        <v>4.9556084656084654</v>
      </c>
      <c r="AW70" s="108">
        <f t="shared" si="13"/>
        <v>1.0379595959595962</v>
      </c>
      <c r="AX70" s="108">
        <f t="shared" si="13"/>
        <v>2.6683286647992519</v>
      </c>
      <c r="AY70" s="109">
        <f t="shared" si="13"/>
        <v>1.7255068226120862</v>
      </c>
      <c r="AZ70" s="107">
        <f t="shared" si="13"/>
        <v>0.31792753623188474</v>
      </c>
      <c r="BA70" s="108">
        <f t="shared" si="13"/>
        <v>0.30360052910052993</v>
      </c>
      <c r="BB70" s="108">
        <f t="shared" si="13"/>
        <v>1.3113383409115675</v>
      </c>
      <c r="BC70" s="109">
        <f t="shared" si="14"/>
        <v>9.9792287342287338</v>
      </c>
      <c r="BD70" s="107">
        <f t="shared" si="14"/>
        <v>8.5705822890559737</v>
      </c>
      <c r="BE70" s="108">
        <f t="shared" si="14"/>
        <v>2.1793341307814997</v>
      </c>
      <c r="BF70" s="108">
        <f t="shared" si="14"/>
        <v>2.7392440286564663</v>
      </c>
      <c r="BG70" s="109">
        <f t="shared" si="14"/>
        <v>3.1176206961253405</v>
      </c>
      <c r="BH70" s="107">
        <f t="shared" si="14"/>
        <v>0.91271241830065319</v>
      </c>
      <c r="BI70" s="108">
        <f t="shared" si="14"/>
        <v>-0.32522354497354478</v>
      </c>
      <c r="BJ70" s="108">
        <f t="shared" si="14"/>
        <v>0.22230482456140344</v>
      </c>
      <c r="BK70" s="109">
        <f t="shared" si="14"/>
        <v>1.3006666666666664</v>
      </c>
      <c r="BL70" s="107">
        <f t="shared" si="14"/>
        <v>2.1633333333333331</v>
      </c>
      <c r="BM70" s="108">
        <f t="shared" si="14"/>
        <v>0.35666666666666691</v>
      </c>
      <c r="BN70" s="108">
        <f t="shared" si="14"/>
        <v>1.8206666666666664</v>
      </c>
      <c r="BO70" s="109">
        <f t="shared" si="14"/>
        <v>2.1010000000000004</v>
      </c>
      <c r="BP70" s="107">
        <f t="shared" si="14"/>
        <v>2.2976666666666667</v>
      </c>
      <c r="BQ70" s="108">
        <f t="shared" si="14"/>
        <v>0.45666666666666655</v>
      </c>
      <c r="BR70" s="108">
        <f t="shared" si="1"/>
        <v>2.1550000000000002</v>
      </c>
      <c r="BS70" s="109">
        <f t="shared" si="1"/>
        <v>2.1816666666666662</v>
      </c>
      <c r="BT70" s="107">
        <f t="shared" si="1"/>
        <v>3.2910000000000004</v>
      </c>
      <c r="BU70" s="108"/>
      <c r="BV70" s="108"/>
      <c r="BW70" s="109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</row>
    <row r="71" spans="1:90" x14ac:dyDescent="0.25">
      <c r="A71" s="9"/>
      <c r="B71" s="9"/>
      <c r="C71" s="3" t="s">
        <v>20</v>
      </c>
      <c r="D71" s="130" t="s">
        <v>205</v>
      </c>
      <c r="E71" s="3" t="s">
        <v>209</v>
      </c>
      <c r="F71" s="20"/>
      <c r="G71" s="20"/>
      <c r="H71" s="107">
        <f t="shared" si="9"/>
        <v>-3.4329900839054517E-2</v>
      </c>
      <c r="I71" s="108">
        <f t="shared" si="9"/>
        <v>2.6424603174604044E-2</v>
      </c>
      <c r="J71" s="108">
        <f t="shared" si="9"/>
        <v>0.14779629629629731</v>
      </c>
      <c r="K71" s="109">
        <f t="shared" si="9"/>
        <v>0.31662799154749655</v>
      </c>
      <c r="L71" s="107">
        <f t="shared" si="9"/>
        <v>0.32185220627325917</v>
      </c>
      <c r="M71" s="108">
        <f t="shared" si="9"/>
        <v>0.27271352772900759</v>
      </c>
      <c r="N71" s="108">
        <f t="shared" si="8"/>
        <v>0.21824526731849403</v>
      </c>
      <c r="O71" s="109">
        <f t="shared" si="10"/>
        <v>0.32701970256701651</v>
      </c>
      <c r="P71" s="107">
        <f t="shared" si="10"/>
        <v>0.26670485288132362</v>
      </c>
      <c r="Q71" s="108">
        <f t="shared" si="10"/>
        <v>0.15449513449513397</v>
      </c>
      <c r="R71" s="108">
        <f t="shared" si="10"/>
        <v>0.31230880230880231</v>
      </c>
      <c r="S71" s="109">
        <f t="shared" si="10"/>
        <v>0.31175980392156921</v>
      </c>
      <c r="T71" s="107">
        <f t="shared" si="10"/>
        <v>0.50265197765197733</v>
      </c>
      <c r="U71" s="108">
        <f t="shared" si="10"/>
        <v>0.30527433780529734</v>
      </c>
      <c r="V71" s="108">
        <f t="shared" si="10"/>
        <v>0.52326100530589725</v>
      </c>
      <c r="W71" s="109">
        <f t="shared" si="10"/>
        <v>0.11419047619047662</v>
      </c>
      <c r="X71" s="107">
        <f t="shared" si="10"/>
        <v>-8.0208333333333659E-2</v>
      </c>
      <c r="Y71" s="108">
        <f t="shared" si="11"/>
        <v>0.27747712418300674</v>
      </c>
      <c r="Z71" s="108">
        <f t="shared" si="11"/>
        <v>3.0173606237816766</v>
      </c>
      <c r="AA71" s="109">
        <f t="shared" si="11"/>
        <v>2.5278095238095237</v>
      </c>
      <c r="AB71" s="107">
        <f t="shared" si="11"/>
        <v>0.29793928571428574</v>
      </c>
      <c r="AC71" s="108">
        <f t="shared" si="11"/>
        <v>0.15017385620915036</v>
      </c>
      <c r="AD71" s="108">
        <f t="shared" si="11"/>
        <v>-0.14299771167048059</v>
      </c>
      <c r="AE71" s="109">
        <f t="shared" si="11"/>
        <v>9.5501253132831643E-2</v>
      </c>
      <c r="AF71" s="107">
        <f t="shared" si="11"/>
        <v>0.25017450142450226</v>
      </c>
      <c r="AG71" s="108">
        <f t="shared" si="11"/>
        <v>0.18115715983363057</v>
      </c>
      <c r="AH71" s="108">
        <f t="shared" si="11"/>
        <v>3.2436414754835812</v>
      </c>
      <c r="AI71" s="109">
        <f t="shared" si="12"/>
        <v>1.3857407407407409</v>
      </c>
      <c r="AJ71" s="107">
        <f t="shared" si="12"/>
        <v>0.96738103428505928</v>
      </c>
      <c r="AK71" s="108">
        <f t="shared" si="12"/>
        <v>0.19134215068270777</v>
      </c>
      <c r="AL71" s="108">
        <f t="shared" si="12"/>
        <v>4.8859118261177743</v>
      </c>
      <c r="AM71" s="109">
        <f t="shared" si="12"/>
        <v>2.6667931706753385</v>
      </c>
      <c r="AN71" s="107">
        <f t="shared" si="12"/>
        <v>3.7040421888053467</v>
      </c>
      <c r="AO71" s="108">
        <f t="shared" si="12"/>
        <v>6.4640211640211831E-2</v>
      </c>
      <c r="AP71" s="108">
        <f t="shared" si="12"/>
        <v>0.63307769423558913</v>
      </c>
      <c r="AQ71" s="109">
        <f t="shared" si="12"/>
        <v>2.1900410392990151</v>
      </c>
      <c r="AR71" s="107">
        <f t="shared" si="12"/>
        <v>0.95993886230728354</v>
      </c>
      <c r="AS71" s="108">
        <f t="shared" si="13"/>
        <v>0.16350889478598485</v>
      </c>
      <c r="AT71" s="108">
        <f t="shared" si="13"/>
        <v>1.2246645654540391</v>
      </c>
      <c r="AU71" s="109">
        <f t="shared" si="13"/>
        <v>1.8085396825396827</v>
      </c>
      <c r="AV71" s="107">
        <f t="shared" si="13"/>
        <v>4.9556084656084654</v>
      </c>
      <c r="AW71" s="108">
        <f t="shared" si="13"/>
        <v>1.0379595959595962</v>
      </c>
      <c r="AX71" s="108">
        <f t="shared" si="13"/>
        <v>2.6683286647992519</v>
      </c>
      <c r="AY71" s="109">
        <f t="shared" si="13"/>
        <v>1.7255068226120862</v>
      </c>
      <c r="AZ71" s="107">
        <f t="shared" si="13"/>
        <v>0.31792753623188474</v>
      </c>
      <c r="BA71" s="108">
        <f t="shared" si="13"/>
        <v>0.30360052910052993</v>
      </c>
      <c r="BB71" s="108">
        <f t="shared" si="13"/>
        <v>1.3113383409115675</v>
      </c>
      <c r="BC71" s="109">
        <f t="shared" si="14"/>
        <v>9.9792287342287338</v>
      </c>
      <c r="BD71" s="107">
        <f t="shared" si="14"/>
        <v>8.5705822890559737</v>
      </c>
      <c r="BE71" s="108">
        <f t="shared" si="14"/>
        <v>2.1793341307814997</v>
      </c>
      <c r="BF71" s="108">
        <f t="shared" si="14"/>
        <v>2.7392440286564663</v>
      </c>
      <c r="BG71" s="109">
        <f t="shared" si="14"/>
        <v>3.1176206961253405</v>
      </c>
      <c r="BH71" s="107">
        <f t="shared" si="14"/>
        <v>0.91271241830065319</v>
      </c>
      <c r="BI71" s="108">
        <f t="shared" si="14"/>
        <v>-0.32522354497354478</v>
      </c>
      <c r="BJ71" s="108">
        <f t="shared" si="14"/>
        <v>0.22230482456140344</v>
      </c>
      <c r="BK71" s="109">
        <f t="shared" si="14"/>
        <v>1.3006666666666664</v>
      </c>
      <c r="BL71" s="107">
        <f t="shared" si="14"/>
        <v>2.1633333333333331</v>
      </c>
      <c r="BM71" s="108">
        <f t="shared" si="14"/>
        <v>0.35666666666666691</v>
      </c>
      <c r="BN71" s="108">
        <f t="shared" si="14"/>
        <v>1.8206666666666664</v>
      </c>
      <c r="BO71" s="109">
        <f t="shared" si="14"/>
        <v>2.1010000000000004</v>
      </c>
      <c r="BP71" s="107">
        <f t="shared" si="14"/>
        <v>2.2976666666666667</v>
      </c>
      <c r="BQ71" s="108">
        <f t="shared" si="14"/>
        <v>0.45666666666666655</v>
      </c>
      <c r="BR71" s="108">
        <f t="shared" si="1"/>
        <v>2.1550000000000002</v>
      </c>
      <c r="BS71" s="109">
        <f t="shared" si="1"/>
        <v>2.1816666666666662</v>
      </c>
      <c r="BT71" s="107">
        <f t="shared" si="1"/>
        <v>3.2910000000000004</v>
      </c>
      <c r="BU71" s="108"/>
      <c r="BV71" s="108"/>
      <c r="BW71" s="109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</row>
    <row r="72" spans="1:90" x14ac:dyDescent="0.25">
      <c r="A72" s="9"/>
      <c r="B72" s="9"/>
      <c r="C72" s="3" t="s">
        <v>21</v>
      </c>
      <c r="D72" s="130" t="s">
        <v>205</v>
      </c>
      <c r="E72" s="3" t="s">
        <v>209</v>
      </c>
      <c r="F72" s="20"/>
      <c r="G72" s="20"/>
      <c r="H72" s="107">
        <f t="shared" si="9"/>
        <v>-3.4329900839054517E-2</v>
      </c>
      <c r="I72" s="108">
        <f t="shared" si="9"/>
        <v>2.6424603174604044E-2</v>
      </c>
      <c r="J72" s="108">
        <f t="shared" si="9"/>
        <v>0.14779629629629731</v>
      </c>
      <c r="K72" s="109">
        <f t="shared" si="9"/>
        <v>0.31662799154749655</v>
      </c>
      <c r="L72" s="107">
        <f t="shared" si="9"/>
        <v>0.32185220627325917</v>
      </c>
      <c r="M72" s="108">
        <f t="shared" si="9"/>
        <v>0.27271352772900759</v>
      </c>
      <c r="N72" s="108">
        <f t="shared" si="8"/>
        <v>0.21824526731849403</v>
      </c>
      <c r="O72" s="109">
        <f t="shared" si="10"/>
        <v>0.32701970256701651</v>
      </c>
      <c r="P72" s="107">
        <f t="shared" si="10"/>
        <v>0.26670485288132362</v>
      </c>
      <c r="Q72" s="108">
        <f t="shared" si="10"/>
        <v>0.15449513449513397</v>
      </c>
      <c r="R72" s="108">
        <f t="shared" si="10"/>
        <v>0.31230880230880231</v>
      </c>
      <c r="S72" s="109">
        <f t="shared" si="10"/>
        <v>0.31175980392156921</v>
      </c>
      <c r="T72" s="107">
        <f t="shared" si="10"/>
        <v>0.50265197765197733</v>
      </c>
      <c r="U72" s="108">
        <f t="shared" si="10"/>
        <v>0.30527433780529734</v>
      </c>
      <c r="V72" s="108">
        <f t="shared" si="10"/>
        <v>0.52326100530589725</v>
      </c>
      <c r="W72" s="109">
        <f t="shared" si="10"/>
        <v>0.11419047619047662</v>
      </c>
      <c r="X72" s="107">
        <f t="shared" si="10"/>
        <v>-8.0208333333333659E-2</v>
      </c>
      <c r="Y72" s="108">
        <f t="shared" si="11"/>
        <v>0.27747712418300674</v>
      </c>
      <c r="Z72" s="108">
        <f t="shared" si="11"/>
        <v>3.0173606237816766</v>
      </c>
      <c r="AA72" s="109">
        <f t="shared" si="11"/>
        <v>2.5278095238095237</v>
      </c>
      <c r="AB72" s="107">
        <f t="shared" si="11"/>
        <v>0.29793928571428574</v>
      </c>
      <c r="AC72" s="108">
        <f t="shared" si="11"/>
        <v>0.15017385620915036</v>
      </c>
      <c r="AD72" s="108">
        <f t="shared" si="11"/>
        <v>-0.14299771167048059</v>
      </c>
      <c r="AE72" s="109">
        <f t="shared" si="11"/>
        <v>9.5501253132831643E-2</v>
      </c>
      <c r="AF72" s="107">
        <f t="shared" si="11"/>
        <v>0.25017450142450226</v>
      </c>
      <c r="AG72" s="108">
        <f t="shared" si="11"/>
        <v>0.18115715983363057</v>
      </c>
      <c r="AH72" s="108">
        <f t="shared" si="11"/>
        <v>3.2436414754835812</v>
      </c>
      <c r="AI72" s="109">
        <f t="shared" si="12"/>
        <v>1.3857407407407409</v>
      </c>
      <c r="AJ72" s="107">
        <f t="shared" si="12"/>
        <v>0.96738103428505928</v>
      </c>
      <c r="AK72" s="108">
        <f t="shared" si="12"/>
        <v>0.19134215068270777</v>
      </c>
      <c r="AL72" s="108">
        <f t="shared" si="12"/>
        <v>4.8859118261177743</v>
      </c>
      <c r="AM72" s="109">
        <f t="shared" si="12"/>
        <v>2.6667931706753385</v>
      </c>
      <c r="AN72" s="107">
        <f t="shared" si="12"/>
        <v>3.7040421888053467</v>
      </c>
      <c r="AO72" s="108">
        <f t="shared" si="12"/>
        <v>6.4640211640211831E-2</v>
      </c>
      <c r="AP72" s="108">
        <f t="shared" si="12"/>
        <v>0.63307769423558913</v>
      </c>
      <c r="AQ72" s="109">
        <f t="shared" si="12"/>
        <v>2.1900410392990151</v>
      </c>
      <c r="AR72" s="107">
        <f t="shared" si="12"/>
        <v>0.95993886230728354</v>
      </c>
      <c r="AS72" s="108">
        <f t="shared" si="13"/>
        <v>0.16350889478598485</v>
      </c>
      <c r="AT72" s="108">
        <f t="shared" si="13"/>
        <v>1.2246645654540391</v>
      </c>
      <c r="AU72" s="109">
        <f t="shared" si="13"/>
        <v>1.8085396825396827</v>
      </c>
      <c r="AV72" s="107">
        <f t="shared" si="13"/>
        <v>4.9556084656084654</v>
      </c>
      <c r="AW72" s="108">
        <f t="shared" si="13"/>
        <v>1.0379595959595962</v>
      </c>
      <c r="AX72" s="108">
        <f t="shared" si="13"/>
        <v>2.6683286647992519</v>
      </c>
      <c r="AY72" s="109">
        <f t="shared" si="13"/>
        <v>1.7255068226120862</v>
      </c>
      <c r="AZ72" s="107">
        <f t="shared" si="13"/>
        <v>0.31792753623188474</v>
      </c>
      <c r="BA72" s="108">
        <f t="shared" si="13"/>
        <v>0.30360052910052993</v>
      </c>
      <c r="BB72" s="108">
        <f t="shared" si="13"/>
        <v>1.3113383409115675</v>
      </c>
      <c r="BC72" s="109">
        <f t="shared" si="14"/>
        <v>9.9792287342287338</v>
      </c>
      <c r="BD72" s="107">
        <f t="shared" si="14"/>
        <v>8.5705822890559737</v>
      </c>
      <c r="BE72" s="108">
        <f t="shared" si="14"/>
        <v>2.1793341307814997</v>
      </c>
      <c r="BF72" s="108">
        <f t="shared" si="14"/>
        <v>2.7392440286564663</v>
      </c>
      <c r="BG72" s="109">
        <f t="shared" si="14"/>
        <v>3.1176206961253405</v>
      </c>
      <c r="BH72" s="107">
        <f t="shared" si="14"/>
        <v>0.91271241830065319</v>
      </c>
      <c r="BI72" s="108">
        <f t="shared" si="14"/>
        <v>-0.32522354497354478</v>
      </c>
      <c r="BJ72" s="108">
        <f t="shared" si="14"/>
        <v>0.22230482456140344</v>
      </c>
      <c r="BK72" s="109">
        <f t="shared" si="14"/>
        <v>1.3006666666666664</v>
      </c>
      <c r="BL72" s="107">
        <f t="shared" si="14"/>
        <v>2.1633333333333331</v>
      </c>
      <c r="BM72" s="108">
        <f t="shared" si="14"/>
        <v>0.35666666666666691</v>
      </c>
      <c r="BN72" s="108">
        <f t="shared" si="14"/>
        <v>1.8206666666666664</v>
      </c>
      <c r="BO72" s="109">
        <f t="shared" si="14"/>
        <v>2.1010000000000004</v>
      </c>
      <c r="BP72" s="107">
        <f t="shared" si="14"/>
        <v>2.2976666666666667</v>
      </c>
      <c r="BQ72" s="108">
        <f t="shared" si="14"/>
        <v>0.45666666666666655</v>
      </c>
      <c r="BR72" s="108">
        <f t="shared" si="1"/>
        <v>2.1550000000000002</v>
      </c>
      <c r="BS72" s="109">
        <f t="shared" si="1"/>
        <v>2.1816666666666662</v>
      </c>
      <c r="BT72" s="107">
        <f t="shared" si="1"/>
        <v>3.2910000000000004</v>
      </c>
      <c r="BU72" s="108"/>
      <c r="BV72" s="108"/>
      <c r="BW72" s="109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</row>
    <row r="73" spans="1:90" x14ac:dyDescent="0.25">
      <c r="A73" s="9"/>
      <c r="B73" s="9"/>
      <c r="C73" s="3" t="s">
        <v>22</v>
      </c>
      <c r="D73" s="130" t="s">
        <v>205</v>
      </c>
      <c r="E73" s="3" t="s">
        <v>209</v>
      </c>
      <c r="F73" s="20"/>
      <c r="G73" s="20"/>
      <c r="H73" s="123">
        <f t="shared" si="9"/>
        <v>-3.4329900839054517E-2</v>
      </c>
      <c r="I73" s="124">
        <f t="shared" si="9"/>
        <v>2.6424603174604044E-2</v>
      </c>
      <c r="J73" s="124">
        <f t="shared" si="9"/>
        <v>0.14779629629629731</v>
      </c>
      <c r="K73" s="125">
        <f t="shared" si="9"/>
        <v>0.31662799154749655</v>
      </c>
      <c r="L73" s="123">
        <f t="shared" si="9"/>
        <v>0.32185220627325917</v>
      </c>
      <c r="M73" s="124">
        <f t="shared" si="9"/>
        <v>0.27271352772900759</v>
      </c>
      <c r="N73" s="124">
        <f t="shared" si="8"/>
        <v>0.21824526731849403</v>
      </c>
      <c r="O73" s="125">
        <f t="shared" si="10"/>
        <v>0.32701970256701651</v>
      </c>
      <c r="P73" s="123">
        <f t="shared" si="10"/>
        <v>0.26670485288132362</v>
      </c>
      <c r="Q73" s="124">
        <f t="shared" si="10"/>
        <v>0.15449513449513397</v>
      </c>
      <c r="R73" s="124">
        <f t="shared" si="10"/>
        <v>0.31230880230880231</v>
      </c>
      <c r="S73" s="125">
        <f t="shared" si="10"/>
        <v>0.31175980392156921</v>
      </c>
      <c r="T73" s="123">
        <f t="shared" si="10"/>
        <v>0.50265197765197733</v>
      </c>
      <c r="U73" s="124">
        <f t="shared" si="10"/>
        <v>0.30527433780529734</v>
      </c>
      <c r="V73" s="124">
        <f t="shared" si="10"/>
        <v>0.52326100530589725</v>
      </c>
      <c r="W73" s="125">
        <f t="shared" si="10"/>
        <v>0.11419047619047662</v>
      </c>
      <c r="X73" s="123">
        <f t="shared" si="10"/>
        <v>-8.0208333333333659E-2</v>
      </c>
      <c r="Y73" s="124">
        <f t="shared" si="11"/>
        <v>0.27747712418300674</v>
      </c>
      <c r="Z73" s="124">
        <f t="shared" si="11"/>
        <v>3.0173606237816766</v>
      </c>
      <c r="AA73" s="125">
        <f t="shared" si="11"/>
        <v>2.5278095238095237</v>
      </c>
      <c r="AB73" s="123">
        <f t="shared" si="11"/>
        <v>0.29793928571428574</v>
      </c>
      <c r="AC73" s="124">
        <f t="shared" si="11"/>
        <v>0.15017385620915036</v>
      </c>
      <c r="AD73" s="124">
        <f t="shared" si="11"/>
        <v>-0.14299771167048059</v>
      </c>
      <c r="AE73" s="125">
        <f t="shared" si="11"/>
        <v>9.5501253132831643E-2</v>
      </c>
      <c r="AF73" s="123">
        <f t="shared" si="11"/>
        <v>0.25017450142450226</v>
      </c>
      <c r="AG73" s="124">
        <f t="shared" si="11"/>
        <v>0.18115715983363057</v>
      </c>
      <c r="AH73" s="124">
        <f t="shared" si="11"/>
        <v>3.2436414754835812</v>
      </c>
      <c r="AI73" s="125">
        <f t="shared" si="12"/>
        <v>1.3857407407407409</v>
      </c>
      <c r="AJ73" s="123">
        <f t="shared" si="12"/>
        <v>0.96738103428505928</v>
      </c>
      <c r="AK73" s="124">
        <f t="shared" si="12"/>
        <v>0.19134215068270777</v>
      </c>
      <c r="AL73" s="124">
        <f t="shared" si="12"/>
        <v>4.8859118261177743</v>
      </c>
      <c r="AM73" s="125">
        <f t="shared" si="12"/>
        <v>2.6667931706753385</v>
      </c>
      <c r="AN73" s="123">
        <f t="shared" si="12"/>
        <v>3.7040421888053467</v>
      </c>
      <c r="AO73" s="124">
        <f t="shared" si="12"/>
        <v>6.4640211640211831E-2</v>
      </c>
      <c r="AP73" s="124">
        <f t="shared" si="12"/>
        <v>0.63307769423558913</v>
      </c>
      <c r="AQ73" s="125">
        <f t="shared" si="12"/>
        <v>2.1900410392990151</v>
      </c>
      <c r="AR73" s="123">
        <f t="shared" si="12"/>
        <v>0.95993886230728354</v>
      </c>
      <c r="AS73" s="124">
        <f t="shared" si="13"/>
        <v>0.16350889478598485</v>
      </c>
      <c r="AT73" s="124">
        <f t="shared" si="13"/>
        <v>1.2246645654540391</v>
      </c>
      <c r="AU73" s="125">
        <f t="shared" si="13"/>
        <v>1.8085396825396827</v>
      </c>
      <c r="AV73" s="123">
        <f t="shared" si="13"/>
        <v>4.9556084656084654</v>
      </c>
      <c r="AW73" s="124">
        <f t="shared" si="13"/>
        <v>1.0379595959595962</v>
      </c>
      <c r="AX73" s="124">
        <f t="shared" si="13"/>
        <v>2.6683286647992519</v>
      </c>
      <c r="AY73" s="125">
        <f t="shared" si="13"/>
        <v>1.7255068226120862</v>
      </c>
      <c r="AZ73" s="123">
        <f t="shared" si="13"/>
        <v>0.31792753623188474</v>
      </c>
      <c r="BA73" s="124">
        <f t="shared" si="13"/>
        <v>0.30360052910052993</v>
      </c>
      <c r="BB73" s="124">
        <f t="shared" si="13"/>
        <v>1.3113383409115675</v>
      </c>
      <c r="BC73" s="125">
        <f t="shared" si="14"/>
        <v>9.9792287342287338</v>
      </c>
      <c r="BD73" s="123">
        <f t="shared" si="14"/>
        <v>8.5705822890559737</v>
      </c>
      <c r="BE73" s="124">
        <f t="shared" si="14"/>
        <v>2.1793341307814997</v>
      </c>
      <c r="BF73" s="124">
        <f t="shared" si="14"/>
        <v>2.7392440286564663</v>
      </c>
      <c r="BG73" s="125">
        <f t="shared" si="14"/>
        <v>3.1176206961253405</v>
      </c>
      <c r="BH73" s="123">
        <f t="shared" si="14"/>
        <v>0.91271241830065319</v>
      </c>
      <c r="BI73" s="124">
        <f t="shared" si="14"/>
        <v>-0.32522354497354478</v>
      </c>
      <c r="BJ73" s="124">
        <f t="shared" si="14"/>
        <v>0.22230482456140344</v>
      </c>
      <c r="BK73" s="125">
        <f t="shared" si="14"/>
        <v>1.3006666666666664</v>
      </c>
      <c r="BL73" s="123">
        <f t="shared" si="14"/>
        <v>2.1633333333333331</v>
      </c>
      <c r="BM73" s="124">
        <f t="shared" si="14"/>
        <v>0.35666666666666691</v>
      </c>
      <c r="BN73" s="124">
        <f t="shared" si="14"/>
        <v>1.8206666666666664</v>
      </c>
      <c r="BO73" s="125">
        <f t="shared" si="14"/>
        <v>2.1010000000000004</v>
      </c>
      <c r="BP73" s="123">
        <f t="shared" si="14"/>
        <v>2.2976666666666667</v>
      </c>
      <c r="BQ73" s="124">
        <f t="shared" si="14"/>
        <v>0.45666666666666655</v>
      </c>
      <c r="BR73" s="124">
        <f t="shared" si="1"/>
        <v>2.1550000000000002</v>
      </c>
      <c r="BS73" s="125">
        <f t="shared" si="1"/>
        <v>2.1816666666666662</v>
      </c>
      <c r="BT73" s="123">
        <f t="shared" si="1"/>
        <v>3.2910000000000004</v>
      </c>
      <c r="BU73" s="124"/>
      <c r="BV73" s="124"/>
      <c r="BW73" s="125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</row>
    <row r="74" spans="1:90" x14ac:dyDescent="0.25">
      <c r="A74" s="9"/>
      <c r="B74" s="9"/>
      <c r="C74" s="3" t="s">
        <v>23</v>
      </c>
      <c r="D74" s="130" t="s">
        <v>205</v>
      </c>
      <c r="E74" s="3" t="s">
        <v>214</v>
      </c>
      <c r="F74" s="20"/>
      <c r="G74" s="20"/>
      <c r="H74" s="123">
        <f t="shared" si="9"/>
        <v>-8.6147978642259204E-3</v>
      </c>
      <c r="I74" s="124">
        <f t="shared" si="9"/>
        <v>-9.9861459203564706E-2</v>
      </c>
      <c r="J74" s="124">
        <f t="shared" si="9"/>
        <v>-7.9329600351338847E-2</v>
      </c>
      <c r="K74" s="125">
        <f t="shared" si="9"/>
        <v>-8.4566276803118345E-2</v>
      </c>
      <c r="L74" s="123">
        <f t="shared" si="9"/>
        <v>-6.1935406698564233E-2</v>
      </c>
      <c r="M74" s="124">
        <f t="shared" si="9"/>
        <v>-5.015278838808257E-2</v>
      </c>
      <c r="N74" s="124">
        <f t="shared" si="8"/>
        <v>-8.1751100412426947E-2</v>
      </c>
      <c r="O74" s="125">
        <f t="shared" si="10"/>
        <v>-7.8472328163404548E-2</v>
      </c>
      <c r="P74" s="123">
        <f t="shared" si="10"/>
        <v>-7.6272462201254054E-2</v>
      </c>
      <c r="Q74" s="124">
        <f t="shared" si="10"/>
        <v>-0.10543926661573755</v>
      </c>
      <c r="R74" s="124">
        <f t="shared" si="10"/>
        <v>2.3643939393939828E-2</v>
      </c>
      <c r="S74" s="125">
        <f t="shared" si="10"/>
        <v>1.3748015873015884E-2</v>
      </c>
      <c r="T74" s="123">
        <f t="shared" si="10"/>
        <v>0.42111046361046345</v>
      </c>
      <c r="U74" s="124">
        <f t="shared" si="10"/>
        <v>-0.18024067521745479</v>
      </c>
      <c r="V74" s="124">
        <f t="shared" si="10"/>
        <v>-7.1429216981848231E-2</v>
      </c>
      <c r="W74" s="125">
        <f t="shared" si="10"/>
        <v>-0.26401610889110838</v>
      </c>
      <c r="X74" s="123">
        <f t="shared" si="10"/>
        <v>-0.35391941391941417</v>
      </c>
      <c r="Y74" s="124">
        <f t="shared" si="11"/>
        <v>1.855521155830786E-2</v>
      </c>
      <c r="Z74" s="124">
        <f t="shared" si="11"/>
        <v>2.5668482905982906</v>
      </c>
      <c r="AA74" s="125">
        <f t="shared" si="11"/>
        <v>2.0339999999999998</v>
      </c>
      <c r="AB74" s="123">
        <f t="shared" si="11"/>
        <v>6.1794451158389885E-2</v>
      </c>
      <c r="AC74" s="124">
        <f t="shared" si="11"/>
        <v>-7.8683625730994411E-2</v>
      </c>
      <c r="AD74" s="124">
        <f t="shared" si="11"/>
        <v>-0.35561821219715961</v>
      </c>
      <c r="AE74" s="125">
        <f t="shared" si="11"/>
        <v>-0.15923297827903138</v>
      </c>
      <c r="AF74" s="123">
        <f t="shared" si="11"/>
        <v>-0.16034391534391501</v>
      </c>
      <c r="AG74" s="124">
        <f t="shared" si="11"/>
        <v>-0.28297979797979789</v>
      </c>
      <c r="AH74" s="124">
        <f t="shared" si="11"/>
        <v>2.6726201372997713</v>
      </c>
      <c r="AI74" s="125">
        <f t="shared" si="12"/>
        <v>-0.3838772338772336</v>
      </c>
      <c r="AJ74" s="123">
        <f t="shared" si="12"/>
        <v>-0.53887906039608824</v>
      </c>
      <c r="AK74" s="124">
        <f t="shared" si="12"/>
        <v>-0.87750231639705345</v>
      </c>
      <c r="AL74" s="124">
        <f t="shared" si="12"/>
        <v>-1.0572813621669457</v>
      </c>
      <c r="AM74" s="125">
        <f t="shared" si="12"/>
        <v>-2.0197867086193741</v>
      </c>
      <c r="AN74" s="123">
        <f t="shared" si="12"/>
        <v>-1.5033583959899748</v>
      </c>
      <c r="AO74" s="124">
        <f t="shared" si="12"/>
        <v>-2.5448551996151996</v>
      </c>
      <c r="AP74" s="124">
        <f t="shared" si="12"/>
        <v>-1.4265565808460541</v>
      </c>
      <c r="AQ74" s="125">
        <f t="shared" si="12"/>
        <v>-1.2013095238095237</v>
      </c>
      <c r="AR74" s="123">
        <f t="shared" si="12"/>
        <v>-1.4083508012455379</v>
      </c>
      <c r="AS74" s="124">
        <f t="shared" si="13"/>
        <v>-0.61455285942128035</v>
      </c>
      <c r="AT74" s="124">
        <f t="shared" si="13"/>
        <v>-0.6914935064935066</v>
      </c>
      <c r="AU74" s="125">
        <f t="shared" si="13"/>
        <v>-0.68214314194577352</v>
      </c>
      <c r="AV74" s="123">
        <f t="shared" si="13"/>
        <v>7.1954881769641492</v>
      </c>
      <c r="AW74" s="124">
        <f t="shared" si="13"/>
        <v>-0.24350793650793578</v>
      </c>
      <c r="AX74" s="124">
        <f t="shared" si="13"/>
        <v>-0.25848739495798423</v>
      </c>
      <c r="AY74" s="125">
        <f t="shared" si="13"/>
        <v>-0.47366861598440568</v>
      </c>
      <c r="AZ74" s="123">
        <f t="shared" si="13"/>
        <v>-0.50649715692393116</v>
      </c>
      <c r="BA74" s="124">
        <f t="shared" si="13"/>
        <v>-0.62973611111111083</v>
      </c>
      <c r="BB74" s="124">
        <f t="shared" si="13"/>
        <v>-1.2918134516132227</v>
      </c>
      <c r="BC74" s="125">
        <f t="shared" si="14"/>
        <v>-2.3496045991045986</v>
      </c>
      <c r="BD74" s="123">
        <f t="shared" si="14"/>
        <v>-1.0308400772462558</v>
      </c>
      <c r="BE74" s="124">
        <f t="shared" si="14"/>
        <v>-0.64584339636971211</v>
      </c>
      <c r="BF74" s="124">
        <f t="shared" si="14"/>
        <v>-0.55796993015360252</v>
      </c>
      <c r="BG74" s="125">
        <f t="shared" si="14"/>
        <v>-1.2239893517215499</v>
      </c>
      <c r="BH74" s="123">
        <f t="shared" si="14"/>
        <v>-1.1337796451914099</v>
      </c>
      <c r="BI74" s="124">
        <f t="shared" si="14"/>
        <v>-2.6512043049543048</v>
      </c>
      <c r="BJ74" s="124">
        <f t="shared" si="14"/>
        <v>-2.6680087719298244</v>
      </c>
      <c r="BK74" s="125">
        <f t="shared" si="14"/>
        <v>-1.2809999999999999</v>
      </c>
      <c r="BL74" s="123">
        <f t="shared" si="14"/>
        <v>-0.79800000000000004</v>
      </c>
      <c r="BM74" s="124">
        <f t="shared" si="14"/>
        <v>-1.6449999999999998</v>
      </c>
      <c r="BN74" s="124">
        <f t="shared" si="14"/>
        <v>-0.98433333333333373</v>
      </c>
      <c r="BO74" s="125">
        <f t="shared" si="14"/>
        <v>-1.3420000000000001</v>
      </c>
      <c r="BP74" s="123">
        <f t="shared" si="14"/>
        <v>-0.6993333333333327</v>
      </c>
      <c r="BQ74" s="124">
        <f t="shared" si="14"/>
        <v>-1.954</v>
      </c>
      <c r="BR74" s="124">
        <f t="shared" ref="BR74:BT74" si="15">_xlfn.XLOOKUP($E74,$C:$C,BR:BR) - _xlfn.XLOOKUP($E$57,$C:$C,BR:BR)</f>
        <v>-1.1193333333333335</v>
      </c>
      <c r="BS74" s="125">
        <f t="shared" si="15"/>
        <v>-0.91966666666666619</v>
      </c>
      <c r="BT74" s="123">
        <f t="shared" si="15"/>
        <v>-0.14250000000000007</v>
      </c>
      <c r="BU74" s="124"/>
      <c r="BV74" s="124"/>
      <c r="BW74" s="125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</row>
    <row r="75" spans="1:90" x14ac:dyDescent="0.25">
      <c r="A75" s="9"/>
      <c r="B75" s="9"/>
      <c r="C75" s="3"/>
      <c r="D75" s="3"/>
      <c r="E75" s="3"/>
      <c r="F75" s="20"/>
      <c r="G75" s="20"/>
      <c r="H75" s="21"/>
      <c r="I75" s="22"/>
      <c r="J75" s="22"/>
      <c r="K75" s="23"/>
      <c r="L75" s="21"/>
      <c r="M75" s="22"/>
      <c r="N75" s="22"/>
      <c r="O75" s="22"/>
      <c r="P75" s="21"/>
      <c r="Q75" s="25"/>
      <c r="R75" s="25"/>
      <c r="S75" s="26"/>
      <c r="T75" s="25"/>
      <c r="U75" s="25"/>
      <c r="V75" s="25"/>
      <c r="W75" s="26"/>
      <c r="X75" s="25"/>
      <c r="Y75" s="25"/>
      <c r="Z75" s="25"/>
      <c r="AA75" s="26"/>
      <c r="AB75" s="25"/>
      <c r="AC75" s="25"/>
      <c r="AD75" s="25"/>
      <c r="AE75" s="26"/>
      <c r="AF75" s="25"/>
      <c r="AG75" s="25"/>
      <c r="AH75" s="25"/>
      <c r="AI75" s="26"/>
      <c r="AJ75" s="25"/>
      <c r="AK75" s="25"/>
      <c r="AL75" s="25"/>
      <c r="AM75" s="26"/>
      <c r="AN75" s="25"/>
      <c r="AO75" s="25"/>
      <c r="AP75" s="25"/>
      <c r="AQ75" s="26"/>
      <c r="AR75" s="25"/>
      <c r="AS75" s="25"/>
      <c r="AT75" s="25"/>
      <c r="AU75" s="26"/>
      <c r="AV75" s="25"/>
      <c r="AW75" s="25"/>
      <c r="AX75" s="25"/>
      <c r="AY75" s="26"/>
      <c r="AZ75" s="25"/>
      <c r="BA75" s="25"/>
      <c r="BB75" s="25"/>
      <c r="BC75" s="26"/>
      <c r="BD75" s="25"/>
      <c r="BE75" s="25"/>
      <c r="BF75" s="25"/>
      <c r="BG75" s="26"/>
      <c r="BH75" s="25"/>
      <c r="BI75" s="25"/>
      <c r="BJ75" s="25"/>
      <c r="BK75" s="26"/>
      <c r="BL75" s="25"/>
      <c r="BM75" s="25"/>
      <c r="BN75" s="25"/>
      <c r="BO75" s="26"/>
      <c r="BP75" s="25"/>
      <c r="BQ75" s="25"/>
      <c r="BR75" s="25"/>
      <c r="BS75" s="26"/>
      <c r="BT75" s="25"/>
      <c r="BU75" s="25"/>
      <c r="BV75" s="25"/>
      <c r="BW75" s="26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</row>
    <row r="76" spans="1:90" x14ac:dyDescent="0.25">
      <c r="A76" s="9"/>
      <c r="B76" s="9"/>
      <c r="C76" s="1" t="s">
        <v>26</v>
      </c>
      <c r="D76" s="41"/>
      <c r="E76" s="41"/>
      <c r="F76" s="78"/>
      <c r="G76" s="78"/>
      <c r="H76" s="21"/>
      <c r="I76" s="22"/>
      <c r="J76" s="22"/>
      <c r="K76" s="23"/>
      <c r="L76" s="21"/>
      <c r="M76" s="22"/>
      <c r="N76" s="22"/>
      <c r="O76" s="22"/>
      <c r="P76" s="21"/>
      <c r="Q76" s="25"/>
      <c r="R76" s="25"/>
      <c r="S76" s="26"/>
      <c r="T76" s="25"/>
      <c r="U76" s="25"/>
      <c r="V76" s="25"/>
      <c r="W76" s="26"/>
      <c r="X76" s="25"/>
      <c r="Y76" s="25"/>
      <c r="Z76" s="25"/>
      <c r="AA76" s="26"/>
      <c r="AB76" s="25"/>
      <c r="AC76" s="25"/>
      <c r="AD76" s="25"/>
      <c r="AE76" s="26"/>
      <c r="AF76" s="25"/>
      <c r="AG76" s="25"/>
      <c r="AH76" s="25"/>
      <c r="AI76" s="26"/>
      <c r="AJ76" s="25"/>
      <c r="AK76" s="25"/>
      <c r="AL76" s="25"/>
      <c r="AM76" s="26"/>
      <c r="AN76" s="25"/>
      <c r="AO76" s="25"/>
      <c r="AP76" s="25"/>
      <c r="AQ76" s="26"/>
      <c r="AR76" s="25"/>
      <c r="AS76" s="25"/>
      <c r="AT76" s="25"/>
      <c r="AU76" s="26"/>
      <c r="AV76" s="25"/>
      <c r="AW76" s="25"/>
      <c r="AX76" s="25"/>
      <c r="AY76" s="26"/>
      <c r="AZ76" s="25"/>
      <c r="BA76" s="25"/>
      <c r="BB76" s="25"/>
      <c r="BC76" s="26"/>
      <c r="BD76" s="25"/>
      <c r="BE76" s="25"/>
      <c r="BF76" s="25"/>
      <c r="BG76" s="26"/>
      <c r="BH76" s="25"/>
      <c r="BI76" s="25"/>
      <c r="BJ76" s="25"/>
      <c r="BK76" s="26"/>
      <c r="BL76" s="25"/>
      <c r="BM76" s="25"/>
      <c r="BN76" s="25"/>
      <c r="BO76" s="26"/>
      <c r="BP76" s="25"/>
      <c r="BQ76" s="25"/>
      <c r="BR76" s="25"/>
      <c r="BS76" s="26"/>
      <c r="BT76" s="25"/>
      <c r="BU76" s="25"/>
      <c r="BV76" s="25"/>
      <c r="BW76" s="26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</row>
    <row r="77" spans="1:90" x14ac:dyDescent="0.25">
      <c r="A77" s="9"/>
      <c r="B77" s="9"/>
      <c r="C77" s="3" t="s">
        <v>27</v>
      </c>
      <c r="D77" s="3"/>
      <c r="E77" s="3"/>
      <c r="F77" s="20"/>
      <c r="G77" s="20"/>
      <c r="H77" s="28">
        <v>5</v>
      </c>
      <c r="I77" s="25">
        <v>5</v>
      </c>
      <c r="J77" s="25">
        <v>5</v>
      </c>
      <c r="K77" s="26">
        <v>5</v>
      </c>
      <c r="L77" s="28">
        <v>5</v>
      </c>
      <c r="M77" s="25">
        <v>5</v>
      </c>
      <c r="N77" s="25">
        <v>5</v>
      </c>
      <c r="O77" s="25">
        <v>5</v>
      </c>
      <c r="P77" s="28">
        <v>5</v>
      </c>
      <c r="Q77" s="25">
        <v>5</v>
      </c>
      <c r="R77" s="25">
        <v>5</v>
      </c>
      <c r="S77" s="26">
        <v>5</v>
      </c>
      <c r="T77" s="25">
        <v>5</v>
      </c>
      <c r="U77" s="25">
        <v>5</v>
      </c>
      <c r="V77" s="25">
        <v>5</v>
      </c>
      <c r="W77" s="26">
        <v>5</v>
      </c>
      <c r="X77" s="25">
        <v>5</v>
      </c>
      <c r="Y77" s="25">
        <v>5</v>
      </c>
      <c r="Z77" s="25">
        <v>5</v>
      </c>
      <c r="AA77" s="26">
        <v>5</v>
      </c>
      <c r="AB77" s="25">
        <v>5</v>
      </c>
      <c r="AC77" s="25">
        <v>5</v>
      </c>
      <c r="AD77" s="25">
        <v>5</v>
      </c>
      <c r="AE77" s="26">
        <v>5</v>
      </c>
      <c r="AF77" s="25">
        <v>5</v>
      </c>
      <c r="AG77" s="25">
        <v>5</v>
      </c>
      <c r="AH77" s="25">
        <v>5</v>
      </c>
      <c r="AI77" s="26">
        <v>5</v>
      </c>
      <c r="AJ77" s="25">
        <v>5</v>
      </c>
      <c r="AK77" s="25">
        <v>5</v>
      </c>
      <c r="AL77" s="25">
        <v>5</v>
      </c>
      <c r="AM77" s="26">
        <v>5</v>
      </c>
      <c r="AN77" s="25">
        <v>5</v>
      </c>
      <c r="AO77" s="25">
        <v>5</v>
      </c>
      <c r="AP77" s="25">
        <v>5</v>
      </c>
      <c r="AQ77" s="26">
        <v>5</v>
      </c>
      <c r="AR77" s="25">
        <v>5</v>
      </c>
      <c r="AS77" s="25">
        <v>5</v>
      </c>
      <c r="AT77" s="25">
        <v>5</v>
      </c>
      <c r="AU77" s="26">
        <v>5</v>
      </c>
      <c r="AV77" s="25">
        <v>5</v>
      </c>
      <c r="AW77" s="25">
        <v>5</v>
      </c>
      <c r="AX77" s="25">
        <v>5</v>
      </c>
      <c r="AY77" s="26">
        <v>5</v>
      </c>
      <c r="AZ77" s="25">
        <v>5</v>
      </c>
      <c r="BA77" s="25">
        <v>5</v>
      </c>
      <c r="BB77" s="25">
        <v>5</v>
      </c>
      <c r="BC77" s="26">
        <v>5</v>
      </c>
      <c r="BD77" s="25">
        <v>5</v>
      </c>
      <c r="BE77" s="25">
        <v>5</v>
      </c>
      <c r="BF77" s="25">
        <v>5</v>
      </c>
      <c r="BG77" s="26">
        <v>5</v>
      </c>
      <c r="BH77" s="25">
        <v>5</v>
      </c>
      <c r="BI77" s="25">
        <v>5</v>
      </c>
      <c r="BJ77" s="25">
        <v>5</v>
      </c>
      <c r="BK77" s="26">
        <v>5</v>
      </c>
      <c r="BL77" s="25">
        <v>5</v>
      </c>
      <c r="BM77" s="25">
        <v>5</v>
      </c>
      <c r="BN77" s="25">
        <v>5</v>
      </c>
      <c r="BO77" s="26">
        <v>5</v>
      </c>
      <c r="BP77" s="25">
        <v>5</v>
      </c>
      <c r="BQ77" s="25">
        <v>5</v>
      </c>
      <c r="BR77" s="25">
        <v>5</v>
      </c>
      <c r="BS77" s="26">
        <v>5</v>
      </c>
      <c r="BT77" s="25">
        <v>5</v>
      </c>
      <c r="BU77" s="25"/>
      <c r="BV77" s="25"/>
      <c r="BW77" s="26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</row>
    <row r="78" spans="1:90" x14ac:dyDescent="0.25">
      <c r="A78" s="9"/>
      <c r="B78" s="9"/>
      <c r="C78" s="3" t="s">
        <v>28</v>
      </c>
      <c r="D78" s="3"/>
      <c r="E78" s="3"/>
      <c r="F78" s="20"/>
      <c r="G78" s="20"/>
      <c r="H78" s="28">
        <v>15</v>
      </c>
      <c r="I78" s="25">
        <v>15</v>
      </c>
      <c r="J78" s="25">
        <v>15</v>
      </c>
      <c r="K78" s="26">
        <v>15</v>
      </c>
      <c r="L78" s="28">
        <v>15</v>
      </c>
      <c r="M78" s="25">
        <v>15</v>
      </c>
      <c r="N78" s="25">
        <v>15</v>
      </c>
      <c r="O78" s="25">
        <v>15</v>
      </c>
      <c r="P78" s="28">
        <v>15</v>
      </c>
      <c r="Q78" s="25">
        <v>15</v>
      </c>
      <c r="R78" s="25">
        <v>15</v>
      </c>
      <c r="S78" s="26">
        <v>15</v>
      </c>
      <c r="T78" s="25">
        <v>15</v>
      </c>
      <c r="U78" s="25">
        <v>15</v>
      </c>
      <c r="V78" s="25">
        <v>15</v>
      </c>
      <c r="W78" s="26">
        <v>15</v>
      </c>
      <c r="X78" s="25">
        <v>15</v>
      </c>
      <c r="Y78" s="25">
        <v>15</v>
      </c>
      <c r="Z78" s="25">
        <v>15</v>
      </c>
      <c r="AA78" s="26">
        <v>15</v>
      </c>
      <c r="AB78" s="25">
        <v>15</v>
      </c>
      <c r="AC78" s="25">
        <v>15</v>
      </c>
      <c r="AD78" s="25">
        <v>15</v>
      </c>
      <c r="AE78" s="26">
        <v>15</v>
      </c>
      <c r="AF78" s="25">
        <v>15</v>
      </c>
      <c r="AG78" s="25">
        <v>15</v>
      </c>
      <c r="AH78" s="25">
        <v>15</v>
      </c>
      <c r="AI78" s="26">
        <v>15</v>
      </c>
      <c r="AJ78" s="25">
        <v>15</v>
      </c>
      <c r="AK78" s="25">
        <v>15</v>
      </c>
      <c r="AL78" s="25">
        <v>15</v>
      </c>
      <c r="AM78" s="26">
        <v>15</v>
      </c>
      <c r="AN78" s="25">
        <v>15</v>
      </c>
      <c r="AO78" s="25">
        <v>15</v>
      </c>
      <c r="AP78" s="25">
        <v>15</v>
      </c>
      <c r="AQ78" s="26">
        <v>15</v>
      </c>
      <c r="AR78" s="25">
        <v>15</v>
      </c>
      <c r="AS78" s="25">
        <v>15</v>
      </c>
      <c r="AT78" s="25">
        <v>15</v>
      </c>
      <c r="AU78" s="26">
        <v>15</v>
      </c>
      <c r="AV78" s="25">
        <v>15</v>
      </c>
      <c r="AW78" s="25">
        <v>15</v>
      </c>
      <c r="AX78" s="25">
        <v>15</v>
      </c>
      <c r="AY78" s="26">
        <v>15</v>
      </c>
      <c r="AZ78" s="25">
        <v>15</v>
      </c>
      <c r="BA78" s="25">
        <v>15</v>
      </c>
      <c r="BB78" s="25">
        <v>15</v>
      </c>
      <c r="BC78" s="26">
        <v>15</v>
      </c>
      <c r="BD78" s="25">
        <v>15</v>
      </c>
      <c r="BE78" s="25">
        <v>15</v>
      </c>
      <c r="BF78" s="25">
        <v>15</v>
      </c>
      <c r="BG78" s="26">
        <v>15</v>
      </c>
      <c r="BH78" s="25">
        <v>15</v>
      </c>
      <c r="BI78" s="25">
        <v>15</v>
      </c>
      <c r="BJ78" s="25">
        <v>15</v>
      </c>
      <c r="BK78" s="26">
        <v>15</v>
      </c>
      <c r="BL78" s="25">
        <v>15</v>
      </c>
      <c r="BM78" s="25">
        <v>15</v>
      </c>
      <c r="BN78" s="25">
        <v>15</v>
      </c>
      <c r="BO78" s="26">
        <v>15</v>
      </c>
      <c r="BP78" s="25">
        <v>15</v>
      </c>
      <c r="BQ78" s="25">
        <v>15</v>
      </c>
      <c r="BR78" s="25">
        <v>15</v>
      </c>
      <c r="BS78" s="26">
        <v>15</v>
      </c>
      <c r="BT78" s="25">
        <v>15</v>
      </c>
      <c r="BU78" s="25"/>
      <c r="BV78" s="25"/>
      <c r="BW78" s="26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</row>
    <row r="79" spans="1:90" x14ac:dyDescent="0.25">
      <c r="A79" s="9"/>
      <c r="B79" s="9"/>
      <c r="C79" s="3" t="s">
        <v>29</v>
      </c>
      <c r="D79" s="3"/>
      <c r="E79" s="3"/>
      <c r="F79" s="20"/>
      <c r="G79" s="20"/>
      <c r="H79" s="28">
        <v>25</v>
      </c>
      <c r="I79" s="25">
        <v>25</v>
      </c>
      <c r="J79" s="25">
        <v>25</v>
      </c>
      <c r="K79" s="26">
        <v>25</v>
      </c>
      <c r="L79" s="28">
        <v>25</v>
      </c>
      <c r="M79" s="25">
        <v>25</v>
      </c>
      <c r="N79" s="25">
        <v>25</v>
      </c>
      <c r="O79" s="25">
        <v>25</v>
      </c>
      <c r="P79" s="28">
        <v>25</v>
      </c>
      <c r="Q79" s="25">
        <v>25</v>
      </c>
      <c r="R79" s="25">
        <v>25</v>
      </c>
      <c r="S79" s="26">
        <v>25</v>
      </c>
      <c r="T79" s="25">
        <v>25</v>
      </c>
      <c r="U79" s="25">
        <v>25</v>
      </c>
      <c r="V79" s="25">
        <v>25</v>
      </c>
      <c r="W79" s="26">
        <v>25</v>
      </c>
      <c r="X79" s="25">
        <v>25</v>
      </c>
      <c r="Y79" s="25">
        <v>25</v>
      </c>
      <c r="Z79" s="25">
        <v>25</v>
      </c>
      <c r="AA79" s="26">
        <v>25</v>
      </c>
      <c r="AB79" s="25">
        <v>25</v>
      </c>
      <c r="AC79" s="25">
        <v>25</v>
      </c>
      <c r="AD79" s="25">
        <v>25</v>
      </c>
      <c r="AE79" s="26">
        <v>25</v>
      </c>
      <c r="AF79" s="25">
        <v>25</v>
      </c>
      <c r="AG79" s="25">
        <v>25</v>
      </c>
      <c r="AH79" s="25">
        <v>25</v>
      </c>
      <c r="AI79" s="26">
        <v>25</v>
      </c>
      <c r="AJ79" s="25">
        <v>25</v>
      </c>
      <c r="AK79" s="25">
        <v>25</v>
      </c>
      <c r="AL79" s="25">
        <v>25</v>
      </c>
      <c r="AM79" s="26">
        <v>25</v>
      </c>
      <c r="AN79" s="25">
        <v>25</v>
      </c>
      <c r="AO79" s="25">
        <v>25</v>
      </c>
      <c r="AP79" s="25">
        <v>25</v>
      </c>
      <c r="AQ79" s="26">
        <v>25</v>
      </c>
      <c r="AR79" s="25">
        <v>25</v>
      </c>
      <c r="AS79" s="25">
        <v>25</v>
      </c>
      <c r="AT79" s="25">
        <v>25</v>
      </c>
      <c r="AU79" s="26">
        <v>25</v>
      </c>
      <c r="AV79" s="25">
        <v>25</v>
      </c>
      <c r="AW79" s="25">
        <v>25</v>
      </c>
      <c r="AX79" s="25">
        <v>25</v>
      </c>
      <c r="AY79" s="26">
        <v>25</v>
      </c>
      <c r="AZ79" s="25">
        <v>25</v>
      </c>
      <c r="BA79" s="25">
        <v>25</v>
      </c>
      <c r="BB79" s="25">
        <v>25</v>
      </c>
      <c r="BC79" s="26">
        <v>25</v>
      </c>
      <c r="BD79" s="25">
        <v>25</v>
      </c>
      <c r="BE79" s="25">
        <v>25</v>
      </c>
      <c r="BF79" s="25">
        <v>25</v>
      </c>
      <c r="BG79" s="26">
        <v>25</v>
      </c>
      <c r="BH79" s="25">
        <v>25</v>
      </c>
      <c r="BI79" s="25">
        <v>25</v>
      </c>
      <c r="BJ79" s="25">
        <v>25</v>
      </c>
      <c r="BK79" s="26">
        <v>25</v>
      </c>
      <c r="BL79" s="25">
        <v>25</v>
      </c>
      <c r="BM79" s="25">
        <v>25</v>
      </c>
      <c r="BN79" s="25">
        <v>25</v>
      </c>
      <c r="BO79" s="26">
        <v>25</v>
      </c>
      <c r="BP79" s="25">
        <v>25</v>
      </c>
      <c r="BQ79" s="25">
        <v>25</v>
      </c>
      <c r="BR79" s="25">
        <v>25</v>
      </c>
      <c r="BS79" s="26">
        <v>25</v>
      </c>
      <c r="BT79" s="25">
        <v>25</v>
      </c>
      <c r="BU79" s="25"/>
      <c r="BV79" s="25"/>
      <c r="BW79" s="26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</row>
    <row r="80" spans="1:90" x14ac:dyDescent="0.25">
      <c r="A80" s="9"/>
      <c r="B80" s="9"/>
      <c r="C80" s="3"/>
      <c r="D80" s="3"/>
      <c r="E80" s="3"/>
      <c r="F80" s="20"/>
      <c r="G80" s="20"/>
      <c r="H80" s="21"/>
      <c r="I80" s="22"/>
      <c r="J80" s="22"/>
      <c r="K80" s="23"/>
      <c r="L80" s="21"/>
      <c r="M80" s="22"/>
      <c r="N80" s="22"/>
      <c r="O80" s="22"/>
      <c r="P80" s="21"/>
      <c r="Q80" s="25"/>
      <c r="R80" s="25"/>
      <c r="S80" s="26"/>
      <c r="T80" s="25"/>
      <c r="U80" s="25"/>
      <c r="V80" s="25"/>
      <c r="W80" s="26"/>
      <c r="X80" s="25"/>
      <c r="Y80" s="25"/>
      <c r="Z80" s="25"/>
      <c r="AA80" s="26"/>
      <c r="AB80" s="25"/>
      <c r="AC80" s="25"/>
      <c r="AD80" s="25"/>
      <c r="AE80" s="26"/>
      <c r="AF80" s="25"/>
      <c r="AG80" s="25"/>
      <c r="AH80" s="25"/>
      <c r="AI80" s="26"/>
      <c r="AJ80" s="25"/>
      <c r="AK80" s="25"/>
      <c r="AL80" s="25"/>
      <c r="AM80" s="26"/>
      <c r="AN80" s="25"/>
      <c r="AO80" s="25"/>
      <c r="AP80" s="25"/>
      <c r="AQ80" s="26"/>
      <c r="AR80" s="25"/>
      <c r="AS80" s="25"/>
      <c r="AT80" s="25"/>
      <c r="AU80" s="26"/>
      <c r="AV80" s="25"/>
      <c r="AW80" s="25"/>
      <c r="AX80" s="25"/>
      <c r="AY80" s="26"/>
      <c r="AZ80" s="25"/>
      <c r="BA80" s="25"/>
      <c r="BB80" s="25"/>
      <c r="BC80" s="26"/>
      <c r="BD80" s="25"/>
      <c r="BE80" s="25"/>
      <c r="BF80" s="25"/>
      <c r="BG80" s="26"/>
      <c r="BH80" s="25"/>
      <c r="BI80" s="25"/>
      <c r="BJ80" s="25"/>
      <c r="BK80" s="26"/>
      <c r="BL80" s="25"/>
      <c r="BM80" s="25"/>
      <c r="BN80" s="25"/>
      <c r="BO80" s="26"/>
      <c r="BP80" s="25"/>
      <c r="BQ80" s="25"/>
      <c r="BR80" s="25"/>
      <c r="BS80" s="26"/>
      <c r="BT80" s="25"/>
      <c r="BU80" s="25"/>
      <c r="BV80" s="25"/>
      <c r="BW80" s="26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</row>
    <row r="81" spans="1:90" x14ac:dyDescent="0.25">
      <c r="A81" s="9"/>
      <c r="B81" s="9"/>
      <c r="C81" s="3"/>
      <c r="D81" s="3"/>
      <c r="E81" s="3"/>
      <c r="F81" s="20"/>
      <c r="G81" s="20"/>
      <c r="H81" s="132"/>
      <c r="I81" s="31"/>
      <c r="J81" s="31"/>
      <c r="K81" s="32"/>
      <c r="L81" s="30"/>
      <c r="M81" s="31"/>
      <c r="N81" s="31"/>
      <c r="O81" s="31"/>
      <c r="P81" s="47"/>
      <c r="Q81" s="33"/>
      <c r="R81" s="33"/>
      <c r="S81" s="34"/>
      <c r="T81" s="33"/>
      <c r="U81" s="33"/>
      <c r="V81" s="33"/>
      <c r="W81" s="36"/>
      <c r="X81" s="35"/>
      <c r="Y81" s="35"/>
      <c r="Z81" s="35"/>
      <c r="AA81" s="36"/>
      <c r="AB81" s="35"/>
      <c r="AC81" s="35"/>
      <c r="AD81" s="35"/>
      <c r="AE81" s="36"/>
      <c r="AF81" s="35"/>
      <c r="AG81" s="35"/>
      <c r="AH81" s="35"/>
      <c r="AI81" s="36"/>
      <c r="AJ81" s="35"/>
      <c r="AK81" s="35"/>
      <c r="AL81" s="35"/>
      <c r="AM81" s="36"/>
      <c r="AN81" s="35"/>
      <c r="AO81" s="35"/>
      <c r="AP81" s="35"/>
      <c r="AQ81" s="36"/>
      <c r="AR81" s="35"/>
      <c r="AS81" s="35"/>
      <c r="AT81" s="35"/>
      <c r="AU81" s="36"/>
      <c r="AV81" s="35"/>
      <c r="AW81" s="35"/>
      <c r="AX81" s="35"/>
      <c r="AY81" s="36"/>
      <c r="AZ81" s="35"/>
      <c r="BA81" s="35"/>
      <c r="BB81" s="35"/>
      <c r="BC81" s="36"/>
      <c r="BD81" s="35"/>
      <c r="BE81" s="35"/>
      <c r="BF81" s="35"/>
      <c r="BG81" s="36"/>
      <c r="BH81" s="35"/>
      <c r="BI81" s="35"/>
      <c r="BJ81" s="35"/>
      <c r="BK81" s="36"/>
      <c r="BL81" s="35"/>
      <c r="BM81" s="35"/>
      <c r="BN81" s="35"/>
      <c r="BO81" s="36"/>
      <c r="BP81" s="35"/>
      <c r="BQ81" s="35"/>
      <c r="BR81" s="35"/>
      <c r="BS81" s="36"/>
      <c r="BT81" s="35"/>
      <c r="BU81" s="35"/>
      <c r="BV81" s="35"/>
      <c r="BW81" s="36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</row>
    <row r="82" spans="1:90" x14ac:dyDescent="0.25">
      <c r="A82" s="9"/>
      <c r="B82" s="9"/>
      <c r="C82" s="1" t="s">
        <v>30</v>
      </c>
      <c r="D82" s="41"/>
      <c r="E82" s="41"/>
      <c r="F82" s="78"/>
      <c r="G82" s="78"/>
      <c r="H82" s="21"/>
      <c r="I82" s="22"/>
      <c r="J82" s="22"/>
      <c r="K82" s="23"/>
      <c r="L82" s="21"/>
      <c r="M82" s="22"/>
      <c r="N82" s="22"/>
      <c r="O82" s="22"/>
      <c r="P82" s="21"/>
      <c r="Q82" s="25"/>
      <c r="R82" s="25"/>
      <c r="S82" s="26"/>
      <c r="T82" s="25"/>
      <c r="U82" s="25"/>
      <c r="V82" s="25"/>
      <c r="W82" s="26"/>
      <c r="X82" s="25"/>
      <c r="Y82" s="25"/>
      <c r="Z82" s="25"/>
      <c r="AA82" s="26"/>
      <c r="AB82" s="25"/>
      <c r="AC82" s="25"/>
      <c r="AD82" s="25"/>
      <c r="AE82" s="26"/>
      <c r="AF82" s="25"/>
      <c r="AG82" s="25"/>
      <c r="AH82" s="25"/>
      <c r="AI82" s="26"/>
      <c r="AJ82" s="25"/>
      <c r="AK82" s="25"/>
      <c r="AL82" s="25"/>
      <c r="AM82" s="26"/>
      <c r="AN82" s="25"/>
      <c r="AO82" s="25"/>
      <c r="AP82" s="25"/>
      <c r="AQ82" s="26"/>
      <c r="AR82" s="25"/>
      <c r="AS82" s="25"/>
      <c r="AT82" s="25"/>
      <c r="AU82" s="26"/>
      <c r="AV82" s="25"/>
      <c r="AW82" s="25"/>
      <c r="AX82" s="25"/>
      <c r="AY82" s="26"/>
      <c r="AZ82" s="25"/>
      <c r="BA82" s="25"/>
      <c r="BB82" s="25"/>
      <c r="BC82" s="26"/>
      <c r="BD82" s="25"/>
      <c r="BE82" s="25"/>
      <c r="BF82" s="25"/>
      <c r="BG82" s="26"/>
      <c r="BH82" s="25"/>
      <c r="BI82" s="25"/>
      <c r="BJ82" s="25"/>
      <c r="BK82" s="26"/>
      <c r="BL82" s="25"/>
      <c r="BM82" s="25"/>
      <c r="BN82" s="25"/>
      <c r="BO82" s="26"/>
      <c r="BP82" s="25"/>
      <c r="BQ82" s="25"/>
      <c r="BR82" s="25"/>
      <c r="BS82" s="26"/>
      <c r="BT82" s="25"/>
      <c r="BU82" s="25"/>
      <c r="BV82" s="25"/>
      <c r="BW82" s="26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</row>
    <row r="83" spans="1:90" x14ac:dyDescent="0.25">
      <c r="A83" s="9"/>
      <c r="B83" s="9"/>
      <c r="C83" s="3" t="s">
        <v>7</v>
      </c>
      <c r="D83" s="3"/>
      <c r="E83" s="3"/>
      <c r="F83" s="20"/>
      <c r="G83" s="20"/>
      <c r="H83" s="132">
        <f>_xlfn.XLOOKUP($C83,$C$18:$C$36,H$18:H$36)/(SUM(_xlfn.XLOOKUP($E$57,$C$7:$C$17,H$7:H$17)+_xlfn.XLOOKUP($C83,$C$56:$C$75,H$56:H$75)))*1000</f>
        <v>9082.1939150679318</v>
      </c>
      <c r="I83" s="133">
        <f t="shared" ref="I83:BT87" si="16">_xlfn.XLOOKUP($C83,$C$18:$C$36,I$18:I$36)/(SUM(_xlfn.XLOOKUP($E$57,$C$7:$C$17,I$7:I$17)+_xlfn.XLOOKUP($C83,$C$56:$C$75,I$56:I$75)))*1000</f>
        <v>10200.009599488676</v>
      </c>
      <c r="J83" s="133">
        <f t="shared" si="16"/>
        <v>11779.37505146295</v>
      </c>
      <c r="K83" s="134">
        <f t="shared" si="16"/>
        <v>10939.114759001111</v>
      </c>
      <c r="L83" s="132">
        <f t="shared" si="16"/>
        <v>10598.585678814477</v>
      </c>
      <c r="M83" s="133">
        <f t="shared" si="16"/>
        <v>13932.640510759564</v>
      </c>
      <c r="N83" s="133">
        <f t="shared" si="16"/>
        <v>14961.133327669088</v>
      </c>
      <c r="O83" s="134">
        <f t="shared" si="16"/>
        <v>12257.60422501434</v>
      </c>
      <c r="P83" s="132">
        <f t="shared" si="16"/>
        <v>11761.100626673122</v>
      </c>
      <c r="Q83" s="133">
        <f t="shared" si="16"/>
        <v>10478.74331597926</v>
      </c>
      <c r="R83" s="133">
        <f t="shared" si="16"/>
        <v>14200.019268905608</v>
      </c>
      <c r="S83" s="134">
        <f t="shared" si="16"/>
        <v>15303.385685810706</v>
      </c>
      <c r="T83" s="132">
        <f t="shared" si="16"/>
        <v>10209.308560614978</v>
      </c>
      <c r="U83" s="133">
        <f t="shared" si="16"/>
        <v>11866.573474122328</v>
      </c>
      <c r="V83" s="133">
        <f t="shared" si="16"/>
        <v>16103.231698749476</v>
      </c>
      <c r="W83" s="134">
        <f t="shared" si="16"/>
        <v>14347.319563252209</v>
      </c>
      <c r="X83" s="132">
        <f t="shared" si="16"/>
        <v>9558.1949250899706</v>
      </c>
      <c r="Y83" s="133">
        <f t="shared" si="16"/>
        <v>11223.00662001329</v>
      </c>
      <c r="Z83" s="133">
        <f t="shared" si="16"/>
        <v>18599.808102163515</v>
      </c>
      <c r="AA83" s="134">
        <f t="shared" si="16"/>
        <v>17481.627995435527</v>
      </c>
      <c r="AB83" s="132">
        <f t="shared" si="16"/>
        <v>13087.214569918706</v>
      </c>
      <c r="AC83" s="133">
        <f t="shared" si="16"/>
        <v>16310.680211755884</v>
      </c>
      <c r="AD83" s="133">
        <f t="shared" si="16"/>
        <v>22209.257654979196</v>
      </c>
      <c r="AE83" s="134">
        <f t="shared" si="16"/>
        <v>13416.73823522935</v>
      </c>
      <c r="AF83" s="132">
        <f t="shared" si="16"/>
        <v>9757.2066262623102</v>
      </c>
      <c r="AG83" s="133">
        <f t="shared" si="16"/>
        <v>12011.785309191428</v>
      </c>
      <c r="AH83" s="133">
        <f t="shared" si="16"/>
        <v>12308.32501340698</v>
      </c>
      <c r="AI83" s="134">
        <f t="shared" si="16"/>
        <v>14095.180884970343</v>
      </c>
      <c r="AJ83" s="132">
        <f t="shared" si="16"/>
        <v>8876.3353866708567</v>
      </c>
      <c r="AK83" s="133">
        <f t="shared" si="16"/>
        <v>12850.177263118338</v>
      </c>
      <c r="AL83" s="133">
        <f t="shared" si="16"/>
        <v>14597.274117489867</v>
      </c>
      <c r="AM83" s="134">
        <f t="shared" si="16"/>
        <v>13255.580246788382</v>
      </c>
      <c r="AN83" s="132">
        <f t="shared" si="16"/>
        <v>12253.506505994359</v>
      </c>
      <c r="AO83" s="133">
        <f t="shared" si="16"/>
        <v>11524.824816838858</v>
      </c>
      <c r="AP83" s="133">
        <f t="shared" si="16"/>
        <v>13388.812954340869</v>
      </c>
      <c r="AQ83" s="134">
        <f t="shared" si="16"/>
        <v>15608.589601231592</v>
      </c>
      <c r="AR83" s="132">
        <f t="shared" si="16"/>
        <v>12457.5525049476</v>
      </c>
      <c r="AS83" s="133">
        <f t="shared" si="16"/>
        <v>14074.075047989692</v>
      </c>
      <c r="AT83" s="133">
        <f t="shared" si="16"/>
        <v>17362.758536587909</v>
      </c>
      <c r="AU83" s="134">
        <f t="shared" si="16"/>
        <v>18162.539927572354</v>
      </c>
      <c r="AV83" s="132">
        <f t="shared" si="16"/>
        <v>15408.421027272729</v>
      </c>
      <c r="AW83" s="133">
        <f t="shared" si="16"/>
        <v>13403.802643751911</v>
      </c>
      <c r="AX83" s="133">
        <f t="shared" si="16"/>
        <v>13518.967778314884</v>
      </c>
      <c r="AY83" s="134">
        <f t="shared" si="16"/>
        <v>14362.194890168026</v>
      </c>
      <c r="AZ83" s="132">
        <f t="shared" si="16"/>
        <v>16199.624372335229</v>
      </c>
      <c r="BA83" s="133">
        <f t="shared" si="16"/>
        <v>10755.134946099464</v>
      </c>
      <c r="BB83" s="133">
        <f>_xlfn.XLOOKUP($C83,$C$18:$C$36,BB$18:BB$36)/(SUM(_xlfn.XLOOKUP($E$57,$C$7:$C$17,BB$7:BB$17)+_xlfn.XLOOKUP($C83,$C$56:$C$75,BB$56:BB$75)))*1000</f>
        <v>12602.656870837298</v>
      </c>
      <c r="BC83" s="134">
        <f t="shared" si="16"/>
        <v>12694.792364742711</v>
      </c>
      <c r="BD83" s="132">
        <f t="shared" si="16"/>
        <v>15446.100408592416</v>
      </c>
      <c r="BE83" s="133">
        <f t="shared" si="16"/>
        <v>20725.905772269627</v>
      </c>
      <c r="BF83" s="133">
        <f t="shared" si="16"/>
        <v>30509.676531163161</v>
      </c>
      <c r="BG83" s="134">
        <f t="shared" si="16"/>
        <v>18533.77805233144</v>
      </c>
      <c r="BH83" s="132">
        <f t="shared" si="16"/>
        <v>16692.036472968677</v>
      </c>
      <c r="BI83" s="133">
        <f t="shared" si="16"/>
        <v>19069.096696408793</v>
      </c>
      <c r="BJ83" s="133">
        <f t="shared" si="16"/>
        <v>33023.056847193278</v>
      </c>
      <c r="BK83" s="134">
        <f t="shared" si="16"/>
        <v>24508.710801393729</v>
      </c>
      <c r="BL83" s="132">
        <f t="shared" si="16"/>
        <v>19223.338989688033</v>
      </c>
      <c r="BM83" s="133">
        <f t="shared" si="16"/>
        <v>20365.310365310364</v>
      </c>
      <c r="BN83" s="133">
        <f t="shared" si="16"/>
        <v>24850.223964165732</v>
      </c>
      <c r="BO83" s="134">
        <f t="shared" si="16"/>
        <v>21275.398562050643</v>
      </c>
      <c r="BP83" s="132">
        <f t="shared" si="16"/>
        <v>18668.86353566682</v>
      </c>
      <c r="BQ83" s="133">
        <f t="shared" si="16"/>
        <v>17370.689655172417</v>
      </c>
      <c r="BR83" s="133">
        <f t="shared" si="16"/>
        <v>22770.383770512984</v>
      </c>
      <c r="BS83" s="134">
        <f t="shared" si="16"/>
        <v>17834.283612286185</v>
      </c>
      <c r="BT83" s="133">
        <f t="shared" si="16"/>
        <v>16935.101691568485</v>
      </c>
      <c r="BU83" s="133"/>
      <c r="BV83" s="57"/>
      <c r="BW83" s="58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</row>
    <row r="84" spans="1:90" x14ac:dyDescent="0.25">
      <c r="A84" s="9"/>
      <c r="B84" s="9"/>
      <c r="C84" s="3" t="s">
        <v>8</v>
      </c>
      <c r="D84" s="3"/>
      <c r="E84" s="3"/>
      <c r="F84" s="20"/>
      <c r="G84" s="20"/>
      <c r="H84" s="132">
        <f t="shared" ref="H84:W99" si="17">_xlfn.XLOOKUP($C84,$C$18:$C$36,H$18:H$36)/(SUM(_xlfn.XLOOKUP($E$57,$C$7:$C$17,H$7:H$17)+_xlfn.XLOOKUP($C84,$C$56:$C$75,H$56:H$75)))*1000</f>
        <v>7073.5442235786713</v>
      </c>
      <c r="I84" s="133">
        <f t="shared" si="17"/>
        <v>8939.6775290996502</v>
      </c>
      <c r="J84" s="133">
        <f t="shared" si="17"/>
        <v>10659.135432413439</v>
      </c>
      <c r="K84" s="134">
        <f t="shared" si="17"/>
        <v>10195.606936416187</v>
      </c>
      <c r="L84" s="132">
        <f t="shared" si="17"/>
        <v>11208.841221057375</v>
      </c>
      <c r="M84" s="133">
        <f t="shared" si="17"/>
        <v>13271.65205809894</v>
      </c>
      <c r="N84" s="133">
        <f t="shared" si="17"/>
        <v>13557.071931342411</v>
      </c>
      <c r="O84" s="134">
        <f t="shared" si="17"/>
        <v>10455.758600168167</v>
      </c>
      <c r="P84" s="132">
        <f t="shared" si="17"/>
        <v>10291.236266095022</v>
      </c>
      <c r="Q84" s="133">
        <f t="shared" si="17"/>
        <v>10116.769783987311</v>
      </c>
      <c r="R84" s="133">
        <f t="shared" si="17"/>
        <v>12891.849643275478</v>
      </c>
      <c r="S84" s="134">
        <f t="shared" si="17"/>
        <v>12024.09967436907</v>
      </c>
      <c r="T84" s="132">
        <f t="shared" si="17"/>
        <v>8303.0304916707773</v>
      </c>
      <c r="U84" s="133">
        <f t="shared" si="17"/>
        <v>11781.246108343712</v>
      </c>
      <c r="V84" s="133">
        <f t="shared" si="17"/>
        <v>16193.275974720582</v>
      </c>
      <c r="W84" s="134">
        <f t="shared" si="17"/>
        <v>13408.003165385522</v>
      </c>
      <c r="X84" s="132">
        <f t="shared" si="16"/>
        <v>8992.5851211495537</v>
      </c>
      <c r="Y84" s="133">
        <f t="shared" si="16"/>
        <v>21860.880440085282</v>
      </c>
      <c r="Z84" s="133">
        <f t="shared" si="16"/>
        <v>26756.373443853547</v>
      </c>
      <c r="AA84" s="134">
        <f t="shared" si="16"/>
        <v>24515.562095350204</v>
      </c>
      <c r="AB84" s="132">
        <f t="shared" si="16"/>
        <v>14482.650014057241</v>
      </c>
      <c r="AC84" s="133">
        <f t="shared" si="16"/>
        <v>21593.027070808475</v>
      </c>
      <c r="AD84" s="133">
        <f t="shared" si="16"/>
        <v>36599.754772842702</v>
      </c>
      <c r="AE84" s="134">
        <f t="shared" si="16"/>
        <v>13339.663752079508</v>
      </c>
      <c r="AF84" s="132">
        <f t="shared" si="16"/>
        <v>9975.9993653009915</v>
      </c>
      <c r="AG84" s="133">
        <f t="shared" si="16"/>
        <v>12154.175196263537</v>
      </c>
      <c r="AH84" s="133">
        <f t="shared" si="16"/>
        <v>21103.337585548055</v>
      </c>
      <c r="AI84" s="134">
        <f t="shared" si="16"/>
        <v>9523.4642109680681</v>
      </c>
      <c r="AJ84" s="132">
        <f t="shared" si="16"/>
        <v>6530.1034172576728</v>
      </c>
      <c r="AK84" s="133">
        <f t="shared" si="16"/>
        <v>15896.307477589995</v>
      </c>
      <c r="AL84" s="133">
        <f t="shared" si="16"/>
        <v>17809.331763089624</v>
      </c>
      <c r="AM84" s="134">
        <f t="shared" si="16"/>
        <v>10414.886099303825</v>
      </c>
      <c r="AN84" s="132">
        <f t="shared" si="16"/>
        <v>10839.9346889344</v>
      </c>
      <c r="AO84" s="133">
        <f t="shared" si="16"/>
        <v>15013.295271495384</v>
      </c>
      <c r="AP84" s="133">
        <f t="shared" si="16"/>
        <v>17877.19944548413</v>
      </c>
      <c r="AQ84" s="134">
        <f t="shared" si="16"/>
        <v>11577.864566749085</v>
      </c>
      <c r="AR84" s="132">
        <f t="shared" si="16"/>
        <v>10693.821037381909</v>
      </c>
      <c r="AS84" s="133">
        <f t="shared" si="16"/>
        <v>15031.427660788808</v>
      </c>
      <c r="AT84" s="133">
        <f t="shared" si="16"/>
        <v>18731.965982991496</v>
      </c>
      <c r="AU84" s="134">
        <f t="shared" si="16"/>
        <v>11373.333763007029</v>
      </c>
      <c r="AV84" s="132">
        <f t="shared" si="16"/>
        <v>9017.8732787035933</v>
      </c>
      <c r="AW84" s="133">
        <f t="shared" si="16"/>
        <v>9948.1849925249353</v>
      </c>
      <c r="AX84" s="133">
        <f t="shared" si="16"/>
        <v>13883.631211692675</v>
      </c>
      <c r="AY84" s="134">
        <f t="shared" si="16"/>
        <v>11092.973322603304</v>
      </c>
      <c r="AZ84" s="132">
        <f t="shared" si="16"/>
        <v>11692.380494862013</v>
      </c>
      <c r="BA84" s="133">
        <f t="shared" si="16"/>
        <v>7524.4725578801299</v>
      </c>
      <c r="BB84" s="133">
        <f t="shared" si="16"/>
        <v>12172.753499609029</v>
      </c>
      <c r="BC84" s="134">
        <f t="shared" si="16"/>
        <v>8338.7712001344389</v>
      </c>
      <c r="BD84" s="132">
        <f t="shared" si="16"/>
        <v>8403.6838355304462</v>
      </c>
      <c r="BE84" s="133">
        <f t="shared" si="16"/>
        <v>14919.633102648499</v>
      </c>
      <c r="BF84" s="133">
        <f t="shared" si="16"/>
        <v>25114.696444615587</v>
      </c>
      <c r="BG84" s="134">
        <f t="shared" si="16"/>
        <v>16027.363530693314</v>
      </c>
      <c r="BH84" s="132">
        <f t="shared" si="16"/>
        <v>13750.61712576299</v>
      </c>
      <c r="BI84" s="133">
        <f t="shared" si="16"/>
        <v>20156.248962961596</v>
      </c>
      <c r="BJ84" s="133">
        <f t="shared" si="16"/>
        <v>27264.261393898465</v>
      </c>
      <c r="BK84" s="134">
        <f t="shared" si="16"/>
        <v>0</v>
      </c>
      <c r="BL84" s="132">
        <f t="shared" si="16"/>
        <v>0</v>
      </c>
      <c r="BM84" s="133">
        <f t="shared" si="16"/>
        <v>0</v>
      </c>
      <c r="BN84" s="133">
        <f t="shared" si="16"/>
        <v>0</v>
      </c>
      <c r="BO84" s="134">
        <f t="shared" si="16"/>
        <v>0</v>
      </c>
      <c r="BP84" s="132">
        <f t="shared" si="16"/>
        <v>0</v>
      </c>
      <c r="BQ84" s="133">
        <f t="shared" si="16"/>
        <v>0</v>
      </c>
      <c r="BR84" s="133">
        <f t="shared" si="16"/>
        <v>0</v>
      </c>
      <c r="BS84" s="134">
        <f t="shared" si="16"/>
        <v>0</v>
      </c>
      <c r="BT84" s="133">
        <f t="shared" si="16"/>
        <v>0</v>
      </c>
      <c r="BU84" s="133"/>
      <c r="BV84" s="57"/>
      <c r="BW84" s="58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</row>
    <row r="85" spans="1:90" x14ac:dyDescent="0.25">
      <c r="A85" s="9"/>
      <c r="B85" s="9"/>
      <c r="C85" s="3" t="s">
        <v>9</v>
      </c>
      <c r="D85" s="3"/>
      <c r="E85" s="3"/>
      <c r="F85" s="20"/>
      <c r="G85" s="20"/>
      <c r="H85" s="132">
        <f t="shared" si="17"/>
        <v>9113.2285795179814</v>
      </c>
      <c r="I85" s="133">
        <f t="shared" si="16"/>
        <v>11808.021162619591</v>
      </c>
      <c r="J85" s="133">
        <f t="shared" si="16"/>
        <v>13306.302218469198</v>
      </c>
      <c r="K85" s="134">
        <f t="shared" si="16"/>
        <v>11262.066559223751</v>
      </c>
      <c r="L85" s="132">
        <f t="shared" si="16"/>
        <v>11819.907665011569</v>
      </c>
      <c r="M85" s="133">
        <f t="shared" si="16"/>
        <v>16078.825378220725</v>
      </c>
      <c r="N85" s="133">
        <f t="shared" si="16"/>
        <v>16385.127518381836</v>
      </c>
      <c r="O85" s="134">
        <f t="shared" si="16"/>
        <v>11789.76457805573</v>
      </c>
      <c r="P85" s="132">
        <f t="shared" si="16"/>
        <v>10089.5994270666</v>
      </c>
      <c r="Q85" s="133">
        <f t="shared" si="16"/>
        <v>11572.501136768195</v>
      </c>
      <c r="R85" s="133">
        <f t="shared" si="16"/>
        <v>14359.802654291751</v>
      </c>
      <c r="S85" s="134">
        <f t="shared" si="16"/>
        <v>12304.403480778157</v>
      </c>
      <c r="T85" s="132">
        <f t="shared" si="16"/>
        <v>9705.5393266309366</v>
      </c>
      <c r="U85" s="133">
        <f t="shared" si="16"/>
        <v>12875.782408501427</v>
      </c>
      <c r="V85" s="133">
        <f t="shared" si="16"/>
        <v>16368.132640157373</v>
      </c>
      <c r="W85" s="134">
        <f t="shared" si="16"/>
        <v>12996.524761177137</v>
      </c>
      <c r="X85" s="132">
        <f t="shared" si="16"/>
        <v>9242.5310379684161</v>
      </c>
      <c r="Y85" s="133">
        <f t="shared" si="16"/>
        <v>13487.786627077146</v>
      </c>
      <c r="Z85" s="133">
        <f t="shared" si="16"/>
        <v>16663.733140637316</v>
      </c>
      <c r="AA85" s="134">
        <f t="shared" si="16"/>
        <v>14963.672398950974</v>
      </c>
      <c r="AB85" s="132">
        <f t="shared" si="16"/>
        <v>13837.813571997416</v>
      </c>
      <c r="AC85" s="133">
        <f t="shared" si="16"/>
        <v>16523.842480591073</v>
      </c>
      <c r="AD85" s="133">
        <f t="shared" si="16"/>
        <v>20413.852022370113</v>
      </c>
      <c r="AE85" s="134">
        <f t="shared" si="16"/>
        <v>12522.041378798784</v>
      </c>
      <c r="AF85" s="132">
        <f t="shared" si="16"/>
        <v>11108.515072696338</v>
      </c>
      <c r="AG85" s="133">
        <f t="shared" si="16"/>
        <v>12433.806830513919</v>
      </c>
      <c r="AH85" s="133">
        <f t="shared" si="16"/>
        <v>13061.304513685654</v>
      </c>
      <c r="AI85" s="134">
        <f t="shared" si="16"/>
        <v>10261.20335468009</v>
      </c>
      <c r="AJ85" s="132">
        <f t="shared" si="16"/>
        <v>7363.501538865803</v>
      </c>
      <c r="AK85" s="133">
        <f t="shared" si="16"/>
        <v>12500.432966973889</v>
      </c>
      <c r="AL85" s="133">
        <f t="shared" si="16"/>
        <v>14284.951684827567</v>
      </c>
      <c r="AM85" s="134">
        <f t="shared" si="16"/>
        <v>11007.662924408609</v>
      </c>
      <c r="AN85" s="132">
        <f t="shared" si="16"/>
        <v>11338.736102616864</v>
      </c>
      <c r="AO85" s="133">
        <f t="shared" si="16"/>
        <v>11265.999175608655</v>
      </c>
      <c r="AP85" s="133">
        <f t="shared" si="16"/>
        <v>14003.834745230592</v>
      </c>
      <c r="AQ85" s="134">
        <f t="shared" si="16"/>
        <v>11134.702179369415</v>
      </c>
      <c r="AR85" s="132">
        <f t="shared" si="16"/>
        <v>11940.015325416387</v>
      </c>
      <c r="AS85" s="133">
        <f t="shared" si="16"/>
        <v>12393.288375617652</v>
      </c>
      <c r="AT85" s="133">
        <f t="shared" si="16"/>
        <v>16131.600820061782</v>
      </c>
      <c r="AU85" s="134">
        <f t="shared" si="16"/>
        <v>13824.079078230456</v>
      </c>
      <c r="AV85" s="132">
        <f t="shared" si="16"/>
        <v>12583.068232522217</v>
      </c>
      <c r="AW85" s="133">
        <f t="shared" si="16"/>
        <v>13258.66777913202</v>
      </c>
      <c r="AX85" s="133">
        <f t="shared" si="16"/>
        <v>13299.482956085158</v>
      </c>
      <c r="AY85" s="134">
        <f t="shared" si="16"/>
        <v>13071.852473720119</v>
      </c>
      <c r="AZ85" s="132">
        <f t="shared" si="16"/>
        <v>14242.342970041045</v>
      </c>
      <c r="BA85" s="133">
        <f t="shared" si="16"/>
        <v>11829.704686162802</v>
      </c>
      <c r="BB85" s="133">
        <f t="shared" si="16"/>
        <v>14228.509755955982</v>
      </c>
      <c r="BC85" s="134">
        <f t="shared" si="16"/>
        <v>11945.795274758853</v>
      </c>
      <c r="BD85" s="132">
        <f t="shared" si="16"/>
        <v>13416.024337272542</v>
      </c>
      <c r="BE85" s="133">
        <f t="shared" si="16"/>
        <v>20426.757476348979</v>
      </c>
      <c r="BF85" s="133">
        <f t="shared" si="16"/>
        <v>26724.89527375442</v>
      </c>
      <c r="BG85" s="134">
        <f t="shared" si="16"/>
        <v>18354.964648005709</v>
      </c>
      <c r="BH85" s="132">
        <f t="shared" si="16"/>
        <v>17219.688211213634</v>
      </c>
      <c r="BI85" s="133">
        <f t="shared" si="16"/>
        <v>20815.260711022453</v>
      </c>
      <c r="BJ85" s="133">
        <f t="shared" si="16"/>
        <v>28964.624896099722</v>
      </c>
      <c r="BK85" s="134">
        <f t="shared" si="16"/>
        <v>19581.881533101048</v>
      </c>
      <c r="BL85" s="132">
        <f t="shared" si="16"/>
        <v>15356.350345907844</v>
      </c>
      <c r="BM85" s="133">
        <f t="shared" si="16"/>
        <v>19125.334125334124</v>
      </c>
      <c r="BN85" s="133">
        <f t="shared" si="16"/>
        <v>23461.646136618143</v>
      </c>
      <c r="BO85" s="134">
        <f t="shared" si="16"/>
        <v>17393.977284568096</v>
      </c>
      <c r="BP85" s="132">
        <f t="shared" si="16"/>
        <v>13826.982720425345</v>
      </c>
      <c r="BQ85" s="133">
        <f t="shared" si="16"/>
        <v>17310.075431034486</v>
      </c>
      <c r="BR85" s="133">
        <f t="shared" si="16"/>
        <v>23106.344488952058</v>
      </c>
      <c r="BS85" s="134">
        <f t="shared" si="16"/>
        <v>16597.38826558764</v>
      </c>
      <c r="BT85" s="133">
        <f t="shared" si="16"/>
        <v>13774.764694267094</v>
      </c>
      <c r="BU85" s="133"/>
      <c r="BV85" s="57"/>
      <c r="BW85" s="58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</row>
    <row r="86" spans="1:90" x14ac:dyDescent="0.25">
      <c r="A86" s="9"/>
      <c r="B86" s="9"/>
      <c r="C86" s="3" t="s">
        <v>10</v>
      </c>
      <c r="D86" s="3"/>
      <c r="E86" s="3"/>
      <c r="F86" s="20"/>
      <c r="G86" s="20"/>
      <c r="H86" s="132">
        <f t="shared" si="17"/>
        <v>10395.771285362471</v>
      </c>
      <c r="I86" s="133">
        <f t="shared" si="16"/>
        <v>13613.742700895122</v>
      </c>
      <c r="J86" s="133">
        <f t="shared" si="16"/>
        <v>14374.386021465818</v>
      </c>
      <c r="K86" s="134">
        <f t="shared" si="16"/>
        <v>12177.422034658644</v>
      </c>
      <c r="L86" s="132">
        <f t="shared" si="16"/>
        <v>13275.858953925585</v>
      </c>
      <c r="M86" s="133">
        <f t="shared" si="16"/>
        <v>16807.20496059108</v>
      </c>
      <c r="N86" s="133">
        <f t="shared" si="16"/>
        <v>17485.925951732337</v>
      </c>
      <c r="O86" s="134">
        <f t="shared" si="16"/>
        <v>12130.817213967606</v>
      </c>
      <c r="P86" s="132">
        <f t="shared" si="16"/>
        <v>11049.013182683329</v>
      </c>
      <c r="Q86" s="133">
        <f t="shared" si="16"/>
        <v>12325.940521468176</v>
      </c>
      <c r="R86" s="133">
        <f t="shared" si="16"/>
        <v>15428.034651915252</v>
      </c>
      <c r="S86" s="134">
        <f t="shared" si="16"/>
        <v>12387.079637473893</v>
      </c>
      <c r="T86" s="132">
        <f t="shared" si="16"/>
        <v>10033.083930044124</v>
      </c>
      <c r="U86" s="133">
        <f t="shared" si="16"/>
        <v>13289.137488192644</v>
      </c>
      <c r="V86" s="133">
        <f t="shared" si="16"/>
        <v>16654.390895040047</v>
      </c>
      <c r="W86" s="134">
        <f t="shared" si="16"/>
        <v>13126.060960532224</v>
      </c>
      <c r="X86" s="132">
        <f t="shared" si="16"/>
        <v>9402.7428006290738</v>
      </c>
      <c r="Y86" s="133">
        <f t="shared" si="16"/>
        <v>14059.210678224254</v>
      </c>
      <c r="Z86" s="133">
        <f t="shared" si="16"/>
        <v>17536.356570896023</v>
      </c>
      <c r="AA86" s="134">
        <f t="shared" si="16"/>
        <v>15385.077375828314</v>
      </c>
      <c r="AB86" s="132">
        <f t="shared" si="16"/>
        <v>14230.261875933691</v>
      </c>
      <c r="AC86" s="133">
        <f t="shared" si="16"/>
        <v>17561.44606795469</v>
      </c>
      <c r="AD86" s="133">
        <f t="shared" si="16"/>
        <v>21548.442890936247</v>
      </c>
      <c r="AE86" s="134">
        <f t="shared" si="16"/>
        <v>12953.414370967384</v>
      </c>
      <c r="AF86" s="132">
        <f t="shared" si="16"/>
        <v>11372.234440819235</v>
      </c>
      <c r="AG86" s="133">
        <f t="shared" si="16"/>
        <v>14015.159915158292</v>
      </c>
      <c r="AH86" s="133">
        <f t="shared" si="16"/>
        <v>14551.701088090935</v>
      </c>
      <c r="AI86" s="134">
        <f t="shared" si="16"/>
        <v>10812.473057700705</v>
      </c>
      <c r="AJ86" s="132">
        <f t="shared" si="16"/>
        <v>8856.6337190036356</v>
      </c>
      <c r="AK86" s="133">
        <f t="shared" si="16"/>
        <v>13292.485205754512</v>
      </c>
      <c r="AL86" s="133">
        <f t="shared" si="16"/>
        <v>15976.476022878349</v>
      </c>
      <c r="AM86" s="134">
        <f t="shared" si="16"/>
        <v>11428.923476334026</v>
      </c>
      <c r="AN86" s="132">
        <f t="shared" si="16"/>
        <v>12258.27548176442</v>
      </c>
      <c r="AO86" s="133">
        <f t="shared" si="16"/>
        <v>12954.153203824113</v>
      </c>
      <c r="AP86" s="133">
        <f t="shared" si="16"/>
        <v>15705.73544662315</v>
      </c>
      <c r="AQ86" s="134">
        <f t="shared" si="16"/>
        <v>11985.656812367637</v>
      </c>
      <c r="AR86" s="132">
        <f t="shared" si="16"/>
        <v>13037.392121030522</v>
      </c>
      <c r="AS86" s="133">
        <f t="shared" si="16"/>
        <v>12993.77428868081</v>
      </c>
      <c r="AT86" s="133">
        <f t="shared" si="16"/>
        <v>18071.999287461495</v>
      </c>
      <c r="AU86" s="134">
        <f t="shared" si="16"/>
        <v>14343.690469261272</v>
      </c>
      <c r="AV86" s="132">
        <f t="shared" si="16"/>
        <v>13417.261236295013</v>
      </c>
      <c r="AW86" s="133">
        <f t="shared" si="16"/>
        <v>13592.310203660831</v>
      </c>
      <c r="AX86" s="133">
        <f t="shared" si="16"/>
        <v>14461.380545495143</v>
      </c>
      <c r="AY86" s="134">
        <f t="shared" si="16"/>
        <v>13573.093679514961</v>
      </c>
      <c r="AZ86" s="132">
        <f t="shared" si="16"/>
        <v>14834.890891780924</v>
      </c>
      <c r="BA86" s="133">
        <f t="shared" si="16"/>
        <v>12067.462312008762</v>
      </c>
      <c r="BB86" s="133">
        <f t="shared" si="16"/>
        <v>14870.177859117312</v>
      </c>
      <c r="BC86" s="134">
        <f t="shared" si="16"/>
        <v>12285.983177629892</v>
      </c>
      <c r="BD86" s="132">
        <f t="shared" si="16"/>
        <v>13575.871179347896</v>
      </c>
      <c r="BE86" s="133">
        <f t="shared" si="16"/>
        <v>20876.785611143277</v>
      </c>
      <c r="BF86" s="133">
        <f t="shared" si="16"/>
        <v>27702.619900219466</v>
      </c>
      <c r="BG86" s="134">
        <f t="shared" si="16"/>
        <v>18958.877001619032</v>
      </c>
      <c r="BH86" s="132">
        <f t="shared" si="16"/>
        <v>19168.930431642293</v>
      </c>
      <c r="BI86" s="133">
        <f t="shared" si="16"/>
        <v>22120.891930064463</v>
      </c>
      <c r="BJ86" s="133">
        <f t="shared" si="16"/>
        <v>30011.850678900068</v>
      </c>
      <c r="BK86" s="134">
        <f t="shared" si="16"/>
        <v>20822.299651567944</v>
      </c>
      <c r="BL86" s="132">
        <f t="shared" si="16"/>
        <v>16341.861375799503</v>
      </c>
      <c r="BM86" s="133">
        <f t="shared" si="16"/>
        <v>20086.130086130084</v>
      </c>
      <c r="BN86" s="133">
        <f t="shared" si="16"/>
        <v>25918.253079507278</v>
      </c>
      <c r="BO86" s="134">
        <f t="shared" si="16"/>
        <v>18998.645410023964</v>
      </c>
      <c r="BP86" s="132">
        <f t="shared" si="16"/>
        <v>16464.610101905182</v>
      </c>
      <c r="BQ86" s="133">
        <f t="shared" si="16"/>
        <v>18852.370689655174</v>
      </c>
      <c r="BR86" s="133">
        <f t="shared" si="16"/>
        <v>25089.804884351983</v>
      </c>
      <c r="BS86" s="134">
        <f t="shared" si="16"/>
        <v>17321.592790141622</v>
      </c>
      <c r="BT86" s="133">
        <f t="shared" si="16"/>
        <v>16118.278154413214</v>
      </c>
      <c r="BU86" s="133"/>
      <c r="BV86" s="57"/>
      <c r="BW86" s="58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</row>
    <row r="87" spans="1:90" x14ac:dyDescent="0.25">
      <c r="A87" s="9"/>
      <c r="B87" s="9"/>
      <c r="C87" s="3" t="s">
        <v>11</v>
      </c>
      <c r="D87" s="3"/>
      <c r="E87" s="3"/>
      <c r="F87" s="20"/>
      <c r="G87" s="20"/>
      <c r="H87" s="132">
        <f t="shared" si="17"/>
        <v>8638.9462280577445</v>
      </c>
      <c r="I87" s="133">
        <f t="shared" si="16"/>
        <v>12135.415252684632</v>
      </c>
      <c r="J87" s="133">
        <f t="shared" si="16"/>
        <v>13271.158085776769</v>
      </c>
      <c r="K87" s="134">
        <f t="shared" si="16"/>
        <v>11089.766033581061</v>
      </c>
      <c r="L87" s="132">
        <f t="shared" si="16"/>
        <v>12689.786021203092</v>
      </c>
      <c r="M87" s="133">
        <f t="shared" si="16"/>
        <v>15911.912314352523</v>
      </c>
      <c r="N87" s="133">
        <f t="shared" si="16"/>
        <v>14874.507669039285</v>
      </c>
      <c r="O87" s="134">
        <f t="shared" si="16"/>
        <v>10965.421803191461</v>
      </c>
      <c r="P87" s="132">
        <f t="shared" si="16"/>
        <v>9907.0606786779281</v>
      </c>
      <c r="Q87" s="133">
        <f t="shared" si="16"/>
        <v>11223.646194105933</v>
      </c>
      <c r="R87" s="133">
        <f t="shared" si="16"/>
        <v>14001.737834096473</v>
      </c>
      <c r="S87" s="134">
        <f t="shared" si="16"/>
        <v>10771.469617305944</v>
      </c>
      <c r="T87" s="132">
        <f t="shared" si="16"/>
        <v>8814.4064164053289</v>
      </c>
      <c r="U87" s="133">
        <f t="shared" si="16"/>
        <v>13675.85421855542</v>
      </c>
      <c r="V87" s="133">
        <f t="shared" si="16"/>
        <v>17301.283052033279</v>
      </c>
      <c r="W87" s="134">
        <f t="shared" ref="I87:BT91" si="18">_xlfn.XLOOKUP($C87,$C$18:$C$36,W$18:W$36)/(SUM(_xlfn.XLOOKUP($E$57,$C$7:$C$17,W$7:W$17)+_xlfn.XLOOKUP($C87,$C$56:$C$75,W$56:W$75)))*1000</f>
        <v>14880.181935339973</v>
      </c>
      <c r="X87" s="132">
        <f t="shared" si="18"/>
        <v>10009.351148717538</v>
      </c>
      <c r="Y87" s="133">
        <f t="shared" si="18"/>
        <v>25189.785428778585</v>
      </c>
      <c r="Z87" s="133">
        <f t="shared" si="18"/>
        <v>28540.625228480054</v>
      </c>
      <c r="AA87" s="134">
        <f t="shared" si="18"/>
        <v>25653.219540906415</v>
      </c>
      <c r="AB87" s="132">
        <f t="shared" si="18"/>
        <v>17768.034383267091</v>
      </c>
      <c r="AC87" s="133">
        <f t="shared" si="18"/>
        <v>20280.769801161317</v>
      </c>
      <c r="AD87" s="133">
        <f t="shared" si="18"/>
        <v>31054.161168737272</v>
      </c>
      <c r="AE87" s="134">
        <f t="shared" si="18"/>
        <v>15006.925760705422</v>
      </c>
      <c r="AF87" s="132">
        <f t="shared" si="18"/>
        <v>10913.384524303354</v>
      </c>
      <c r="AG87" s="133">
        <f t="shared" si="18"/>
        <v>13119.831354953907</v>
      </c>
      <c r="AH87" s="133">
        <f t="shared" si="18"/>
        <v>20253.307683350464</v>
      </c>
      <c r="AI87" s="134">
        <f t="shared" si="18"/>
        <v>11360.07383547877</v>
      </c>
      <c r="AJ87" s="132">
        <f t="shared" si="18"/>
        <v>7885.0786187044914</v>
      </c>
      <c r="AK87" s="133">
        <f t="shared" si="18"/>
        <v>16492.882407731864</v>
      </c>
      <c r="AL87" s="133">
        <f t="shared" si="18"/>
        <v>16023.159205975062</v>
      </c>
      <c r="AM87" s="134">
        <f t="shared" si="18"/>
        <v>10817.318031539176</v>
      </c>
      <c r="AN87" s="132">
        <f t="shared" si="18"/>
        <v>10386.210081359875</v>
      </c>
      <c r="AO87" s="133">
        <f t="shared" si="18"/>
        <v>12826.461429316261</v>
      </c>
      <c r="AP87" s="133">
        <f t="shared" si="18"/>
        <v>16309.39990546479</v>
      </c>
      <c r="AQ87" s="134">
        <f t="shared" si="18"/>
        <v>13032.031398474703</v>
      </c>
      <c r="AR87" s="132">
        <f t="shared" si="18"/>
        <v>12894.932404387077</v>
      </c>
      <c r="AS87" s="133">
        <f t="shared" si="18"/>
        <v>14239.637395951468</v>
      </c>
      <c r="AT87" s="133">
        <f t="shared" si="18"/>
        <v>18791.52450621446</v>
      </c>
      <c r="AU87" s="134">
        <f t="shared" si="18"/>
        <v>14955.979929941705</v>
      </c>
      <c r="AV87" s="132">
        <f t="shared" si="18"/>
        <v>10829.278324546336</v>
      </c>
      <c r="AW87" s="133">
        <f t="shared" si="18"/>
        <v>14352.688668619061</v>
      </c>
      <c r="AX87" s="133">
        <f t="shared" si="18"/>
        <v>13339.001576733712</v>
      </c>
      <c r="AY87" s="134">
        <f t="shared" si="18"/>
        <v>14538.231177594955</v>
      </c>
      <c r="AZ87" s="132">
        <f t="shared" si="18"/>
        <v>9056.9185203149173</v>
      </c>
      <c r="BA87" s="133">
        <f t="shared" si="18"/>
        <v>13656.526949559084</v>
      </c>
      <c r="BB87" s="133">
        <f t="shared" si="18"/>
        <v>15594.195410627797</v>
      </c>
      <c r="BC87" s="134">
        <f t="shared" si="18"/>
        <v>11870.789520337725</v>
      </c>
      <c r="BD87" s="132">
        <f t="shared" si="18"/>
        <v>12012.645353182077</v>
      </c>
      <c r="BE87" s="133">
        <f t="shared" si="18"/>
        <v>23240.069196726501</v>
      </c>
      <c r="BF87" s="133">
        <f t="shared" si="18"/>
        <v>29992.54658385093</v>
      </c>
      <c r="BG87" s="134">
        <f t="shared" si="18"/>
        <v>22493.309158223678</v>
      </c>
      <c r="BH87" s="132">
        <f t="shared" si="18"/>
        <v>13818.709746788962</v>
      </c>
      <c r="BI87" s="133">
        <f t="shared" si="18"/>
        <v>24232.257789068091</v>
      </c>
      <c r="BJ87" s="133">
        <f t="shared" si="18"/>
        <v>32708.93885067337</v>
      </c>
      <c r="BK87" s="134">
        <f t="shared" si="18"/>
        <v>19417.263034905798</v>
      </c>
      <c r="BL87" s="132">
        <f t="shared" si="18"/>
        <v>13532.080878840949</v>
      </c>
      <c r="BM87" s="133">
        <f t="shared" si="18"/>
        <v>20017.103762827825</v>
      </c>
      <c r="BN87" s="133">
        <f t="shared" si="18"/>
        <v>25848.03642572567</v>
      </c>
      <c r="BO87" s="134">
        <f t="shared" si="18"/>
        <v>16454.329518462535</v>
      </c>
      <c r="BP87" s="132">
        <f t="shared" si="18"/>
        <v>12236.374216072929</v>
      </c>
      <c r="BQ87" s="133">
        <f t="shared" si="18"/>
        <v>19711.08410962603</v>
      </c>
      <c r="BR87" s="133">
        <f t="shared" si="18"/>
        <v>25947.229551451186</v>
      </c>
      <c r="BS87" s="134">
        <f t="shared" si="18"/>
        <v>15993.547736667</v>
      </c>
      <c r="BT87" s="133">
        <f t="shared" si="18"/>
        <v>11222.119317743305</v>
      </c>
      <c r="BU87" s="133"/>
      <c r="BV87" s="57"/>
      <c r="BW87" s="58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</row>
    <row r="88" spans="1:90" x14ac:dyDescent="0.25">
      <c r="A88" s="9"/>
      <c r="B88" s="9"/>
      <c r="C88" s="3" t="s">
        <v>12</v>
      </c>
      <c r="D88" s="3"/>
      <c r="E88" s="3"/>
      <c r="F88" s="20"/>
      <c r="G88" s="20"/>
      <c r="H88" s="132">
        <f t="shared" si="17"/>
        <v>10116.312578103136</v>
      </c>
      <c r="I88" s="133">
        <f t="shared" si="18"/>
        <v>13132.394948277539</v>
      </c>
      <c r="J88" s="133">
        <f t="shared" si="18"/>
        <v>15669.384362010573</v>
      </c>
      <c r="K88" s="134">
        <f t="shared" si="18"/>
        <v>11705.895953757226</v>
      </c>
      <c r="L88" s="132">
        <f t="shared" si="18"/>
        <v>14012.952650492171</v>
      </c>
      <c r="M88" s="133">
        <f t="shared" si="18"/>
        <v>15659.596462300209</v>
      </c>
      <c r="N88" s="133">
        <f t="shared" si="18"/>
        <v>17369.158262003537</v>
      </c>
      <c r="O88" s="134">
        <f t="shared" si="18"/>
        <v>12219.176209175774</v>
      </c>
      <c r="P88" s="132">
        <f t="shared" si="18"/>
        <v>10209.817955028242</v>
      </c>
      <c r="Q88" s="133">
        <f t="shared" si="18"/>
        <v>11780.895630058483</v>
      </c>
      <c r="R88" s="133">
        <f t="shared" si="18"/>
        <v>15760.672984772656</v>
      </c>
      <c r="S88" s="134">
        <f t="shared" si="18"/>
        <v>11130.753280307054</v>
      </c>
      <c r="T88" s="132">
        <f t="shared" si="18"/>
        <v>10623.053616853351</v>
      </c>
      <c r="U88" s="133">
        <f t="shared" si="18"/>
        <v>14565.879903486924</v>
      </c>
      <c r="V88" s="133">
        <f t="shared" si="18"/>
        <v>18952.924884502187</v>
      </c>
      <c r="W88" s="134">
        <f t="shared" si="18"/>
        <v>17994.31484665813</v>
      </c>
      <c r="X88" s="132">
        <f t="shared" si="18"/>
        <v>12533.132752961035</v>
      </c>
      <c r="Y88" s="133">
        <f t="shared" si="18"/>
        <v>25132.571377746157</v>
      </c>
      <c r="Z88" s="133">
        <f t="shared" si="18"/>
        <v>28507.17689294949</v>
      </c>
      <c r="AA88" s="134">
        <f t="shared" si="18"/>
        <v>25246.286050618008</v>
      </c>
      <c r="AB88" s="132">
        <f t="shared" si="18"/>
        <v>18767.965417596803</v>
      </c>
      <c r="AC88" s="133">
        <f t="shared" si="18"/>
        <v>18148.484468223454</v>
      </c>
      <c r="AD88" s="133">
        <f t="shared" si="18"/>
        <v>33744.039288946457</v>
      </c>
      <c r="AE88" s="134">
        <f t="shared" si="18"/>
        <v>13165.47187169117</v>
      </c>
      <c r="AF88" s="132">
        <f t="shared" si="18"/>
        <v>11599.385727013672</v>
      </c>
      <c r="AG88" s="133">
        <f t="shared" si="18"/>
        <v>12978.271246875905</v>
      </c>
      <c r="AH88" s="133">
        <f t="shared" si="18"/>
        <v>19661.126808272715</v>
      </c>
      <c r="AI88" s="134">
        <f t="shared" si="18"/>
        <v>12010.954643113075</v>
      </c>
      <c r="AJ88" s="132">
        <f t="shared" si="18"/>
        <v>8412.1319370141373</v>
      </c>
      <c r="AK88" s="133">
        <f t="shared" si="18"/>
        <v>14613.523575058929</v>
      </c>
      <c r="AL88" s="133">
        <f t="shared" si="18"/>
        <v>17444.661113280701</v>
      </c>
      <c r="AM88" s="134">
        <f t="shared" si="18"/>
        <v>12443.34999958074</v>
      </c>
      <c r="AN88" s="132">
        <f t="shared" si="18"/>
        <v>10222.80005845268</v>
      </c>
      <c r="AO88" s="133">
        <f t="shared" si="18"/>
        <v>11588.422439710204</v>
      </c>
      <c r="AP88" s="133">
        <f t="shared" si="18"/>
        <v>16287.635270927247</v>
      </c>
      <c r="AQ88" s="134">
        <f t="shared" si="18"/>
        <v>10975.844997359891</v>
      </c>
      <c r="AR88" s="132">
        <f t="shared" si="18"/>
        <v>11610.232825580941</v>
      </c>
      <c r="AS88" s="133">
        <f t="shared" si="18"/>
        <v>12343.292343954992</v>
      </c>
      <c r="AT88" s="133">
        <f t="shared" si="18"/>
        <v>17874.724560347804</v>
      </c>
      <c r="AU88" s="134">
        <f t="shared" si="18"/>
        <v>13815.125180060135</v>
      </c>
      <c r="AV88" s="132">
        <f t="shared" si="18"/>
        <v>11315.799346485855</v>
      </c>
      <c r="AW88" s="133">
        <f t="shared" si="18"/>
        <v>12310.165680231012</v>
      </c>
      <c r="AX88" s="133">
        <f t="shared" si="18"/>
        <v>12548.704416453189</v>
      </c>
      <c r="AY88" s="134">
        <f t="shared" si="18"/>
        <v>11971.015775482652</v>
      </c>
      <c r="AZ88" s="132">
        <f t="shared" si="18"/>
        <v>8819.9893251464528</v>
      </c>
      <c r="BA88" s="133">
        <f t="shared" si="18"/>
        <v>9936.3930162530214</v>
      </c>
      <c r="BB88" s="133">
        <f t="shared" si="18"/>
        <v>14986.722586069605</v>
      </c>
      <c r="BC88" s="134">
        <f t="shared" si="18"/>
        <v>10985.483540348581</v>
      </c>
      <c r="BD88" s="132">
        <f t="shared" si="18"/>
        <v>10361.901180761066</v>
      </c>
      <c r="BE88" s="133">
        <f t="shared" si="18"/>
        <v>15147.688949722457</v>
      </c>
      <c r="BF88" s="133">
        <f t="shared" si="18"/>
        <v>30672.002812609873</v>
      </c>
      <c r="BG88" s="134">
        <f t="shared" si="18"/>
        <v>16949.317156855923</v>
      </c>
      <c r="BH88" s="132">
        <f t="shared" si="18"/>
        <v>11910.434651762303</v>
      </c>
      <c r="BI88" s="133">
        <f t="shared" si="18"/>
        <v>19195.503207420294</v>
      </c>
      <c r="BJ88" s="133">
        <f t="shared" si="18"/>
        <v>36279.973596430289</v>
      </c>
      <c r="BK88" s="134">
        <f t="shared" si="18"/>
        <v>19395.355630203008</v>
      </c>
      <c r="BL88" s="132">
        <f t="shared" si="18"/>
        <v>14694.316191689222</v>
      </c>
      <c r="BM88" s="133">
        <f t="shared" si="18"/>
        <v>19357.183580387686</v>
      </c>
      <c r="BN88" s="133">
        <f t="shared" si="18"/>
        <v>26502.561183836082</v>
      </c>
      <c r="BO88" s="134">
        <f t="shared" si="18"/>
        <v>16143.381559058518</v>
      </c>
      <c r="BP88" s="132">
        <f t="shared" si="18"/>
        <v>13038.081075838882</v>
      </c>
      <c r="BQ88" s="133">
        <f t="shared" si="18"/>
        <v>19592.277575266642</v>
      </c>
      <c r="BR88" s="133">
        <f t="shared" si="18"/>
        <v>25972.295514511872</v>
      </c>
      <c r="BS88" s="134">
        <f t="shared" si="18"/>
        <v>16051.01320697651</v>
      </c>
      <c r="BT88" s="133">
        <f t="shared" si="18"/>
        <v>12046.384193872038</v>
      </c>
      <c r="BU88" s="133"/>
      <c r="BV88" s="57"/>
      <c r="BW88" s="58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</row>
    <row r="89" spans="1:90" x14ac:dyDescent="0.25">
      <c r="A89" s="9"/>
      <c r="B89" s="9"/>
      <c r="C89" s="3" t="s">
        <v>13</v>
      </c>
      <c r="D89" s="3"/>
      <c r="E89" s="3"/>
      <c r="F89" s="20"/>
      <c r="G89" s="20"/>
      <c r="H89" s="132">
        <f t="shared" si="17"/>
        <v>6988.8304652661091</v>
      </c>
      <c r="I89" s="133">
        <f t="shared" si="18"/>
        <v>10989.742693148459</v>
      </c>
      <c r="J89" s="133">
        <f t="shared" si="18"/>
        <v>11550.176550369008</v>
      </c>
      <c r="K89" s="134">
        <f t="shared" si="18"/>
        <v>10380.005505092211</v>
      </c>
      <c r="L89" s="132">
        <f t="shared" si="18"/>
        <v>11724.088644899221</v>
      </c>
      <c r="M89" s="133">
        <f t="shared" si="18"/>
        <v>14173.206428596306</v>
      </c>
      <c r="N89" s="133">
        <f t="shared" si="18"/>
        <v>14646.95068557808</v>
      </c>
      <c r="O89" s="134">
        <f t="shared" si="18"/>
        <v>10304.603399048216</v>
      </c>
      <c r="P89" s="132">
        <f t="shared" si="18"/>
        <v>9033.2199233157462</v>
      </c>
      <c r="Q89" s="133">
        <f t="shared" si="18"/>
        <v>10141.333912409777</v>
      </c>
      <c r="R89" s="133">
        <f t="shared" si="18"/>
        <v>11701.007347460332</v>
      </c>
      <c r="S89" s="134">
        <f t="shared" si="18"/>
        <v>9027.8496671902558</v>
      </c>
      <c r="T89" s="132">
        <f t="shared" si="18"/>
        <v>6055.2276319706871</v>
      </c>
      <c r="U89" s="133">
        <f t="shared" si="18"/>
        <v>13641.379981320049</v>
      </c>
      <c r="V89" s="133">
        <f t="shared" si="18"/>
        <v>15320.3091120401</v>
      </c>
      <c r="W89" s="134">
        <f t="shared" si="18"/>
        <v>14091.140523386448</v>
      </c>
      <c r="X89" s="132">
        <f t="shared" si="18"/>
        <v>7149.8132989463229</v>
      </c>
      <c r="Y89" s="133">
        <f t="shared" si="18"/>
        <v>22880.83763904274</v>
      </c>
      <c r="Z89" s="133">
        <f t="shared" si="18"/>
        <v>26123.341297745636</v>
      </c>
      <c r="AA89" s="134">
        <f t="shared" si="18"/>
        <v>23968.722778104766</v>
      </c>
      <c r="AB89" s="132">
        <f t="shared" si="18"/>
        <v>15555.368771729327</v>
      </c>
      <c r="AC89" s="133">
        <f t="shared" si="18"/>
        <v>19809.333896120192</v>
      </c>
      <c r="AD89" s="133">
        <f t="shared" si="18"/>
        <v>28711.120094240454</v>
      </c>
      <c r="AE89" s="134">
        <f t="shared" si="18"/>
        <v>14154.428841714256</v>
      </c>
      <c r="AF89" s="132">
        <f t="shared" si="18"/>
        <v>10369.377813095833</v>
      </c>
      <c r="AG89" s="133">
        <f t="shared" si="18"/>
        <v>13008.995714351362</v>
      </c>
      <c r="AH89" s="133">
        <f t="shared" si="18"/>
        <v>21235.204518027524</v>
      </c>
      <c r="AI89" s="134">
        <f t="shared" si="18"/>
        <v>9959.6223524979705</v>
      </c>
      <c r="AJ89" s="132">
        <f t="shared" si="18"/>
        <v>6512.8001060495599</v>
      </c>
      <c r="AK89" s="133">
        <f t="shared" si="18"/>
        <v>17322.126083063038</v>
      </c>
      <c r="AL89" s="133">
        <f t="shared" si="18"/>
        <v>15816.962729085884</v>
      </c>
      <c r="AM89" s="134">
        <f t="shared" si="18"/>
        <v>10494.042038620468</v>
      </c>
      <c r="AN89" s="132">
        <f t="shared" si="18"/>
        <v>9639.1881450308101</v>
      </c>
      <c r="AO89" s="133">
        <f t="shared" si="18"/>
        <v>12480.538269785973</v>
      </c>
      <c r="AP89" s="133">
        <f t="shared" si="18"/>
        <v>17594.774946129666</v>
      </c>
      <c r="AQ89" s="134">
        <f t="shared" si="18"/>
        <v>13456.199187960106</v>
      </c>
      <c r="AR89" s="132">
        <f t="shared" si="18"/>
        <v>12646.990384508539</v>
      </c>
      <c r="AS89" s="133">
        <f t="shared" si="18"/>
        <v>15083.136539844198</v>
      </c>
      <c r="AT89" s="133">
        <f t="shared" si="18"/>
        <v>19073.843201794134</v>
      </c>
      <c r="AU89" s="134">
        <f t="shared" si="18"/>
        <v>14897.090357155517</v>
      </c>
      <c r="AV89" s="132">
        <f t="shared" si="18"/>
        <v>10775.387921285048</v>
      </c>
      <c r="AW89" s="133">
        <f t="shared" si="18"/>
        <v>15262.368981547854</v>
      </c>
      <c r="AX89" s="133">
        <f t="shared" si="18"/>
        <v>13172.761296506906</v>
      </c>
      <c r="AY89" s="134">
        <f t="shared" si="18"/>
        <v>13995.364217279546</v>
      </c>
      <c r="AZ89" s="132">
        <f t="shared" si="18"/>
        <v>7337.6827385669085</v>
      </c>
      <c r="BA89" s="133">
        <f t="shared" si="18"/>
        <v>14315.092056103829</v>
      </c>
      <c r="BB89" s="133">
        <f t="shared" si="18"/>
        <v>14432.4615112498</v>
      </c>
      <c r="BC89" s="134">
        <f t="shared" si="18"/>
        <v>12862.235113738352</v>
      </c>
      <c r="BD89" s="132">
        <f t="shared" si="18"/>
        <v>10537.427034944549</v>
      </c>
      <c r="BE89" s="133">
        <f t="shared" si="18"/>
        <v>21780.312432118371</v>
      </c>
      <c r="BF89" s="133">
        <f t="shared" si="18"/>
        <v>26271.744990038675</v>
      </c>
      <c r="BG89" s="134">
        <f t="shared" si="18"/>
        <v>18878.711419421605</v>
      </c>
      <c r="BH89" s="132">
        <f t="shared" si="18"/>
        <v>12050.309708006367</v>
      </c>
      <c r="BI89" s="133">
        <f t="shared" si="18"/>
        <v>23048.116641227894</v>
      </c>
      <c r="BJ89" s="133">
        <f t="shared" si="18"/>
        <v>26692.179864827089</v>
      </c>
      <c r="BK89" s="134">
        <f t="shared" si="18"/>
        <v>18244.486636483132</v>
      </c>
      <c r="BL89" s="132">
        <f t="shared" si="18"/>
        <v>12196.306320649577</v>
      </c>
      <c r="BM89" s="133">
        <f t="shared" si="18"/>
        <v>19023.660205245153</v>
      </c>
      <c r="BN89" s="133">
        <f t="shared" si="18"/>
        <v>25018.497438816165</v>
      </c>
      <c r="BO89" s="134">
        <f t="shared" si="18"/>
        <v>14894.191319369464</v>
      </c>
      <c r="BP89" s="132">
        <f t="shared" si="18"/>
        <v>10590.935540182323</v>
      </c>
      <c r="BQ89" s="133">
        <f t="shared" si="18"/>
        <v>18319.157553665453</v>
      </c>
      <c r="BR89" s="133">
        <f t="shared" si="18"/>
        <v>24336.411609498678</v>
      </c>
      <c r="BS89" s="134">
        <f t="shared" si="18"/>
        <v>14721.242060691604</v>
      </c>
      <c r="BT89" s="133">
        <f t="shared" si="18"/>
        <v>9635.7181446322447</v>
      </c>
      <c r="BU89" s="133"/>
      <c r="BV89" s="57"/>
      <c r="BW89" s="58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</row>
    <row r="90" spans="1:90" x14ac:dyDescent="0.25">
      <c r="A90" s="9"/>
      <c r="B90" s="9"/>
      <c r="C90" s="3" t="s">
        <v>14</v>
      </c>
      <c r="D90" s="3"/>
      <c r="E90" s="3"/>
      <c r="F90" s="20"/>
      <c r="G90" s="20"/>
      <c r="H90" s="132">
        <f t="shared" si="17"/>
        <v>9919.2610835882315</v>
      </c>
      <c r="I90" s="133">
        <f t="shared" si="18"/>
        <v>11692.745993405917</v>
      </c>
      <c r="J90" s="133">
        <f t="shared" si="18"/>
        <v>12257.789770679701</v>
      </c>
      <c r="K90" s="134">
        <f t="shared" si="18"/>
        <v>11268.088310995026</v>
      </c>
      <c r="L90" s="132">
        <f t="shared" si="18"/>
        <v>13179.324922055346</v>
      </c>
      <c r="M90" s="133">
        <f t="shared" si="18"/>
        <v>15235.212873897479</v>
      </c>
      <c r="N90" s="133">
        <f t="shared" si="18"/>
        <v>15590.177399757351</v>
      </c>
      <c r="O90" s="134">
        <f t="shared" si="18"/>
        <v>11187.23508220819</v>
      </c>
      <c r="P90" s="132">
        <f t="shared" si="18"/>
        <v>10824.143087419639</v>
      </c>
      <c r="Q90" s="133">
        <f t="shared" si="18"/>
        <v>10456.743299707407</v>
      </c>
      <c r="R90" s="133">
        <f t="shared" si="18"/>
        <v>12016.647781748454</v>
      </c>
      <c r="S90" s="134">
        <f t="shared" si="18"/>
        <v>9521.796811797105</v>
      </c>
      <c r="T90" s="132">
        <f t="shared" si="18"/>
        <v>15174.504065567922</v>
      </c>
      <c r="U90" s="133">
        <f t="shared" si="18"/>
        <v>10983.951259130996</v>
      </c>
      <c r="V90" s="133">
        <f t="shared" si="18"/>
        <v>9712.8146329327537</v>
      </c>
      <c r="W90" s="134">
        <f t="shared" si="18"/>
        <v>9908.5287337975878</v>
      </c>
      <c r="X90" s="132">
        <f t="shared" si="18"/>
        <v>14497.624897624897</v>
      </c>
      <c r="Y90" s="133">
        <f t="shared" si="18"/>
        <v>13935.026737967917</v>
      </c>
      <c r="Z90" s="133" t="e">
        <f t="shared" si="18"/>
        <v>#DIV/0!</v>
      </c>
      <c r="AA90" s="134" t="e">
        <f t="shared" si="18"/>
        <v>#DIV/0!</v>
      </c>
      <c r="AB90" s="132">
        <f t="shared" si="18"/>
        <v>15176.94629921321</v>
      </c>
      <c r="AC90" s="133">
        <f t="shared" si="18"/>
        <v>15394.300914173948</v>
      </c>
      <c r="AD90" s="133">
        <f t="shared" si="18"/>
        <v>12553.796965685775</v>
      </c>
      <c r="AE90" s="134">
        <f t="shared" si="18"/>
        <v>10808.548639266501</v>
      </c>
      <c r="AF90" s="132">
        <f t="shared" si="18"/>
        <v>10578.177942230295</v>
      </c>
      <c r="AG90" s="133">
        <f t="shared" si="18"/>
        <v>10939.069256265882</v>
      </c>
      <c r="AH90" s="133" t="e">
        <f t="shared" si="18"/>
        <v>#DIV/0!</v>
      </c>
      <c r="AI90" s="134">
        <f t="shared" si="18"/>
        <v>10659.09454487282</v>
      </c>
      <c r="AJ90" s="132">
        <f t="shared" si="18"/>
        <v>12816.927747831647</v>
      </c>
      <c r="AK90" s="133">
        <f t="shared" si="18"/>
        <v>14732.258367967643</v>
      </c>
      <c r="AL90" s="133">
        <f t="shared" si="18"/>
        <v>13528.673138131642</v>
      </c>
      <c r="AM90" s="134">
        <f t="shared" si="18"/>
        <v>10078.397792951424</v>
      </c>
      <c r="AN90" s="132">
        <f t="shared" si="18"/>
        <v>10793.298682886449</v>
      </c>
      <c r="AO90" s="133">
        <f t="shared" si="18"/>
        <v>10884.649170678595</v>
      </c>
      <c r="AP90" s="133">
        <f t="shared" si="18"/>
        <v>14207.557699884348</v>
      </c>
      <c r="AQ90" s="134">
        <f t="shared" si="18"/>
        <v>12897.82393223172</v>
      </c>
      <c r="AR90" s="132">
        <f t="shared" si="18"/>
        <v>11543.916375924828</v>
      </c>
      <c r="AS90" s="133">
        <f t="shared" si="18"/>
        <v>12986.951466546503</v>
      </c>
      <c r="AT90" s="133">
        <f t="shared" si="18"/>
        <v>14673.869593761001</v>
      </c>
      <c r="AU90" s="134">
        <f t="shared" si="18"/>
        <v>10822.152774538614</v>
      </c>
      <c r="AV90" s="132">
        <f t="shared" si="18"/>
        <v>10310.828308473498</v>
      </c>
      <c r="AW90" s="133">
        <f t="shared" si="18"/>
        <v>12499.903648342492</v>
      </c>
      <c r="AX90" s="133">
        <f t="shared" si="18"/>
        <v>11849.182248187302</v>
      </c>
      <c r="AY90" s="134">
        <f t="shared" si="18"/>
        <v>12600.077373360638</v>
      </c>
      <c r="AZ90" s="132">
        <f t="shared" si="18"/>
        <v>10205.672842039674</v>
      </c>
      <c r="BA90" s="133">
        <f t="shared" si="18"/>
        <v>13119.969764036548</v>
      </c>
      <c r="BB90" s="133">
        <f t="shared" si="18"/>
        <v>12947.912033887447</v>
      </c>
      <c r="BC90" s="134">
        <f t="shared" si="18"/>
        <v>14015.876778914813</v>
      </c>
      <c r="BD90" s="132">
        <f t="shared" si="18"/>
        <v>12001.278989966053</v>
      </c>
      <c r="BE90" s="133">
        <f t="shared" si="18"/>
        <v>15260.763363266267</v>
      </c>
      <c r="BF90" s="133">
        <f t="shared" si="18"/>
        <v>14665.106199429007</v>
      </c>
      <c r="BG90" s="134">
        <f t="shared" si="18"/>
        <v>12860.211987129651</v>
      </c>
      <c r="BH90" s="132">
        <f t="shared" si="18"/>
        <v>14516.102613644196</v>
      </c>
      <c r="BI90" s="133">
        <f t="shared" si="18"/>
        <v>17192.695598214006</v>
      </c>
      <c r="BJ90" s="133">
        <f t="shared" si="18"/>
        <v>20159.742237172693</v>
      </c>
      <c r="BK90" s="134">
        <f t="shared" si="18"/>
        <v>0</v>
      </c>
      <c r="BL90" s="132">
        <f t="shared" si="18"/>
        <v>0</v>
      </c>
      <c r="BM90" s="133">
        <f t="shared" si="18"/>
        <v>0</v>
      </c>
      <c r="BN90" s="133">
        <f t="shared" si="18"/>
        <v>0</v>
      </c>
      <c r="BO90" s="134">
        <f t="shared" si="18"/>
        <v>0</v>
      </c>
      <c r="BP90" s="132">
        <f t="shared" si="18"/>
        <v>0</v>
      </c>
      <c r="BQ90" s="133">
        <f t="shared" si="18"/>
        <v>0</v>
      </c>
      <c r="BR90" s="133">
        <f t="shared" si="18"/>
        <v>0</v>
      </c>
      <c r="BS90" s="134">
        <f t="shared" si="18"/>
        <v>0</v>
      </c>
      <c r="BT90" s="133">
        <f t="shared" si="18"/>
        <v>0</v>
      </c>
      <c r="BU90" s="133"/>
      <c r="BV90" s="57"/>
      <c r="BW90" s="58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</row>
    <row r="91" spans="1:90" x14ac:dyDescent="0.25">
      <c r="A91" s="9"/>
      <c r="B91" s="9"/>
      <c r="C91" s="3" t="s">
        <v>15</v>
      </c>
      <c r="D91" s="3"/>
      <c r="E91" s="3"/>
      <c r="F91" s="20"/>
      <c r="G91" s="20"/>
      <c r="H91" s="132">
        <f t="shared" si="17"/>
        <v>9353.8185717074939</v>
      </c>
      <c r="I91" s="133">
        <f t="shared" si="18"/>
        <v>10153.616086484972</v>
      </c>
      <c r="J91" s="133">
        <f t="shared" si="18"/>
        <v>11706.82218374337</v>
      </c>
      <c r="K91" s="134">
        <f t="shared" si="18"/>
        <v>9956.4831938380594</v>
      </c>
      <c r="L91" s="132">
        <f t="shared" si="18"/>
        <v>12262.521729860036</v>
      </c>
      <c r="M91" s="133">
        <f t="shared" si="18"/>
        <v>13882.976279879842</v>
      </c>
      <c r="N91" s="133">
        <f t="shared" si="18"/>
        <v>14023.046535114219</v>
      </c>
      <c r="O91" s="134">
        <f t="shared" si="18"/>
        <v>9922.7368551190775</v>
      </c>
      <c r="P91" s="132">
        <f t="shared" si="18"/>
        <v>9999.5867438192981</v>
      </c>
      <c r="Q91" s="133">
        <f t="shared" si="18"/>
        <v>9955.9979630102807</v>
      </c>
      <c r="R91" s="133">
        <f t="shared" si="18"/>
        <v>12378.994160202214</v>
      </c>
      <c r="S91" s="134">
        <f t="shared" si="18"/>
        <v>9371.1166911273303</v>
      </c>
      <c r="T91" s="132">
        <f t="shared" si="18"/>
        <v>15648.673134361201</v>
      </c>
      <c r="U91" s="133">
        <f t="shared" si="18"/>
        <v>9970.2232712190289</v>
      </c>
      <c r="V91" s="133">
        <f t="shared" ref="I91:BT95" si="19">_xlfn.XLOOKUP($C91,$C$18:$C$36,V$18:V$36)/(SUM(_xlfn.XLOOKUP($E$57,$C$7:$C$17,V$7:V$17)+_xlfn.XLOOKUP($C91,$C$56:$C$75,V$56:V$75)))*1000</f>
        <v>9548.9936641200802</v>
      </c>
      <c r="W91" s="134">
        <f t="shared" si="19"/>
        <v>9531.043223832703</v>
      </c>
      <c r="X91" s="132">
        <f t="shared" si="19"/>
        <v>13792.579511329512</v>
      </c>
      <c r="Y91" s="133">
        <f t="shared" si="19"/>
        <v>12340.499108734404</v>
      </c>
      <c r="Z91" s="133" t="e">
        <f t="shared" si="19"/>
        <v>#DIV/0!</v>
      </c>
      <c r="AA91" s="134" t="e">
        <f t="shared" si="19"/>
        <v>#DIV/0!</v>
      </c>
      <c r="AB91" s="132">
        <f t="shared" si="19"/>
        <v>15172.172545394405</v>
      </c>
      <c r="AC91" s="133">
        <f t="shared" si="19"/>
        <v>14075.400393390662</v>
      </c>
      <c r="AD91" s="133">
        <f t="shared" si="19"/>
        <v>12592.863139078394</v>
      </c>
      <c r="AE91" s="134">
        <f t="shared" si="19"/>
        <v>11111.482099795958</v>
      </c>
      <c r="AF91" s="132">
        <f t="shared" si="19"/>
        <v>10337.045984108601</v>
      </c>
      <c r="AG91" s="133">
        <f t="shared" si="19"/>
        <v>10958.608582034931</v>
      </c>
      <c r="AH91" s="133" t="e">
        <f t="shared" si="19"/>
        <v>#DIV/0!</v>
      </c>
      <c r="AI91" s="134">
        <f t="shared" si="19"/>
        <v>10552.631578947368</v>
      </c>
      <c r="AJ91" s="132">
        <f t="shared" si="19"/>
        <v>11106.219984373645</v>
      </c>
      <c r="AK91" s="133">
        <f t="shared" si="19"/>
        <v>11116.423800547425</v>
      </c>
      <c r="AL91" s="133">
        <f t="shared" si="19"/>
        <v>12676.749728674282</v>
      </c>
      <c r="AM91" s="134">
        <f t="shared" si="19"/>
        <v>9387.1986424114184</v>
      </c>
      <c r="AN91" s="132">
        <f t="shared" si="19"/>
        <v>10256.427682683205</v>
      </c>
      <c r="AO91" s="133">
        <f t="shared" si="19"/>
        <v>10424.968537993085</v>
      </c>
      <c r="AP91" s="133">
        <f t="shared" si="19"/>
        <v>12433.329197539495</v>
      </c>
      <c r="AQ91" s="134">
        <f t="shared" si="19"/>
        <v>10917.501060463163</v>
      </c>
      <c r="AR91" s="132">
        <f t="shared" si="19"/>
        <v>11095.484833518869</v>
      </c>
      <c r="AS91" s="133">
        <f t="shared" si="19"/>
        <v>11341.425714036719</v>
      </c>
      <c r="AT91" s="133">
        <f t="shared" si="19"/>
        <v>13005.245364042028</v>
      </c>
      <c r="AU91" s="134">
        <f t="shared" si="19"/>
        <v>9640.9907178506473</v>
      </c>
      <c r="AV91" s="132">
        <f t="shared" si="19"/>
        <v>9763.4846080609314</v>
      </c>
      <c r="AW91" s="133">
        <f t="shared" si="19"/>
        <v>11009.187260748418</v>
      </c>
      <c r="AX91" s="133">
        <f t="shared" si="19"/>
        <v>11214.901420006619</v>
      </c>
      <c r="AY91" s="134">
        <f t="shared" si="19"/>
        <v>10854.687107313393</v>
      </c>
      <c r="AZ91" s="132">
        <f t="shared" si="19"/>
        <v>9624.008481017614</v>
      </c>
      <c r="BA91" s="133">
        <f t="shared" si="19"/>
        <v>11364.988952057774</v>
      </c>
      <c r="BB91" s="133">
        <f t="shared" si="19"/>
        <v>12642.438924728243</v>
      </c>
      <c r="BC91" s="134">
        <f t="shared" si="19"/>
        <v>10305.716729697328</v>
      </c>
      <c r="BD91" s="132">
        <f t="shared" si="19"/>
        <v>11148.649371144726</v>
      </c>
      <c r="BE91" s="133">
        <f t="shared" si="19"/>
        <v>13788.480475007716</v>
      </c>
      <c r="BF91" s="133">
        <f t="shared" si="19"/>
        <v>15243.432998691722</v>
      </c>
      <c r="BG91" s="134">
        <f t="shared" si="19"/>
        <v>11551.762657877358</v>
      </c>
      <c r="BH91" s="132">
        <f t="shared" si="19"/>
        <v>13967.636889074369</v>
      </c>
      <c r="BI91" s="133">
        <f t="shared" si="19"/>
        <v>14035.377703197822</v>
      </c>
      <c r="BJ91" s="133">
        <f t="shared" si="19"/>
        <v>16786.669108044061</v>
      </c>
      <c r="BK91" s="134">
        <f t="shared" si="19"/>
        <v>12903.4222384606</v>
      </c>
      <c r="BL91" s="132">
        <f t="shared" si="19"/>
        <v>13709.192870018023</v>
      </c>
      <c r="BM91" s="133">
        <f t="shared" si="19"/>
        <v>13298.004284586763</v>
      </c>
      <c r="BN91" s="133">
        <f t="shared" si="19"/>
        <v>16412.345930528678</v>
      </c>
      <c r="BO91" s="134">
        <f t="shared" si="19"/>
        <v>11045.091376618608</v>
      </c>
      <c r="BP91" s="132">
        <f t="shared" si="19"/>
        <v>12457.361052184982</v>
      </c>
      <c r="BQ91" s="133">
        <f t="shared" si="19"/>
        <v>12387.345197210949</v>
      </c>
      <c r="BR91" s="133">
        <f t="shared" si="19"/>
        <v>16044.654027523819</v>
      </c>
      <c r="BS91" s="134">
        <f t="shared" si="19"/>
        <v>10984.77598956068</v>
      </c>
      <c r="BT91" s="133">
        <f t="shared" si="19"/>
        <v>13115.442106473498</v>
      </c>
      <c r="BU91" s="133"/>
      <c r="BV91" s="57"/>
      <c r="BW91" s="58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</row>
    <row r="92" spans="1:90" x14ac:dyDescent="0.25">
      <c r="A92" s="9"/>
      <c r="B92" s="9"/>
      <c r="C92" s="3" t="s">
        <v>16</v>
      </c>
      <c r="D92" s="3"/>
      <c r="E92" s="3"/>
      <c r="F92" s="20"/>
      <c r="G92" s="20"/>
      <c r="H92" s="132">
        <f t="shared" si="17"/>
        <v>10982.938058617096</v>
      </c>
      <c r="I92" s="133">
        <f t="shared" si="19"/>
        <v>10174.009022248962</v>
      </c>
      <c r="J92" s="133">
        <f t="shared" si="19"/>
        <v>29164.820142048087</v>
      </c>
      <c r="K92" s="134">
        <f t="shared" si="19"/>
        <v>9432.3273150178265</v>
      </c>
      <c r="L92" s="132">
        <f t="shared" si="19"/>
        <v>10394.117264939096</v>
      </c>
      <c r="M92" s="133">
        <f t="shared" si="19"/>
        <v>16411.090993704463</v>
      </c>
      <c r="N92" s="133">
        <f t="shared" si="19"/>
        <v>14471.794025551042</v>
      </c>
      <c r="O92" s="134">
        <f t="shared" si="19"/>
        <v>9271.632096097017</v>
      </c>
      <c r="P92" s="132">
        <f t="shared" si="19"/>
        <v>8680.5794528427596</v>
      </c>
      <c r="Q92" s="133">
        <f t="shared" si="19"/>
        <v>10303.891873994549</v>
      </c>
      <c r="R92" s="133">
        <f t="shared" si="19"/>
        <v>12146.439466573696</v>
      </c>
      <c r="S92" s="134">
        <f t="shared" si="19"/>
        <v>10060.828687082892</v>
      </c>
      <c r="T92" s="132">
        <f t="shared" si="19"/>
        <v>11115.729144348796</v>
      </c>
      <c r="U92" s="133">
        <f t="shared" si="19"/>
        <v>10090.39167728579</v>
      </c>
      <c r="V92" s="133">
        <f t="shared" si="19"/>
        <v>11239.827877614978</v>
      </c>
      <c r="W92" s="134">
        <f t="shared" si="19"/>
        <v>9506.2500576205402</v>
      </c>
      <c r="X92" s="132">
        <f t="shared" si="19"/>
        <v>9799.1242053742062</v>
      </c>
      <c r="Y92" s="133">
        <f t="shared" si="19"/>
        <v>11094.046345811052</v>
      </c>
      <c r="Z92" s="133" t="e">
        <f t="shared" si="19"/>
        <v>#DIV/0!</v>
      </c>
      <c r="AA92" s="134" t="e">
        <f t="shared" si="19"/>
        <v>#DIV/0!</v>
      </c>
      <c r="AB92" s="132">
        <f t="shared" si="19"/>
        <v>11203.722050060016</v>
      </c>
      <c r="AC92" s="133">
        <f t="shared" si="19"/>
        <v>12850.887183036113</v>
      </c>
      <c r="AD92" s="133">
        <f t="shared" si="19"/>
        <v>12097.94872665151</v>
      </c>
      <c r="AE92" s="134">
        <f t="shared" si="19"/>
        <v>10134.615894215229</v>
      </c>
      <c r="AF92" s="132">
        <f t="shared" si="19"/>
        <v>10326.922314213476</v>
      </c>
      <c r="AG92" s="133">
        <f t="shared" si="19"/>
        <v>12614.08023562469</v>
      </c>
      <c r="AH92" s="133" t="e">
        <f t="shared" si="19"/>
        <v>#DIV/0!</v>
      </c>
      <c r="AI92" s="134">
        <f t="shared" si="19"/>
        <v>10222.859615188841</v>
      </c>
      <c r="AJ92" s="132">
        <f t="shared" si="19"/>
        <v>11406.881800029993</v>
      </c>
      <c r="AK92" s="133">
        <f t="shared" si="19"/>
        <v>12901.485590482302</v>
      </c>
      <c r="AL92" s="133">
        <f t="shared" si="19"/>
        <v>20957.813939232128</v>
      </c>
      <c r="AM92" s="134">
        <f t="shared" si="19"/>
        <v>9128.8690107212842</v>
      </c>
      <c r="AN92" s="132">
        <f t="shared" si="19"/>
        <v>10019.643680383087</v>
      </c>
      <c r="AO92" s="133">
        <f t="shared" si="19"/>
        <v>11716.039114145609</v>
      </c>
      <c r="AP92" s="133">
        <f t="shared" si="19"/>
        <v>58540.590295870781</v>
      </c>
      <c r="AQ92" s="134">
        <f t="shared" si="19"/>
        <v>12316.139233071986</v>
      </c>
      <c r="AR92" s="132">
        <f t="shared" si="19"/>
        <v>12476.642578897303</v>
      </c>
      <c r="AS92" s="133">
        <f t="shared" si="19"/>
        <v>15133.503663443576</v>
      </c>
      <c r="AT92" s="133">
        <f t="shared" si="19"/>
        <v>17979.782878274189</v>
      </c>
      <c r="AU92" s="134">
        <f t="shared" si="19"/>
        <v>11697.087861685093</v>
      </c>
      <c r="AV92" s="132">
        <f t="shared" si="19"/>
        <v>180329.06802073412</v>
      </c>
      <c r="AW92" s="133">
        <f t="shared" si="19"/>
        <v>15392.3074919924</v>
      </c>
      <c r="AX92" s="133">
        <f t="shared" si="19"/>
        <v>12339.500284199026</v>
      </c>
      <c r="AY92" s="134">
        <f t="shared" si="19"/>
        <v>11151.327970700266</v>
      </c>
      <c r="AZ92" s="132">
        <f t="shared" si="19"/>
        <v>9704.2587022202715</v>
      </c>
      <c r="BA92" s="133">
        <f t="shared" si="19"/>
        <v>14817.717432182186</v>
      </c>
      <c r="BB92" s="133">
        <f t="shared" si="19"/>
        <v>16271.200921269077</v>
      </c>
      <c r="BC92" s="134">
        <f t="shared" si="19"/>
        <v>10545.536708968337</v>
      </c>
      <c r="BD92" s="132">
        <f t="shared" si="19"/>
        <v>11211.061627164865</v>
      </c>
      <c r="BE92" s="133">
        <f t="shared" si="19"/>
        <v>30242.996986177564</v>
      </c>
      <c r="BF92" s="133">
        <f t="shared" si="19"/>
        <v>74102.118329616409</v>
      </c>
      <c r="BG92" s="134">
        <f t="shared" si="19"/>
        <v>13050.717967103728</v>
      </c>
      <c r="BH92" s="132">
        <f t="shared" si="19"/>
        <v>15435.244751364209</v>
      </c>
      <c r="BI92" s="133">
        <f t="shared" si="19"/>
        <v>21810.288342763626</v>
      </c>
      <c r="BJ92" s="133">
        <f t="shared" si="19"/>
        <v>21495.302210304591</v>
      </c>
      <c r="BK92" s="134">
        <f t="shared" si="19"/>
        <v>16986.968700523685</v>
      </c>
      <c r="BL92" s="132">
        <f t="shared" si="19"/>
        <v>17158.021229721609</v>
      </c>
      <c r="BM92" s="133">
        <f t="shared" si="19"/>
        <v>18030.217611906643</v>
      </c>
      <c r="BN92" s="133">
        <f t="shared" si="19"/>
        <v>25180.808801059382</v>
      </c>
      <c r="BO92" s="134">
        <f t="shared" si="19"/>
        <v>13312.51721921205</v>
      </c>
      <c r="BP92" s="132">
        <f t="shared" si="19"/>
        <v>16088.247772592278</v>
      </c>
      <c r="BQ92" s="133">
        <f t="shared" si="19"/>
        <v>15752.939952128216</v>
      </c>
      <c r="BR92" s="133">
        <f t="shared" si="19"/>
        <v>23154.653065152539</v>
      </c>
      <c r="BS92" s="134">
        <f t="shared" si="19"/>
        <v>11899.086559373642</v>
      </c>
      <c r="BT92" s="133">
        <f t="shared" si="19"/>
        <v>16445.325974473955</v>
      </c>
      <c r="BU92" s="133"/>
      <c r="BV92" s="57"/>
      <c r="BW92" s="58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</row>
    <row r="93" spans="1:90" x14ac:dyDescent="0.25">
      <c r="A93" s="9"/>
      <c r="B93" s="9"/>
      <c r="C93" s="3" t="s">
        <v>17</v>
      </c>
      <c r="D93" s="3"/>
      <c r="E93" s="3"/>
      <c r="F93" s="20"/>
      <c r="G93" s="20"/>
      <c r="H93" s="132">
        <f t="shared" si="17"/>
        <v>11258.397063398308</v>
      </c>
      <c r="I93" s="133">
        <f t="shared" si="19"/>
        <v>9699.1491999051887</v>
      </c>
      <c r="J93" s="133">
        <f t="shared" si="19"/>
        <v>29404.778772396181</v>
      </c>
      <c r="K93" s="134">
        <f t="shared" si="19"/>
        <v>9173.7526453261144</v>
      </c>
      <c r="L93" s="132">
        <f t="shared" si="19"/>
        <v>10331.584066002208</v>
      </c>
      <c r="M93" s="133">
        <f t="shared" si="19"/>
        <v>16171.177437523969</v>
      </c>
      <c r="N93" s="133">
        <f t="shared" si="19"/>
        <v>14549.574756774377</v>
      </c>
      <c r="O93" s="134">
        <f t="shared" si="19"/>
        <v>9290.9446595811132</v>
      </c>
      <c r="P93" s="132">
        <f t="shared" si="19"/>
        <v>8704.8825685581032</v>
      </c>
      <c r="Q93" s="133">
        <f t="shared" si="19"/>
        <v>9835.5238770464366</v>
      </c>
      <c r="R93" s="133">
        <f t="shared" si="19"/>
        <v>11664.847903774078</v>
      </c>
      <c r="S93" s="134">
        <f t="shared" si="19"/>
        <v>9330.5488331506913</v>
      </c>
      <c r="T93" s="132">
        <f t="shared" si="19"/>
        <v>11277.709430889978</v>
      </c>
      <c r="U93" s="133">
        <f t="shared" si="19"/>
        <v>9510.0208376786359</v>
      </c>
      <c r="V93" s="133">
        <f t="shared" si="19"/>
        <v>10792.46257808474</v>
      </c>
      <c r="W93" s="134">
        <f t="shared" si="19"/>
        <v>9643.6925441477197</v>
      </c>
      <c r="X93" s="132">
        <f t="shared" si="19"/>
        <v>9785.8863733863745</v>
      </c>
      <c r="Y93" s="133">
        <f t="shared" si="19"/>
        <v>10656.244800950684</v>
      </c>
      <c r="Z93" s="133" t="e">
        <f t="shared" si="19"/>
        <v>#DIV/0!</v>
      </c>
      <c r="AA93" s="134" t="e">
        <f t="shared" si="19"/>
        <v>#DIV/0!</v>
      </c>
      <c r="AB93" s="132">
        <f t="shared" si="19"/>
        <v>10910.756839461012</v>
      </c>
      <c r="AC93" s="133">
        <f t="shared" si="19"/>
        <v>11803.242905440908</v>
      </c>
      <c r="AD93" s="133">
        <f t="shared" si="19"/>
        <v>10832.367489167204</v>
      </c>
      <c r="AE93" s="134">
        <f t="shared" si="19"/>
        <v>8986.6709065373507</v>
      </c>
      <c r="AF93" s="132">
        <f t="shared" si="19"/>
        <v>8049.2367530342863</v>
      </c>
      <c r="AG93" s="133">
        <f t="shared" si="19"/>
        <v>8874.3758152583596</v>
      </c>
      <c r="AH93" s="133" t="e">
        <f t="shared" si="19"/>
        <v>#DIV/0!</v>
      </c>
      <c r="AI93" s="134">
        <f t="shared" si="19"/>
        <v>8127.0996640537514</v>
      </c>
      <c r="AJ93" s="132">
        <f t="shared" si="19"/>
        <v>11192.87572311359</v>
      </c>
      <c r="AK93" s="133">
        <f t="shared" si="19"/>
        <v>12953.961561772006</v>
      </c>
      <c r="AL93" s="133">
        <f t="shared" si="19"/>
        <v>20873.683592108271</v>
      </c>
      <c r="AM93" s="134">
        <f t="shared" si="19"/>
        <v>8988.1327517385143</v>
      </c>
      <c r="AN93" s="132">
        <f t="shared" si="19"/>
        <v>9759.2869641945381</v>
      </c>
      <c r="AO93" s="133">
        <f t="shared" si="19"/>
        <v>11065.627708132519</v>
      </c>
      <c r="AP93" s="133">
        <f t="shared" si="19"/>
        <v>58477.209371782992</v>
      </c>
      <c r="AQ93" s="134">
        <f t="shared" si="19"/>
        <v>11794.281263149735</v>
      </c>
      <c r="AR93" s="132">
        <f t="shared" si="19"/>
        <v>12238.114825689878</v>
      </c>
      <c r="AS93" s="133">
        <f t="shared" si="19"/>
        <v>14142.476177520253</v>
      </c>
      <c r="AT93" s="133">
        <f t="shared" si="19"/>
        <v>17246.790271069149</v>
      </c>
      <c r="AU93" s="134">
        <f t="shared" si="19"/>
        <v>10840.269291167189</v>
      </c>
      <c r="AV93" s="132">
        <f t="shared" si="19"/>
        <v>179952.35163440171</v>
      </c>
      <c r="AW93" s="133">
        <f t="shared" si="19"/>
        <v>13658.8630504414</v>
      </c>
      <c r="AX93" s="133">
        <f t="shared" si="19"/>
        <v>12139.252126550116</v>
      </c>
      <c r="AY93" s="134">
        <f t="shared" si="19"/>
        <v>10528.06362509362</v>
      </c>
      <c r="AZ93" s="132">
        <f t="shared" si="19"/>
        <v>9239.2161998323008</v>
      </c>
      <c r="BA93" s="133">
        <f t="shared" si="19"/>
        <v>11172.431395827001</v>
      </c>
      <c r="BB93" s="133">
        <f t="shared" si="19"/>
        <v>16418.953325707687</v>
      </c>
      <c r="BC93" s="134">
        <f t="shared" si="19"/>
        <v>9925.7599437736662</v>
      </c>
      <c r="BD93" s="132">
        <f t="shared" si="19"/>
        <v>10679.348940520529</v>
      </c>
      <c r="BE93" s="133">
        <f t="shared" si="19"/>
        <v>27965.614453283648</v>
      </c>
      <c r="BF93" s="133">
        <f t="shared" si="19"/>
        <v>73439.043054163267</v>
      </c>
      <c r="BG93" s="134">
        <f t="shared" si="19"/>
        <v>12495.00906845911</v>
      </c>
      <c r="BH93" s="132">
        <f t="shared" si="19"/>
        <v>15356.875802842826</v>
      </c>
      <c r="BI93" s="133">
        <f t="shared" si="19"/>
        <v>19323.217484432902</v>
      </c>
      <c r="BJ93" s="133">
        <f t="shared" si="19"/>
        <v>20828.836293503427</v>
      </c>
      <c r="BK93" s="134">
        <f t="shared" si="19"/>
        <v>14040.92071611253</v>
      </c>
      <c r="BL93" s="132">
        <f t="shared" si="19"/>
        <v>17063.889445223311</v>
      </c>
      <c r="BM93" s="133">
        <f t="shared" si="19"/>
        <v>15679.332506483255</v>
      </c>
      <c r="BN93" s="133">
        <f t="shared" si="19"/>
        <v>25256.188244881327</v>
      </c>
      <c r="BO93" s="134">
        <f t="shared" si="19"/>
        <v>11711.819267150335</v>
      </c>
      <c r="BP93" s="132">
        <f t="shared" si="19"/>
        <v>15820.958845990668</v>
      </c>
      <c r="BQ93" s="133">
        <f t="shared" si="19"/>
        <v>14331.356020397547</v>
      </c>
      <c r="BR93" s="133">
        <f t="shared" si="19"/>
        <v>22609.950919064573</v>
      </c>
      <c r="BS93" s="134">
        <f t="shared" si="19"/>
        <v>10575.032622879513</v>
      </c>
      <c r="BT93" s="133">
        <f t="shared" si="19"/>
        <v>17084.626882833159</v>
      </c>
      <c r="BU93" s="133"/>
      <c r="BV93" s="57"/>
      <c r="BW93" s="58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</row>
    <row r="94" spans="1:90" x14ac:dyDescent="0.25">
      <c r="A94" s="9"/>
      <c r="B94" s="9"/>
      <c r="C94" s="3" t="s">
        <v>18</v>
      </c>
      <c r="D94" s="3"/>
      <c r="E94" s="3"/>
      <c r="F94" s="20"/>
      <c r="G94" s="20"/>
      <c r="H94" s="132">
        <f t="shared" si="17"/>
        <v>11600.390545003029</v>
      </c>
      <c r="I94" s="133">
        <f t="shared" si="19"/>
        <v>9826.6707974119217</v>
      </c>
      <c r="J94" s="133">
        <f t="shared" si="19"/>
        <v>28635.455850955412</v>
      </c>
      <c r="K94" s="134">
        <f t="shared" si="19"/>
        <v>9459.3048750262169</v>
      </c>
      <c r="L94" s="132">
        <f t="shared" si="19"/>
        <v>10520.946450600448</v>
      </c>
      <c r="M94" s="133">
        <f t="shared" si="19"/>
        <v>16072.269702852698</v>
      </c>
      <c r="N94" s="133">
        <f t="shared" si="19"/>
        <v>14182.947187637983</v>
      </c>
      <c r="O94" s="134">
        <f t="shared" si="19"/>
        <v>9592.9272157985706</v>
      </c>
      <c r="P94" s="132">
        <f t="shared" si="19"/>
        <v>8617.8358739436062</v>
      </c>
      <c r="Q94" s="133">
        <f t="shared" si="19"/>
        <v>10071.582193974684</v>
      </c>
      <c r="R94" s="133">
        <f t="shared" si="19"/>
        <v>11836.049856184085</v>
      </c>
      <c r="S94" s="134">
        <f t="shared" si="19"/>
        <v>9744.8083584576816</v>
      </c>
      <c r="T94" s="132">
        <f t="shared" si="19"/>
        <v>11105.355292766057</v>
      </c>
      <c r="U94" s="133">
        <f t="shared" si="19"/>
        <v>9663.5539866064573</v>
      </c>
      <c r="V94" s="133">
        <f t="shared" si="19"/>
        <v>11040.920225186916</v>
      </c>
      <c r="W94" s="134">
        <f t="shared" si="19"/>
        <v>9590.7895947722209</v>
      </c>
      <c r="X94" s="132">
        <f t="shared" si="19"/>
        <v>9745.4462579462579</v>
      </c>
      <c r="Y94" s="133">
        <f t="shared" si="19"/>
        <v>10973.850267379679</v>
      </c>
      <c r="Z94" s="133" t="e">
        <f t="shared" si="19"/>
        <v>#DIV/0!</v>
      </c>
      <c r="AA94" s="134" t="e">
        <f t="shared" si="19"/>
        <v>#DIV/0!</v>
      </c>
      <c r="AB94" s="132">
        <f t="shared" si="19"/>
        <v>10978.59387986229</v>
      </c>
      <c r="AC94" s="133">
        <f t="shared" si="19"/>
        <v>12393.265594130062</v>
      </c>
      <c r="AD94" s="133">
        <f t="shared" si="19"/>
        <v>11175.514600233062</v>
      </c>
      <c r="AE94" s="134">
        <f t="shared" si="19"/>
        <v>9875.9837824946317</v>
      </c>
      <c r="AF94" s="132">
        <f t="shared" si="19"/>
        <v>8976.1937705346572</v>
      </c>
      <c r="AG94" s="133">
        <f t="shared" si="19"/>
        <v>10500.050690771004</v>
      </c>
      <c r="AH94" s="133" t="e">
        <f t="shared" si="19"/>
        <v>#DIV/0!</v>
      </c>
      <c r="AI94" s="134">
        <f t="shared" si="19"/>
        <v>9207.1006820726871</v>
      </c>
      <c r="AJ94" s="132">
        <f t="shared" si="19"/>
        <v>11562.42061732</v>
      </c>
      <c r="AK94" s="133">
        <f t="shared" si="19"/>
        <v>12627.530263537059</v>
      </c>
      <c r="AL94" s="133">
        <f t="shared" si="19"/>
        <v>20738.936930558659</v>
      </c>
      <c r="AM94" s="134">
        <f t="shared" si="19"/>
        <v>8736.1367233769397</v>
      </c>
      <c r="AN94" s="132">
        <f t="shared" si="19"/>
        <v>9945.9492685731857</v>
      </c>
      <c r="AO94" s="133">
        <f t="shared" si="19"/>
        <v>10732.010109923058</v>
      </c>
      <c r="AP94" s="133">
        <f t="shared" si="19"/>
        <v>57860.622450211609</v>
      </c>
      <c r="AQ94" s="134">
        <f t="shared" si="19"/>
        <v>11975.567660302455</v>
      </c>
      <c r="AR94" s="132">
        <f t="shared" si="19"/>
        <v>12180.059027077501</v>
      </c>
      <c r="AS94" s="133">
        <f t="shared" si="19"/>
        <v>14207.994745557</v>
      </c>
      <c r="AT94" s="133">
        <f t="shared" si="19"/>
        <v>16731.532125832917</v>
      </c>
      <c r="AU94" s="134">
        <f t="shared" si="19"/>
        <v>11123.174277407217</v>
      </c>
      <c r="AV94" s="132">
        <f t="shared" si="19"/>
        <v>178826.03829472122</v>
      </c>
      <c r="AW94" s="133">
        <f t="shared" si="19"/>
        <v>13449.654956902164</v>
      </c>
      <c r="AX94" s="133">
        <f t="shared" si="19"/>
        <v>11724.847308511635</v>
      </c>
      <c r="AY94" s="134">
        <f t="shared" si="19"/>
        <v>10157.376724365176</v>
      </c>
      <c r="AZ94" s="132">
        <f t="shared" si="19"/>
        <v>8485.8317564562221</v>
      </c>
      <c r="BA94" s="133">
        <f t="shared" si="19"/>
        <v>11319.213483802967</v>
      </c>
      <c r="BB94" s="133">
        <f t="shared" si="19"/>
        <v>15455.044565232358</v>
      </c>
      <c r="BC94" s="134">
        <f t="shared" si="19"/>
        <v>10002.236354218518</v>
      </c>
      <c r="BD94" s="132">
        <f t="shared" si="19"/>
        <v>10465.673184598951</v>
      </c>
      <c r="BE94" s="133">
        <f t="shared" si="19"/>
        <v>28311.260915745712</v>
      </c>
      <c r="BF94" s="133">
        <f t="shared" si="19"/>
        <v>70328.029888645848</v>
      </c>
      <c r="BG94" s="134">
        <f t="shared" si="19"/>
        <v>12654.61547380083</v>
      </c>
      <c r="BH94" s="132">
        <f t="shared" si="19"/>
        <v>14566.748618232441</v>
      </c>
      <c r="BI94" s="133">
        <f t="shared" si="19"/>
        <v>21454.73615705155</v>
      </c>
      <c r="BJ94" s="133">
        <f t="shared" si="19"/>
        <v>20522.825988235734</v>
      </c>
      <c r="BK94" s="134">
        <f t="shared" si="19"/>
        <v>15339.179149920838</v>
      </c>
      <c r="BL94" s="132">
        <f t="shared" si="19"/>
        <v>16225.716002403364</v>
      </c>
      <c r="BM94" s="133">
        <f t="shared" si="19"/>
        <v>18075.318525200135</v>
      </c>
      <c r="BN94" s="133">
        <f t="shared" si="19"/>
        <v>24208.006519303246</v>
      </c>
      <c r="BO94" s="134">
        <f t="shared" si="19"/>
        <v>12902.011203967309</v>
      </c>
      <c r="BP94" s="132">
        <f t="shared" si="19"/>
        <v>14738.226559185407</v>
      </c>
      <c r="BQ94" s="133">
        <f t="shared" si="19"/>
        <v>15293.995212821315</v>
      </c>
      <c r="BR94" s="133">
        <f t="shared" si="19"/>
        <v>21551.342507939564</v>
      </c>
      <c r="BS94" s="134">
        <f t="shared" si="19"/>
        <v>11553.719008264465</v>
      </c>
      <c r="BT94" s="133">
        <f t="shared" si="19"/>
        <v>16234.908589168679</v>
      </c>
      <c r="BU94" s="133"/>
      <c r="BV94" s="57"/>
      <c r="BW94" s="58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</row>
    <row r="95" spans="1:90" x14ac:dyDescent="0.25">
      <c r="A95" s="9"/>
      <c r="B95" s="9"/>
      <c r="C95" s="3" t="s">
        <v>19</v>
      </c>
      <c r="D95" s="3"/>
      <c r="E95" s="3"/>
      <c r="F95" s="20"/>
      <c r="G95" s="20"/>
      <c r="H95" s="132">
        <f t="shared" si="17"/>
        <v>7868.6098854529637</v>
      </c>
      <c r="I95" s="133">
        <f t="shared" si="19"/>
        <v>8392.7174233413043</v>
      </c>
      <c r="J95" s="133">
        <f t="shared" si="19"/>
        <v>9952.3042151387726</v>
      </c>
      <c r="K95" s="134">
        <f t="shared" si="19"/>
        <v>9122.2447776576009</v>
      </c>
      <c r="L95" s="132">
        <f t="shared" si="19"/>
        <v>9104.7491220994089</v>
      </c>
      <c r="M95" s="133">
        <f t="shared" si="19"/>
        <v>10222.712804926252</v>
      </c>
      <c r="N95" s="133">
        <f t="shared" si="19"/>
        <v>11500.174863480081</v>
      </c>
      <c r="O95" s="134">
        <f t="shared" si="19"/>
        <v>8278.8329905746068</v>
      </c>
      <c r="P95" s="132">
        <f t="shared" si="19"/>
        <v>8643.4625995493971</v>
      </c>
      <c r="Q95" s="133">
        <f t="shared" si="19"/>
        <v>9332.5599048811655</v>
      </c>
      <c r="R95" s="133">
        <f t="shared" si="19"/>
        <v>10797.865760770217</v>
      </c>
      <c r="S95" s="134">
        <f t="shared" si="19"/>
        <v>9162.0032917315348</v>
      </c>
      <c r="T95" s="132">
        <f t="shared" si="19"/>
        <v>8479.6690390369695</v>
      </c>
      <c r="U95" s="133">
        <f t="shared" ref="I95:BT99" si="20">_xlfn.XLOOKUP($C95,$C$18:$C$36,U$18:U$36)/(SUM(_xlfn.XLOOKUP($E$57,$C$7:$C$17,U$7:U$17)+_xlfn.XLOOKUP($C95,$C$56:$C$75,U$56:U$75)))*1000</f>
        <v>8774.7752575081558</v>
      </c>
      <c r="V95" s="133">
        <f t="shared" si="20"/>
        <v>9549.2794678751925</v>
      </c>
      <c r="W95" s="134">
        <f t="shared" si="20"/>
        <v>8945.9739702517163</v>
      </c>
      <c r="X95" s="132">
        <f t="shared" si="20"/>
        <v>8696.9655663693447</v>
      </c>
      <c r="Y95" s="133">
        <f t="shared" si="20"/>
        <v>9609.4443681255179</v>
      </c>
      <c r="Z95" s="133">
        <f t="shared" si="20"/>
        <v>10739.594937650245</v>
      </c>
      <c r="AA95" s="134">
        <f t="shared" si="20"/>
        <v>9412.2104170329621</v>
      </c>
      <c r="AB95" s="132">
        <f t="shared" si="20"/>
        <v>9082.8495511861674</v>
      </c>
      <c r="AC95" s="133">
        <f t="shared" si="20"/>
        <v>10487.802809183666</v>
      </c>
      <c r="AD95" s="133">
        <f t="shared" si="20"/>
        <v>11862.554146631101</v>
      </c>
      <c r="AE95" s="134">
        <f t="shared" si="20"/>
        <v>8154.8861550605116</v>
      </c>
      <c r="AF95" s="132">
        <f t="shared" si="20"/>
        <v>7290.8755399766096</v>
      </c>
      <c r="AG95" s="133">
        <f t="shared" si="20"/>
        <v>10390.687222025732</v>
      </c>
      <c r="AH95" s="133">
        <f t="shared" si="20"/>
        <v>13376.001901993859</v>
      </c>
      <c r="AI95" s="134">
        <f t="shared" si="20"/>
        <v>6977.6686271436956</v>
      </c>
      <c r="AJ95" s="132">
        <f t="shared" si="20"/>
        <v>6720.0782135858635</v>
      </c>
      <c r="AK95" s="133">
        <f t="shared" si="20"/>
        <v>8843.28628879184</v>
      </c>
      <c r="AL95" s="133">
        <f t="shared" si="20"/>
        <v>9810.8313718183308</v>
      </c>
      <c r="AM95" s="134">
        <f t="shared" si="20"/>
        <v>5718.1334335519105</v>
      </c>
      <c r="AN95" s="132">
        <f t="shared" si="20"/>
        <v>5904.0529487417416</v>
      </c>
      <c r="AO95" s="133">
        <f t="shared" si="20"/>
        <v>7242.510936667577</v>
      </c>
      <c r="AP95" s="133">
        <f t="shared" si="20"/>
        <v>13209.203102499554</v>
      </c>
      <c r="AQ95" s="134">
        <f t="shared" si="20"/>
        <v>7051.9509605066842</v>
      </c>
      <c r="AR95" s="132">
        <f t="shared" si="20"/>
        <v>6598.0086684569651</v>
      </c>
      <c r="AS95" s="133">
        <f t="shared" si="20"/>
        <v>10476.638482435732</v>
      </c>
      <c r="AT95" s="133">
        <f t="shared" si="20"/>
        <v>36063.17980362683</v>
      </c>
      <c r="AU95" s="134">
        <f t="shared" si="20"/>
        <v>8197.3647856378029</v>
      </c>
      <c r="AV95" s="132">
        <f t="shared" si="20"/>
        <v>5003.9329749383905</v>
      </c>
      <c r="AW95" s="133">
        <f t="shared" si="20"/>
        <v>18361.137844887322</v>
      </c>
      <c r="AX95" s="133">
        <f t="shared" si="20"/>
        <v>11959.000847758</v>
      </c>
      <c r="AY95" s="134">
        <f t="shared" si="20"/>
        <v>7508.0340561081966</v>
      </c>
      <c r="AZ95" s="132">
        <f t="shared" si="20"/>
        <v>7718.1200979024679</v>
      </c>
      <c r="BA95" s="133">
        <f t="shared" si="20"/>
        <v>8988.5713993097161</v>
      </c>
      <c r="BB95" s="133">
        <f t="shared" si="20"/>
        <v>14911.317219015491</v>
      </c>
      <c r="BC95" s="134">
        <f t="shared" si="20"/>
        <v>8116.6345156908656</v>
      </c>
      <c r="BD95" s="132">
        <f t="shared" si="20"/>
        <v>8029.684386727904</v>
      </c>
      <c r="BE95" s="133">
        <f t="shared" si="20"/>
        <v>10214.015143826631</v>
      </c>
      <c r="BF95" s="133">
        <f t="shared" si="20"/>
        <v>18739.283455892873</v>
      </c>
      <c r="BG95" s="134">
        <f t="shared" si="20"/>
        <v>8713.1922073149981</v>
      </c>
      <c r="BH95" s="132">
        <f t="shared" si="20"/>
        <v>12475.348954675261</v>
      </c>
      <c r="BI95" s="133">
        <f t="shared" si="20"/>
        <v>12688.439176091268</v>
      </c>
      <c r="BJ95" s="133">
        <f t="shared" si="20"/>
        <v>30226.306892240857</v>
      </c>
      <c r="BK95" s="134">
        <f t="shared" si="20"/>
        <v>11023.693552381739</v>
      </c>
      <c r="BL95" s="132">
        <f t="shared" si="20"/>
        <v>8268.9973294488955</v>
      </c>
      <c r="BM95" s="133">
        <f t="shared" si="20"/>
        <v>9676.0237448435437</v>
      </c>
      <c r="BN95" s="133">
        <f t="shared" si="20"/>
        <v>19375.613587276657</v>
      </c>
      <c r="BO95" s="134">
        <f t="shared" si="20"/>
        <v>9228.1293624941809</v>
      </c>
      <c r="BP95" s="132">
        <f t="shared" si="20"/>
        <v>8104.1867437627161</v>
      </c>
      <c r="BQ95" s="133">
        <f t="shared" si="20"/>
        <v>8286.7292103105938</v>
      </c>
      <c r="BR95" s="133">
        <f t="shared" si="20"/>
        <v>19323.089700996679</v>
      </c>
      <c r="BS95" s="134">
        <f t="shared" si="20"/>
        <v>9042.1286031042127</v>
      </c>
      <c r="BT95" s="133">
        <f t="shared" si="20"/>
        <v>8180.5091956279875</v>
      </c>
      <c r="BU95" s="133"/>
      <c r="BV95" s="57"/>
      <c r="BW95" s="58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</row>
    <row r="96" spans="1:90" x14ac:dyDescent="0.25">
      <c r="A96" s="9"/>
      <c r="B96" s="9"/>
      <c r="C96" s="3" t="s">
        <v>20</v>
      </c>
      <c r="D96" s="3"/>
      <c r="E96" s="3"/>
      <c r="F96" s="20"/>
      <c r="G96" s="20"/>
      <c r="H96" s="132">
        <f t="shared" si="17"/>
        <v>8712.8945464401313</v>
      </c>
      <c r="I96" s="133">
        <f t="shared" si="20"/>
        <v>8386.8559380068418</v>
      </c>
      <c r="J96" s="133">
        <f t="shared" si="20"/>
        <v>9816.3069212409246</v>
      </c>
      <c r="K96" s="134">
        <f t="shared" si="20"/>
        <v>9336.5449057202786</v>
      </c>
      <c r="L96" s="132">
        <f t="shared" si="20"/>
        <v>9981.816509260394</v>
      </c>
      <c r="M96" s="133">
        <f t="shared" si="20"/>
        <v>12150.397798354581</v>
      </c>
      <c r="N96" s="133">
        <f t="shared" si="20"/>
        <v>13493.008972111733</v>
      </c>
      <c r="O96" s="134">
        <f t="shared" si="20"/>
        <v>10924.844724940363</v>
      </c>
      <c r="P96" s="132">
        <f t="shared" si="20"/>
        <v>12916.99688877169</v>
      </c>
      <c r="Q96" s="133">
        <f t="shared" si="20"/>
        <v>12553.195315001165</v>
      </c>
      <c r="R96" s="133">
        <f t="shared" si="20"/>
        <v>12849.407790506366</v>
      </c>
      <c r="S96" s="134">
        <f t="shared" si="20"/>
        <v>11416.580289614287</v>
      </c>
      <c r="T96" s="132">
        <f t="shared" si="20"/>
        <v>10171.040379669532</v>
      </c>
      <c r="U96" s="133">
        <f t="shared" si="20"/>
        <v>10586.970005725316</v>
      </c>
      <c r="V96" s="133">
        <f t="shared" si="20"/>
        <v>11664.405309471487</v>
      </c>
      <c r="W96" s="134">
        <f t="shared" si="20"/>
        <v>11608.230835240272</v>
      </c>
      <c r="X96" s="132">
        <f t="shared" si="20"/>
        <v>11549.973358442174</v>
      </c>
      <c r="Y96" s="133">
        <f t="shared" si="20"/>
        <v>11553.297355897424</v>
      </c>
      <c r="Z96" s="133">
        <f t="shared" si="20"/>
        <v>12776.520826686661</v>
      </c>
      <c r="AA96" s="134">
        <f t="shared" si="20"/>
        <v>12614.504056463969</v>
      </c>
      <c r="AB96" s="132">
        <f t="shared" si="20"/>
        <v>11902.780300389613</v>
      </c>
      <c r="AC96" s="133">
        <f t="shared" si="20"/>
        <v>11604.598249444076</v>
      </c>
      <c r="AD96" s="133">
        <f t="shared" si="20"/>
        <v>13039.500632741525</v>
      </c>
      <c r="AE96" s="134">
        <f t="shared" si="20"/>
        <v>11308.690715218545</v>
      </c>
      <c r="AF96" s="132">
        <f t="shared" si="20"/>
        <v>9159.1381710595124</v>
      </c>
      <c r="AG96" s="133">
        <f t="shared" si="20"/>
        <v>10193.268506541139</v>
      </c>
      <c r="AH96" s="133">
        <f t="shared" si="20"/>
        <v>14630.996276224108</v>
      </c>
      <c r="AI96" s="134">
        <f t="shared" si="20"/>
        <v>10965.672227335428</v>
      </c>
      <c r="AJ96" s="132">
        <f t="shared" si="20"/>
        <v>9507.7642218087512</v>
      </c>
      <c r="AK96" s="133">
        <f t="shared" si="20"/>
        <v>9544.1422590095426</v>
      </c>
      <c r="AL96" s="133">
        <f t="shared" si="20"/>
        <v>10383.56999267943</v>
      </c>
      <c r="AM96" s="134">
        <f t="shared" si="20"/>
        <v>8391.9739636456397</v>
      </c>
      <c r="AN96" s="132">
        <f t="shared" si="20"/>
        <v>7892.0976917773132</v>
      </c>
      <c r="AO96" s="133">
        <f t="shared" si="20"/>
        <v>9296.2848746507989</v>
      </c>
      <c r="AP96" s="133">
        <f t="shared" si="20"/>
        <v>12735.446822062606</v>
      </c>
      <c r="AQ96" s="134">
        <f t="shared" si="20"/>
        <v>9238.1544571760951</v>
      </c>
      <c r="AR96" s="132">
        <f t="shared" si="20"/>
        <v>10030.671427387497</v>
      </c>
      <c r="AS96" s="133">
        <f t="shared" si="20"/>
        <v>11327.185835537981</v>
      </c>
      <c r="AT96" s="133">
        <f t="shared" si="20"/>
        <v>22779.701905142618</v>
      </c>
      <c r="AU96" s="134">
        <f t="shared" si="20"/>
        <v>10058.282469544829</v>
      </c>
      <c r="AV96" s="132">
        <f t="shared" si="20"/>
        <v>5680.6258395137693</v>
      </c>
      <c r="AW96" s="133">
        <f t="shared" si="20"/>
        <v>11082.675846309494</v>
      </c>
      <c r="AX96" s="133">
        <f t="shared" si="20"/>
        <v>10837.570396041861</v>
      </c>
      <c r="AY96" s="134">
        <f t="shared" si="20"/>
        <v>9645.1497957125284</v>
      </c>
      <c r="AZ96" s="132">
        <f t="shared" si="20"/>
        <v>9207.9329875205294</v>
      </c>
      <c r="BA96" s="133">
        <f t="shared" si="20"/>
        <v>8189.4910949293835</v>
      </c>
      <c r="BB96" s="133">
        <f t="shared" si="20"/>
        <v>12390.562567667277</v>
      </c>
      <c r="BC96" s="134">
        <f t="shared" si="20"/>
        <v>8761.6640701337219</v>
      </c>
      <c r="BD96" s="132">
        <f t="shared" si="20"/>
        <v>8328.4160993464375</v>
      </c>
      <c r="BE96" s="133">
        <f t="shared" si="20"/>
        <v>7692.4596070409871</v>
      </c>
      <c r="BF96" s="133">
        <f t="shared" si="20"/>
        <v>13181.850052934275</v>
      </c>
      <c r="BG96" s="134">
        <f t="shared" si="20"/>
        <v>8770.6132534818807</v>
      </c>
      <c r="BH96" s="132">
        <f t="shared" si="20"/>
        <v>10954.10899340532</v>
      </c>
      <c r="BI96" s="133">
        <f t="shared" si="20"/>
        <v>5750.2770567992811</v>
      </c>
      <c r="BJ96" s="133">
        <f t="shared" si="20"/>
        <v>21900.742308201992</v>
      </c>
      <c r="BK96" s="134">
        <f t="shared" si="20"/>
        <v>10488.731115330636</v>
      </c>
      <c r="BL96" s="132">
        <f t="shared" si="20"/>
        <v>7777.3731488225294</v>
      </c>
      <c r="BM96" s="133">
        <f t="shared" si="20"/>
        <v>5431.1298923432942</v>
      </c>
      <c r="BN96" s="133">
        <f t="shared" si="20"/>
        <v>12376.464428300284</v>
      </c>
      <c r="BO96" s="134">
        <f t="shared" si="20"/>
        <v>9406.1191251744985</v>
      </c>
      <c r="BP96" s="132">
        <f t="shared" si="20"/>
        <v>8194.6675232894322</v>
      </c>
      <c r="BQ96" s="133">
        <f t="shared" si="20"/>
        <v>4880.2258857819479</v>
      </c>
      <c r="BR96" s="133">
        <f t="shared" si="20"/>
        <v>11543.663977218794</v>
      </c>
      <c r="BS96" s="134">
        <f t="shared" si="20"/>
        <v>9363.6363636363658</v>
      </c>
      <c r="BT96" s="133">
        <f t="shared" si="20"/>
        <v>8400.0916290333134</v>
      </c>
      <c r="BU96" s="133"/>
      <c r="BV96" s="57"/>
      <c r="BW96" s="58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</row>
    <row r="97" spans="1:90" x14ac:dyDescent="0.25">
      <c r="A97" s="9"/>
      <c r="B97" s="9"/>
      <c r="C97" s="3" t="s">
        <v>21</v>
      </c>
      <c r="D97" s="3"/>
      <c r="E97" s="3"/>
      <c r="F97" s="20"/>
      <c r="G97" s="20"/>
      <c r="H97" s="132">
        <f t="shared" si="17"/>
        <v>8587.6385493692269</v>
      </c>
      <c r="I97" s="133">
        <f t="shared" si="20"/>
        <v>7916.6945677366348</v>
      </c>
      <c r="J97" s="133">
        <f t="shared" si="20"/>
        <v>9240.0922558303937</v>
      </c>
      <c r="K97" s="134">
        <f t="shared" si="20"/>
        <v>9619.2598937969833</v>
      </c>
      <c r="L97" s="132">
        <f t="shared" si="20"/>
        <v>9774.6526206417202</v>
      </c>
      <c r="M97" s="133">
        <f t="shared" si="20"/>
        <v>10442.61884421084</v>
      </c>
      <c r="N97" s="133">
        <f t="shared" si="20"/>
        <v>12180.556485941454</v>
      </c>
      <c r="O97" s="134">
        <f t="shared" si="20"/>
        <v>10526.753937296367</v>
      </c>
      <c r="P97" s="132">
        <f t="shared" si="20"/>
        <v>10949.601031360791</v>
      </c>
      <c r="Q97" s="133">
        <f t="shared" si="20"/>
        <v>10830.506996851733</v>
      </c>
      <c r="R97" s="133">
        <f t="shared" si="20"/>
        <v>12248.194278984565</v>
      </c>
      <c r="S97" s="134">
        <f t="shared" si="20"/>
        <v>11463.870925547235</v>
      </c>
      <c r="T97" s="132">
        <f t="shared" si="20"/>
        <v>10189.697490568802</v>
      </c>
      <c r="U97" s="133">
        <f t="shared" si="20"/>
        <v>10763.382935596046</v>
      </c>
      <c r="V97" s="133">
        <f t="shared" si="20"/>
        <v>11499.948088646759</v>
      </c>
      <c r="W97" s="134">
        <f t="shared" si="20"/>
        <v>11945.73489832536</v>
      </c>
      <c r="X97" s="132">
        <f t="shared" si="20"/>
        <v>11926.913512999789</v>
      </c>
      <c r="Y97" s="133">
        <f t="shared" si="20"/>
        <v>13370.988210478101</v>
      </c>
      <c r="Z97" s="133">
        <f t="shared" si="20"/>
        <v>13162.932697463539</v>
      </c>
      <c r="AA97" s="134">
        <f t="shared" si="20"/>
        <v>13204.993103832679</v>
      </c>
      <c r="AB97" s="132">
        <f t="shared" si="20"/>
        <v>12560.259536038084</v>
      </c>
      <c r="AC97" s="133">
        <f t="shared" si="20"/>
        <v>12523.460757976871</v>
      </c>
      <c r="AD97" s="133">
        <f t="shared" si="20"/>
        <v>13344.024835173015</v>
      </c>
      <c r="AE97" s="134">
        <f t="shared" si="20"/>
        <v>12185.802564248123</v>
      </c>
      <c r="AF97" s="132">
        <f t="shared" si="20"/>
        <v>10020.574085898546</v>
      </c>
      <c r="AG97" s="133">
        <f t="shared" si="20"/>
        <v>12713.150662260488</v>
      </c>
      <c r="AH97" s="133">
        <f t="shared" si="20"/>
        <v>18243.927297925809</v>
      </c>
      <c r="AI97" s="134">
        <f t="shared" si="20"/>
        <v>11844.988750689816</v>
      </c>
      <c r="AJ97" s="132">
        <f t="shared" si="20"/>
        <v>9750.9872132380606</v>
      </c>
      <c r="AK97" s="133">
        <f t="shared" si="20"/>
        <v>11463.624590480256</v>
      </c>
      <c r="AL97" s="133">
        <f t="shared" si="20"/>
        <v>14679.89843845844</v>
      </c>
      <c r="AM97" s="134">
        <f t="shared" si="20"/>
        <v>10309.447411057534</v>
      </c>
      <c r="AN97" s="132">
        <f t="shared" si="20"/>
        <v>10484.866253771321</v>
      </c>
      <c r="AO97" s="133">
        <f t="shared" si="20"/>
        <v>10575.681166781553</v>
      </c>
      <c r="AP97" s="133">
        <f t="shared" si="20"/>
        <v>14742.866802210783</v>
      </c>
      <c r="AQ97" s="134">
        <f t="shared" si="20"/>
        <v>8623.9973845697732</v>
      </c>
      <c r="AR97" s="132">
        <f t="shared" si="20"/>
        <v>10571.935688831183</v>
      </c>
      <c r="AS97" s="133">
        <f t="shared" si="20"/>
        <v>15041.600804580488</v>
      </c>
      <c r="AT97" s="133">
        <f t="shared" si="20"/>
        <v>23386.328334720831</v>
      </c>
      <c r="AU97" s="134">
        <f t="shared" si="20"/>
        <v>11083.882481510946</v>
      </c>
      <c r="AV97" s="132">
        <f t="shared" si="20"/>
        <v>6758.4503151960143</v>
      </c>
      <c r="AW97" s="133">
        <f t="shared" si="20"/>
        <v>14514.152349682867</v>
      </c>
      <c r="AX97" s="133">
        <f t="shared" si="20"/>
        <v>15114.343692286648</v>
      </c>
      <c r="AY97" s="134">
        <f t="shared" si="20"/>
        <v>9761.2140685065133</v>
      </c>
      <c r="AZ97" s="132">
        <f t="shared" si="20"/>
        <v>10549.651408463358</v>
      </c>
      <c r="BA97" s="133">
        <f t="shared" si="20"/>
        <v>10290.661709732592</v>
      </c>
      <c r="BB97" s="133">
        <f t="shared" si="20"/>
        <v>16238.067047044486</v>
      </c>
      <c r="BC97" s="134">
        <f t="shared" si="20"/>
        <v>10566.76711149376</v>
      </c>
      <c r="BD97" s="132">
        <f t="shared" si="20"/>
        <v>9940.2379075984645</v>
      </c>
      <c r="BE97" s="133">
        <f t="shared" si="20"/>
        <v>8384.0246400923988</v>
      </c>
      <c r="BF97" s="133">
        <f t="shared" si="20"/>
        <v>12882.328526576572</v>
      </c>
      <c r="BG97" s="134">
        <f t="shared" si="20"/>
        <v>11263.781882304072</v>
      </c>
      <c r="BH97" s="132">
        <f t="shared" si="20"/>
        <v>17141.936149219287</v>
      </c>
      <c r="BI97" s="133">
        <f t="shared" si="20"/>
        <v>14549.61265593254</v>
      </c>
      <c r="BJ97" s="133">
        <f t="shared" si="20"/>
        <v>26063.178231796199</v>
      </c>
      <c r="BK97" s="134">
        <f t="shared" si="20"/>
        <v>13478.906959465039</v>
      </c>
      <c r="BL97" s="132">
        <f t="shared" si="20"/>
        <v>10887.958242291817</v>
      </c>
      <c r="BM97" s="133">
        <f t="shared" si="20"/>
        <v>10810.946775329508</v>
      </c>
      <c r="BN97" s="133">
        <f t="shared" si="20"/>
        <v>12622.55383205707</v>
      </c>
      <c r="BO97" s="134">
        <f t="shared" si="20"/>
        <v>12199.860400186131</v>
      </c>
      <c r="BP97" s="132">
        <f t="shared" si="20"/>
        <v>11096.477138879964</v>
      </c>
      <c r="BQ97" s="133">
        <f t="shared" si="20"/>
        <v>9853.3564076874045</v>
      </c>
      <c r="BR97" s="133">
        <f t="shared" si="20"/>
        <v>11899.027052681538</v>
      </c>
      <c r="BS97" s="134">
        <f t="shared" si="20"/>
        <v>11677.383592017743</v>
      </c>
      <c r="BT97" s="133">
        <f t="shared" si="20"/>
        <v>11085.476798219777</v>
      </c>
      <c r="BU97" s="133"/>
      <c r="BV97" s="57"/>
      <c r="BW97" s="58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</row>
    <row r="98" spans="1:90" x14ac:dyDescent="0.25">
      <c r="A98" s="9"/>
      <c r="B98" s="9"/>
      <c r="C98" s="3" t="s">
        <v>22</v>
      </c>
      <c r="D98" s="3"/>
      <c r="E98" s="3"/>
      <c r="F98" s="20"/>
      <c r="G98" s="20"/>
      <c r="H98" s="132">
        <f t="shared" si="17"/>
        <v>6300.4650329492133</v>
      </c>
      <c r="I98" s="133">
        <f t="shared" si="20"/>
        <v>6276.9546109439107</v>
      </c>
      <c r="J98" s="133">
        <f t="shared" si="20"/>
        <v>7828.3339470904384</v>
      </c>
      <c r="K98" s="134">
        <f t="shared" si="20"/>
        <v>8491.1878498992501</v>
      </c>
      <c r="L98" s="132">
        <f t="shared" si="20"/>
        <v>8294.7510138199414</v>
      </c>
      <c r="M98" s="133">
        <f t="shared" si="20"/>
        <v>4660.9345109783262</v>
      </c>
      <c r="N98" s="133">
        <f t="shared" si="20"/>
        <v>8632.6291508423401</v>
      </c>
      <c r="O98" s="134">
        <f t="shared" si="20"/>
        <v>7838.2354508687304</v>
      </c>
      <c r="P98" s="132">
        <f t="shared" si="20"/>
        <v>8075.8635838930741</v>
      </c>
      <c r="Q98" s="133">
        <f t="shared" si="20"/>
        <v>8091.9358425922283</v>
      </c>
      <c r="R98" s="133">
        <f t="shared" si="20"/>
        <v>10951.509277313995</v>
      </c>
      <c r="S98" s="134">
        <f t="shared" si="20"/>
        <v>10769.332035499809</v>
      </c>
      <c r="T98" s="132">
        <f t="shared" si="20"/>
        <v>8534.6275638196112</v>
      </c>
      <c r="U98" s="133">
        <f t="shared" si="20"/>
        <v>6981.111984473795</v>
      </c>
      <c r="V98" s="133">
        <f t="shared" si="20"/>
        <v>9081.0580978050511</v>
      </c>
      <c r="W98" s="134">
        <f t="shared" si="20"/>
        <v>8146.4887442391127</v>
      </c>
      <c r="X98" s="132">
        <f t="shared" si="20"/>
        <v>7044.2786742988164</v>
      </c>
      <c r="Y98" s="133">
        <f t="shared" si="20"/>
        <v>10392.209704517267</v>
      </c>
      <c r="Z98" s="133">
        <f t="shared" si="20"/>
        <v>10556.634945163707</v>
      </c>
      <c r="AA98" s="134">
        <f t="shared" si="20"/>
        <v>8820.7474108122133</v>
      </c>
      <c r="AB98" s="132">
        <f t="shared" si="20"/>
        <v>8289.0893229132671</v>
      </c>
      <c r="AC98" s="133">
        <f t="shared" si="20"/>
        <v>7545.548082607881</v>
      </c>
      <c r="AD98" s="133">
        <f t="shared" si="20"/>
        <v>10787.02801155728</v>
      </c>
      <c r="AE98" s="134">
        <f t="shared" si="20"/>
        <v>8488.3537018865591</v>
      </c>
      <c r="AF98" s="132">
        <f t="shared" si="20"/>
        <v>7162.2049431236392</v>
      </c>
      <c r="AG98" s="133">
        <f t="shared" si="20"/>
        <v>5049.6931119159699</v>
      </c>
      <c r="AH98" s="133">
        <f t="shared" si="20"/>
        <v>11730.610249926354</v>
      </c>
      <c r="AI98" s="134">
        <f t="shared" si="20"/>
        <v>6161.8786746975256</v>
      </c>
      <c r="AJ98" s="132">
        <f t="shared" si="20"/>
        <v>5481.043950606113</v>
      </c>
      <c r="AK98" s="133">
        <f t="shared" si="20"/>
        <v>5307.9729399271464</v>
      </c>
      <c r="AL98" s="133">
        <f t="shared" si="20"/>
        <v>7831.0213527825799</v>
      </c>
      <c r="AM98" s="134">
        <f t="shared" si="20"/>
        <v>7792.5602789529166</v>
      </c>
      <c r="AN98" s="132">
        <f t="shared" si="20"/>
        <v>10504.392598850603</v>
      </c>
      <c r="AO98" s="133">
        <f t="shared" si="20"/>
        <v>6765.2276348091864</v>
      </c>
      <c r="AP98" s="133">
        <f t="shared" si="20"/>
        <v>10516.382126685434</v>
      </c>
      <c r="AQ98" s="134">
        <f t="shared" si="20"/>
        <v>7756.9271069778406</v>
      </c>
      <c r="AR98" s="132">
        <f t="shared" si="20"/>
        <v>7812.4057988331651</v>
      </c>
      <c r="AS98" s="133">
        <f t="shared" si="20"/>
        <v>7120.3212600401193</v>
      </c>
      <c r="AT98" s="133">
        <f t="shared" si="20"/>
        <v>10386.356749925058</v>
      </c>
      <c r="AU98" s="134">
        <f t="shared" si="20"/>
        <v>7102.4746944525341</v>
      </c>
      <c r="AV98" s="132">
        <f t="shared" si="20"/>
        <v>4080.4879404166777</v>
      </c>
      <c r="AW98" s="133">
        <f t="shared" si="20"/>
        <v>13163.179428525405</v>
      </c>
      <c r="AX98" s="133">
        <f t="shared" si="20"/>
        <v>13061.874933930842</v>
      </c>
      <c r="AY98" s="134">
        <f t="shared" si="20"/>
        <v>9122.5881417066103</v>
      </c>
      <c r="AZ98" s="132">
        <f t="shared" si="20"/>
        <v>7870.8499699543408</v>
      </c>
      <c r="BA98" s="133">
        <f t="shared" si="20"/>
        <v>7632.6164213803613</v>
      </c>
      <c r="BB98" s="133">
        <f t="shared" si="20"/>
        <v>12925.950984637702</v>
      </c>
      <c r="BC98" s="134">
        <f t="shared" si="20"/>
        <v>9666.698062418207</v>
      </c>
      <c r="BD98" s="132">
        <f t="shared" si="20"/>
        <v>9469.0408557395258</v>
      </c>
      <c r="BE98" s="133">
        <f t="shared" si="20"/>
        <v>13617.135619814127</v>
      </c>
      <c r="BF98" s="133">
        <f t="shared" si="20"/>
        <v>18524.714584108271</v>
      </c>
      <c r="BG98" s="134">
        <f t="shared" si="20"/>
        <v>13531.10927870088</v>
      </c>
      <c r="BH98" s="132">
        <f t="shared" si="20"/>
        <v>33016.48152557639</v>
      </c>
      <c r="BI98" s="133">
        <f t="shared" si="20"/>
        <v>18955.387523672794</v>
      </c>
      <c r="BJ98" s="133">
        <f t="shared" si="20"/>
        <v>28297.167982375875</v>
      </c>
      <c r="BK98" s="134">
        <f t="shared" si="20"/>
        <v>17375.547758606459</v>
      </c>
      <c r="BL98" s="132">
        <f t="shared" si="20"/>
        <v>14424.011289147853</v>
      </c>
      <c r="BM98" s="133">
        <f t="shared" si="20"/>
        <v>10507.093268940534</v>
      </c>
      <c r="BN98" s="133">
        <f t="shared" si="20"/>
        <v>18200.144642974017</v>
      </c>
      <c r="BO98" s="134">
        <f t="shared" si="20"/>
        <v>14360.16751977664</v>
      </c>
      <c r="BP98" s="132">
        <f t="shared" si="20"/>
        <v>14076.454117143163</v>
      </c>
      <c r="BQ98" s="133">
        <f t="shared" si="20"/>
        <v>9448.9479916203691</v>
      </c>
      <c r="BR98" s="133">
        <f t="shared" si="20"/>
        <v>17798.410654959658</v>
      </c>
      <c r="BS98" s="134">
        <f t="shared" si="20"/>
        <v>14458.980044345899</v>
      </c>
      <c r="BT98" s="133">
        <f t="shared" si="20"/>
        <v>12385.300085084104</v>
      </c>
      <c r="BU98" s="133"/>
      <c r="BV98" s="57"/>
      <c r="BW98" s="58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</row>
    <row r="99" spans="1:90" x14ac:dyDescent="0.25">
      <c r="A99" s="9"/>
      <c r="B99" s="9"/>
      <c r="C99" s="3" t="s">
        <v>23</v>
      </c>
      <c r="D99" s="3"/>
      <c r="E99" s="3"/>
      <c r="F99" s="20"/>
      <c r="G99" s="20"/>
      <c r="H99" s="132">
        <f t="shared" si="17"/>
        <v>9906.4067611777518</v>
      </c>
      <c r="I99" s="133">
        <f t="shared" si="20"/>
        <v>8718.3258864134896</v>
      </c>
      <c r="J99" s="133">
        <f t="shared" si="20"/>
        <v>30227.542958213155</v>
      </c>
      <c r="K99" s="134">
        <f t="shared" si="20"/>
        <v>8149.6476600623901</v>
      </c>
      <c r="L99" s="132">
        <f t="shared" si="20"/>
        <v>9157.9910004687317</v>
      </c>
      <c r="M99" s="133">
        <f t="shared" si="20"/>
        <v>16468.221674283002</v>
      </c>
      <c r="N99" s="133">
        <f t="shared" si="20"/>
        <v>15092.712669580071</v>
      </c>
      <c r="O99" s="134">
        <f t="shared" si="20"/>
        <v>9389.4640977407325</v>
      </c>
      <c r="P99" s="132">
        <f t="shared" si="20"/>
        <v>8378.4307159245254</v>
      </c>
      <c r="Q99" s="133">
        <f t="shared" si="20"/>
        <v>9852.8185516475023</v>
      </c>
      <c r="R99" s="133">
        <f t="shared" si="20"/>
        <v>12115.972392060445</v>
      </c>
      <c r="S99" s="134">
        <f t="shared" si="20"/>
        <v>9338.6130442386639</v>
      </c>
      <c r="T99" s="132">
        <f t="shared" ref="T99:BT99" si="21">_xlfn.XLOOKUP($C99,$C$18:$C$36,T$18:T$36)/(SUM(_xlfn.XLOOKUP($E$57,$C$7:$C$17,T$7:T$17)+_xlfn.XLOOKUP($C99,$C$56:$C$75,T$56:T$75)))*1000</f>
        <v>10487.910265433908</v>
      </c>
      <c r="U99" s="133">
        <f t="shared" si="21"/>
        <v>9903.7958688892832</v>
      </c>
      <c r="V99" s="133">
        <f t="shared" si="21"/>
        <v>10930.224657211578</v>
      </c>
      <c r="W99" s="134">
        <f t="shared" si="21"/>
        <v>10247.056943222115</v>
      </c>
      <c r="X99" s="132">
        <f t="shared" si="21"/>
        <v>11148.650960168123</v>
      </c>
      <c r="Y99" s="133">
        <f t="shared" si="21"/>
        <v>10615.241288425146</v>
      </c>
      <c r="Z99" s="133">
        <f t="shared" si="21"/>
        <v>17413.83860248822</v>
      </c>
      <c r="AA99" s="134">
        <f t="shared" si="21"/>
        <v>10910.022049402582</v>
      </c>
      <c r="AB99" s="132">
        <f t="shared" si="21"/>
        <v>10241.377585271166</v>
      </c>
      <c r="AC99" s="133">
        <f t="shared" si="21"/>
        <v>11835.929294883799</v>
      </c>
      <c r="AD99" s="133">
        <f t="shared" si="21"/>
        <v>12226.799017646837</v>
      </c>
      <c r="AE99" s="134">
        <f t="shared" si="21"/>
        <v>9570.3229995023084</v>
      </c>
      <c r="AF99" s="132">
        <f t="shared" si="21"/>
        <v>8136.0478917820838</v>
      </c>
      <c r="AG99" s="133">
        <f t="shared" si="21"/>
        <v>9388.4566479284858</v>
      </c>
      <c r="AH99" s="133">
        <f t="shared" si="21"/>
        <v>11408.055772836346</v>
      </c>
      <c r="AI99" s="134">
        <f t="shared" si="21"/>
        <v>9223.5107524303858</v>
      </c>
      <c r="AJ99" s="132">
        <f t="shared" si="21"/>
        <v>13103.64260674943</v>
      </c>
      <c r="AK99" s="133">
        <f t="shared" si="21"/>
        <v>15323.683980348998</v>
      </c>
      <c r="AL99" s="133">
        <f t="shared" si="21"/>
        <v>32112.946947657456</v>
      </c>
      <c r="AM99" s="134">
        <f t="shared" si="21"/>
        <v>18218.574211858791</v>
      </c>
      <c r="AN99" s="132">
        <f t="shared" si="21"/>
        <v>19420.646559608151</v>
      </c>
      <c r="AO99" s="133">
        <f t="shared" si="21"/>
        <v>1689116.1177544591</v>
      </c>
      <c r="AP99" s="133">
        <f t="shared" si="21"/>
        <v>144281.20824009684</v>
      </c>
      <c r="AQ99" s="134">
        <f t="shared" si="21"/>
        <v>21671.393504719264</v>
      </c>
      <c r="AR99" s="132">
        <f t="shared" si="21"/>
        <v>43560.255452290054</v>
      </c>
      <c r="AS99" s="133">
        <f t="shared" si="21"/>
        <v>20692.839136624836</v>
      </c>
      <c r="AT99" s="133">
        <f t="shared" si="21"/>
        <v>25861.941973237586</v>
      </c>
      <c r="AU99" s="134">
        <f t="shared" si="21"/>
        <v>12567.12249676085</v>
      </c>
      <c r="AV99" s="132">
        <f t="shared" si="21"/>
        <v>57850.171760467587</v>
      </c>
      <c r="AW99" s="133">
        <f t="shared" si="21"/>
        <v>13345.049792900618</v>
      </c>
      <c r="AX99" s="133">
        <f t="shared" si="21"/>
        <v>11996.236634465475</v>
      </c>
      <c r="AY99" s="134">
        <f t="shared" si="21"/>
        <v>9549.8621568705203</v>
      </c>
      <c r="AZ99" s="132">
        <f t="shared" si="21"/>
        <v>8563.7888932168662</v>
      </c>
      <c r="BA99" s="133">
        <f t="shared" si="21"/>
        <v>10585.000652550552</v>
      </c>
      <c r="BB99" s="133">
        <f t="shared" si="21"/>
        <v>19377.061233641984</v>
      </c>
      <c r="BC99" s="134">
        <f t="shared" si="21"/>
        <v>15822.218148068929</v>
      </c>
      <c r="BD99" s="132">
        <f t="shared" si="21"/>
        <v>15617.320211612408</v>
      </c>
      <c r="BE99" s="133">
        <f t="shared" si="21"/>
        <v>38668.841767380378</v>
      </c>
      <c r="BF99" s="133">
        <f t="shared" si="21"/>
        <v>93750.442981794244</v>
      </c>
      <c r="BG99" s="134">
        <f t="shared" si="21"/>
        <v>23661.425816516152</v>
      </c>
      <c r="BH99" s="132">
        <f t="shared" si="21"/>
        <v>35131.526526292859</v>
      </c>
      <c r="BI99" s="133">
        <f t="shared" si="21"/>
        <v>-71444.716586533294</v>
      </c>
      <c r="BJ99" s="133">
        <f t="shared" si="21"/>
        <v>-84980.505162407877</v>
      </c>
      <c r="BK99" s="134">
        <f t="shared" si="21"/>
        <v>31893.315018315014</v>
      </c>
      <c r="BL99" s="132">
        <f t="shared" si="21"/>
        <v>22941.253951527924</v>
      </c>
      <c r="BM99" s="133">
        <f t="shared" si="21"/>
        <v>37582.613116420936</v>
      </c>
      <c r="BN99" s="133">
        <f t="shared" si="21"/>
        <v>34884.906759906764</v>
      </c>
      <c r="BO99" s="134">
        <f t="shared" si="21"/>
        <v>22660.644033221623</v>
      </c>
      <c r="BP99" s="132">
        <f t="shared" si="21"/>
        <v>19570.558480437696</v>
      </c>
      <c r="BQ99" s="133">
        <f t="shared" si="21"/>
        <v>41964.238057112358</v>
      </c>
      <c r="BR99" s="133">
        <f t="shared" si="21"/>
        <v>34840.039812313385</v>
      </c>
      <c r="BS99" s="134">
        <f t="shared" si="21"/>
        <v>16853.250915750912</v>
      </c>
      <c r="BT99" s="133">
        <f t="shared" si="21"/>
        <v>17978.48311935331</v>
      </c>
      <c r="BU99" s="133"/>
      <c r="BV99" s="57"/>
      <c r="BW99" s="58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</row>
    <row r="100" spans="1:90" x14ac:dyDescent="0.25">
      <c r="A100" s="9"/>
      <c r="B100" s="9"/>
      <c r="C100" s="3"/>
      <c r="D100" s="3"/>
      <c r="E100" s="3"/>
      <c r="F100" s="20"/>
      <c r="G100" s="20"/>
      <c r="H100" s="52"/>
      <c r="I100" s="53"/>
      <c r="J100" s="53"/>
      <c r="K100" s="54"/>
      <c r="L100" s="52"/>
      <c r="M100" s="53"/>
      <c r="N100" s="53"/>
      <c r="O100" s="53"/>
      <c r="P100" s="52"/>
      <c r="Q100" s="53"/>
      <c r="R100" s="53"/>
      <c r="S100" s="53"/>
      <c r="T100" s="53"/>
      <c r="U100" s="53"/>
      <c r="V100" s="53"/>
      <c r="W100" s="54"/>
      <c r="X100" s="53"/>
      <c r="Y100" s="53"/>
      <c r="Z100" s="53"/>
      <c r="AA100" s="54"/>
      <c r="AB100" s="53"/>
      <c r="AC100" s="53"/>
      <c r="AD100" s="53"/>
      <c r="AE100" s="54"/>
      <c r="AF100" s="53"/>
      <c r="AG100" s="53"/>
      <c r="AH100" s="55"/>
      <c r="AI100" s="56"/>
      <c r="AJ100" s="53"/>
      <c r="AK100" s="53"/>
      <c r="AL100" s="53"/>
      <c r="AM100" s="56"/>
      <c r="AN100" s="53"/>
      <c r="AO100" s="53"/>
      <c r="AP100" s="53"/>
      <c r="AQ100" s="56"/>
      <c r="AR100" s="53"/>
      <c r="AS100" s="53"/>
      <c r="AT100" s="53"/>
      <c r="AU100" s="56"/>
      <c r="AV100" s="53"/>
      <c r="AW100" s="53"/>
      <c r="AX100" s="53"/>
      <c r="AY100" s="56"/>
      <c r="AZ100" s="53"/>
      <c r="BA100" s="53"/>
      <c r="BB100" s="53"/>
      <c r="BC100" s="56"/>
      <c r="BD100" s="53"/>
      <c r="BE100" s="53"/>
      <c r="BF100" s="53"/>
      <c r="BG100" s="56"/>
      <c r="BH100" s="53"/>
      <c r="BI100" s="57"/>
      <c r="BJ100" s="57"/>
      <c r="BK100" s="58"/>
      <c r="BL100" s="57"/>
      <c r="BM100" s="57"/>
      <c r="BN100" s="57"/>
      <c r="BO100" s="58"/>
      <c r="BP100" s="57"/>
      <c r="BQ100" s="57"/>
      <c r="BR100" s="57"/>
      <c r="BS100" s="58"/>
      <c r="BT100" s="57"/>
      <c r="BU100" s="57"/>
      <c r="BV100" s="57"/>
      <c r="BW100" s="58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</row>
    <row r="101" spans="1:90" x14ac:dyDescent="0.25">
      <c r="A101" s="9"/>
      <c r="B101" s="9"/>
      <c r="C101" s="1" t="s">
        <v>31</v>
      </c>
      <c r="D101" s="41"/>
      <c r="E101" s="41"/>
      <c r="F101" s="78"/>
      <c r="G101" s="78"/>
      <c r="H101" s="132"/>
      <c r="I101" s="31"/>
      <c r="J101" s="31"/>
      <c r="K101" s="32"/>
      <c r="L101" s="30"/>
      <c r="M101" s="31"/>
      <c r="N101" s="31"/>
      <c r="O101" s="31"/>
      <c r="P101" s="47"/>
      <c r="Q101" s="31"/>
      <c r="R101" s="33"/>
      <c r="S101" s="34"/>
      <c r="T101" s="33"/>
      <c r="U101" s="31"/>
      <c r="V101" s="31"/>
      <c r="W101" s="34"/>
      <c r="X101" s="35"/>
      <c r="Y101" s="31"/>
      <c r="Z101" s="31"/>
      <c r="AA101" s="36"/>
      <c r="AB101" s="35"/>
      <c r="AC101" s="31"/>
      <c r="AD101" s="31"/>
      <c r="AE101" s="36"/>
      <c r="AF101" s="35"/>
      <c r="AG101" s="31"/>
      <c r="AH101" s="60"/>
      <c r="AI101" s="37"/>
      <c r="AJ101" s="35"/>
      <c r="AK101" s="31"/>
      <c r="AL101" s="35"/>
      <c r="AM101" s="37"/>
      <c r="AN101" s="35"/>
      <c r="AO101" s="35"/>
      <c r="AP101" s="35"/>
      <c r="AQ101" s="37"/>
      <c r="AR101" s="35"/>
      <c r="AS101" s="35"/>
      <c r="AT101" s="35"/>
      <c r="AU101" s="37"/>
      <c r="AV101" s="35"/>
      <c r="AW101" s="35"/>
      <c r="AX101" s="35"/>
      <c r="AY101" s="36"/>
      <c r="AZ101" s="35"/>
      <c r="BA101" s="35"/>
      <c r="BB101" s="35"/>
      <c r="BC101" s="36"/>
      <c r="BD101" s="35"/>
      <c r="BE101" s="35"/>
      <c r="BF101" s="35"/>
      <c r="BG101" s="36"/>
      <c r="BH101" s="35"/>
      <c r="BI101" s="35"/>
      <c r="BJ101" s="35"/>
      <c r="BK101" s="36"/>
      <c r="BL101" s="35"/>
      <c r="BM101" s="35"/>
      <c r="BN101" s="35"/>
      <c r="BO101" s="36"/>
      <c r="BP101" s="35"/>
      <c r="BQ101" s="35"/>
      <c r="BR101" s="35"/>
      <c r="BS101" s="36"/>
      <c r="BT101" s="35"/>
      <c r="BU101" s="35"/>
      <c r="BV101" s="35"/>
      <c r="BW101" s="36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</row>
    <row r="102" spans="1:90" x14ac:dyDescent="0.25">
      <c r="A102" s="9"/>
      <c r="B102" s="9"/>
      <c r="C102" s="3" t="s">
        <v>7</v>
      </c>
      <c r="D102" s="3"/>
      <c r="E102" s="3"/>
      <c r="F102" s="20"/>
      <c r="G102" s="20"/>
      <c r="H102" s="132">
        <f t="shared" ref="H102:H107" si="22">_xlfn.XLOOKUP($C102,$C$37:$C$55,H$37:H$55)/(SUM(_xlfn.XLOOKUP($E$57,$C$7:$C$17,H$7:H$17)+_xlfn.XLOOKUP($C102,$C$56:$C$75,H$56:H$75)))*1000</f>
        <v>7249.8433118995536</v>
      </c>
      <c r="I102" s="133">
        <f t="shared" ref="I102:BT105" si="23">_xlfn.XLOOKUP($C102,$C$37:$C$55,I$37:I$55)/(SUM(_xlfn.XLOOKUP($E$57,$C$7:$C$17,I$7:I$17)+_xlfn.XLOOKUP($C102,$C$56:$C$75,I$56:I$75)))*1000</f>
        <v>7967.9229401340554</v>
      </c>
      <c r="J102" s="133">
        <f t="shared" si="23"/>
        <v>8353.3317812738915</v>
      </c>
      <c r="K102" s="134">
        <f t="shared" si="23"/>
        <v>8516.1685596021416</v>
      </c>
      <c r="L102" s="132">
        <f t="shared" si="23"/>
        <v>8749.7604735899422</v>
      </c>
      <c r="M102" s="133">
        <f t="shared" si="23"/>
        <v>9209.3212490290753</v>
      </c>
      <c r="N102" s="133">
        <f t="shared" si="23"/>
        <v>10083.853748713365</v>
      </c>
      <c r="O102" s="134">
        <f t="shared" si="23"/>
        <v>9227.15733045462</v>
      </c>
      <c r="P102" s="132">
        <f t="shared" si="23"/>
        <v>9573.4266809187102</v>
      </c>
      <c r="Q102" s="133">
        <f t="shared" si="23"/>
        <v>7947.894798542161</v>
      </c>
      <c r="R102" s="133">
        <f t="shared" si="23"/>
        <v>8053.46905480234</v>
      </c>
      <c r="S102" s="134">
        <f t="shared" si="23"/>
        <v>11336.299680915225</v>
      </c>
      <c r="T102" s="132">
        <f t="shared" si="23"/>
        <v>7615.1816731488025</v>
      </c>
      <c r="U102" s="133">
        <f t="shared" si="23"/>
        <v>8666.0142565442256</v>
      </c>
      <c r="V102" s="133">
        <f t="shared" si="23"/>
        <v>10441.441092885278</v>
      </c>
      <c r="W102" s="134">
        <f t="shared" si="23"/>
        <v>9274.4727132796615</v>
      </c>
      <c r="X102" s="132">
        <f t="shared" si="23"/>
        <v>8173.3769735708147</v>
      </c>
      <c r="Y102" s="133">
        <f t="shared" si="23"/>
        <v>7422.5831840592828</v>
      </c>
      <c r="Z102" s="133">
        <f t="shared" si="23"/>
        <v>9812.6498615134824</v>
      </c>
      <c r="AA102" s="134">
        <f t="shared" si="23"/>
        <v>10606.326587152183</v>
      </c>
      <c r="AB102" s="132">
        <f t="shared" si="23"/>
        <v>9525.7983565513641</v>
      </c>
      <c r="AC102" s="133">
        <f t="shared" si="23"/>
        <v>10737.779389946008</v>
      </c>
      <c r="AD102" s="133">
        <f t="shared" si="23"/>
        <v>11341.281810914184</v>
      </c>
      <c r="AE102" s="134">
        <f t="shared" si="23"/>
        <v>9949.0762150139835</v>
      </c>
      <c r="AF102" s="132">
        <f t="shared" si="23"/>
        <v>8634.6443180514143</v>
      </c>
      <c r="AG102" s="133">
        <f t="shared" si="23"/>
        <v>8284.7405050779907</v>
      </c>
      <c r="AH102" s="133">
        <f t="shared" si="23"/>
        <v>7600.1354402050447</v>
      </c>
      <c r="AI102" s="134">
        <f t="shared" si="23"/>
        <v>10767.07646162126</v>
      </c>
      <c r="AJ102" s="132">
        <f t="shared" si="23"/>
        <v>7886.0425922861186</v>
      </c>
      <c r="AK102" s="133">
        <f t="shared" si="23"/>
        <v>9993.8545737636214</v>
      </c>
      <c r="AL102" s="133">
        <f t="shared" si="23"/>
        <v>10425.10090378377</v>
      </c>
      <c r="AM102" s="134">
        <f t="shared" si="23"/>
        <v>10779.531958037618</v>
      </c>
      <c r="AN102" s="132">
        <f t="shared" si="23"/>
        <v>10600.557184986827</v>
      </c>
      <c r="AO102" s="133">
        <f t="shared" si="23"/>
        <v>9475.0212710410287</v>
      </c>
      <c r="AP102" s="133">
        <f t="shared" si="23"/>
        <v>10595.22772569707</v>
      </c>
      <c r="AQ102" s="134">
        <f t="shared" si="23"/>
        <v>11689.591714194641</v>
      </c>
      <c r="AR102" s="132">
        <f t="shared" si="23"/>
        <v>10168.996005743878</v>
      </c>
      <c r="AS102" s="133">
        <f t="shared" si="23"/>
        <v>11581.75137234921</v>
      </c>
      <c r="AT102" s="133">
        <f t="shared" si="23"/>
        <v>11693.926491638811</v>
      </c>
      <c r="AU102" s="134">
        <f t="shared" si="23"/>
        <v>13383.240317776465</v>
      </c>
      <c r="AV102" s="132">
        <f t="shared" si="23"/>
        <v>12741.160015092008</v>
      </c>
      <c r="AW102" s="133">
        <f t="shared" si="23"/>
        <v>10187.322267980275</v>
      </c>
      <c r="AX102" s="133">
        <f t="shared" si="23"/>
        <v>9710.607053157044</v>
      </c>
      <c r="AY102" s="134">
        <f t="shared" si="23"/>
        <v>12054.472328774154</v>
      </c>
      <c r="AZ102" s="132">
        <f t="shared" si="23"/>
        <v>14453.420577682669</v>
      </c>
      <c r="BA102" s="133">
        <f t="shared" si="23"/>
        <v>9656.03781055121</v>
      </c>
      <c r="BB102" s="133">
        <f t="shared" si="23"/>
        <v>10077.473952930144</v>
      </c>
      <c r="BC102" s="134">
        <f t="shared" si="23"/>
        <v>11092.720634075144</v>
      </c>
      <c r="BD102" s="132">
        <f t="shared" si="23"/>
        <v>14645.12977161764</v>
      </c>
      <c r="BE102" s="133">
        <f t="shared" si="23"/>
        <v>16320.026979400345</v>
      </c>
      <c r="BF102" s="133">
        <f t="shared" si="23"/>
        <v>19657.656444102107</v>
      </c>
      <c r="BG102" s="134">
        <f t="shared" si="23"/>
        <v>15667.430397152</v>
      </c>
      <c r="BH102" s="132">
        <f t="shared" si="23"/>
        <v>14384.914629575645</v>
      </c>
      <c r="BI102" s="133">
        <f t="shared" si="23"/>
        <v>14879.517673199554</v>
      </c>
      <c r="BJ102" s="133">
        <f t="shared" si="23"/>
        <v>21241.705055144055</v>
      </c>
      <c r="BK102" s="134">
        <f t="shared" si="23"/>
        <v>21480.557491289201</v>
      </c>
      <c r="BL102" s="132">
        <f t="shared" si="23"/>
        <v>17782.273854588173</v>
      </c>
      <c r="BM102" s="133">
        <f t="shared" si="23"/>
        <v>15930.204930204929</v>
      </c>
      <c r="BN102" s="133">
        <f t="shared" si="23"/>
        <v>16388.297872340427</v>
      </c>
      <c r="BO102" s="134">
        <f t="shared" si="23"/>
        <v>18485.672606022716</v>
      </c>
      <c r="BP102" s="132">
        <f t="shared" si="23"/>
        <v>16476.35135135135</v>
      </c>
      <c r="BQ102" s="133">
        <f t="shared" si="23"/>
        <v>13451.239224137931</v>
      </c>
      <c r="BR102" s="133">
        <f t="shared" si="23"/>
        <v>15297.066804496704</v>
      </c>
      <c r="BS102" s="134">
        <f t="shared" si="23"/>
        <v>15264.208203053155</v>
      </c>
      <c r="BT102" s="133">
        <f t="shared" si="23"/>
        <v>14651.780425195811</v>
      </c>
      <c r="BU102" s="133"/>
      <c r="BV102" s="57"/>
      <c r="BW102" s="58"/>
      <c r="BX102" s="59"/>
      <c r="BY102" s="59"/>
      <c r="BZ102" s="59"/>
      <c r="CA102" s="59"/>
      <c r="CB102" s="59"/>
      <c r="CC102" s="59"/>
      <c r="CD102" s="59"/>
      <c r="CE102" s="59"/>
      <c r="CF102" s="59"/>
      <c r="CG102" s="59"/>
      <c r="CH102" s="59"/>
      <c r="CI102" s="59"/>
      <c r="CJ102" s="59"/>
      <c r="CK102" s="59"/>
      <c r="CL102" s="59"/>
    </row>
    <row r="103" spans="1:90" x14ac:dyDescent="0.25">
      <c r="A103" s="9"/>
      <c r="B103" s="9"/>
      <c r="C103" s="3" t="s">
        <v>8</v>
      </c>
      <c r="D103" s="3"/>
      <c r="E103" s="3"/>
      <c r="F103" s="20"/>
      <c r="G103" s="20"/>
      <c r="H103" s="132">
        <f t="shared" si="22"/>
        <v>6236.8939993379463</v>
      </c>
      <c r="I103" s="133">
        <f t="shared" si="23"/>
        <v>7103.4619214443419</v>
      </c>
      <c r="J103" s="133">
        <f t="shared" si="23"/>
        <v>7868.2048475710517</v>
      </c>
      <c r="K103" s="134">
        <f t="shared" si="23"/>
        <v>8223.7732612343843</v>
      </c>
      <c r="L103" s="132">
        <f t="shared" si="23"/>
        <v>8911.1378658337817</v>
      </c>
      <c r="M103" s="133">
        <f t="shared" si="23"/>
        <v>8704.9561607755822</v>
      </c>
      <c r="N103" s="133">
        <f t="shared" si="23"/>
        <v>9120.4065152339681</v>
      </c>
      <c r="O103" s="134">
        <f t="shared" si="23"/>
        <v>8411.7923093730278</v>
      </c>
      <c r="P103" s="132">
        <f t="shared" si="23"/>
        <v>8654.8021184228455</v>
      </c>
      <c r="Q103" s="133">
        <f t="shared" si="23"/>
        <v>7310.1090117743042</v>
      </c>
      <c r="R103" s="133">
        <f t="shared" si="23"/>
        <v>7972.6248993831887</v>
      </c>
      <c r="S103" s="134">
        <f t="shared" si="23"/>
        <v>7326.1890463652653</v>
      </c>
      <c r="T103" s="132">
        <f t="shared" si="23"/>
        <v>5654.600822343099</v>
      </c>
      <c r="U103" s="133">
        <f t="shared" si="23"/>
        <v>7669.4987295625288</v>
      </c>
      <c r="V103" s="133">
        <f t="shared" si="23"/>
        <v>9578.532711028196</v>
      </c>
      <c r="W103" s="134">
        <f t="shared" si="23"/>
        <v>8712.5943223760132</v>
      </c>
      <c r="X103" s="132">
        <f t="shared" si="23"/>
        <v>6896.1711985916791</v>
      </c>
      <c r="Y103" s="133">
        <f t="shared" si="23"/>
        <v>10280.240002779905</v>
      </c>
      <c r="Z103" s="133">
        <f t="shared" si="23"/>
        <v>13515.613393676513</v>
      </c>
      <c r="AA103" s="134">
        <f t="shared" si="23"/>
        <v>10662.944299936078</v>
      </c>
      <c r="AB103" s="132">
        <f t="shared" si="23"/>
        <v>7698.1870262391694</v>
      </c>
      <c r="AC103" s="133">
        <f t="shared" si="23"/>
        <v>10098.411343957838</v>
      </c>
      <c r="AD103" s="133">
        <f t="shared" si="23"/>
        <v>15389.773305375811</v>
      </c>
      <c r="AE103" s="134">
        <f t="shared" si="23"/>
        <v>7457.7161090524496</v>
      </c>
      <c r="AF103" s="132">
        <f t="shared" si="23"/>
        <v>7235.6260084342566</v>
      </c>
      <c r="AG103" s="133">
        <f t="shared" si="23"/>
        <v>5544.9559281900365</v>
      </c>
      <c r="AH103" s="133">
        <f t="shared" si="23"/>
        <v>10101.611736905787</v>
      </c>
      <c r="AI103" s="134">
        <f t="shared" si="23"/>
        <v>5758.2722725295198</v>
      </c>
      <c r="AJ103" s="132">
        <f t="shared" si="23"/>
        <v>5029.1304669204492</v>
      </c>
      <c r="AK103" s="133">
        <f t="shared" si="23"/>
        <v>8050.2099535863608</v>
      </c>
      <c r="AL103" s="133">
        <f t="shared" si="23"/>
        <v>9513.8440902394668</v>
      </c>
      <c r="AM103" s="134">
        <f t="shared" si="23"/>
        <v>6661.2016222697202</v>
      </c>
      <c r="AN103" s="132">
        <f t="shared" si="23"/>
        <v>7941.0700368364687</v>
      </c>
      <c r="AO103" s="133">
        <f t="shared" si="23"/>
        <v>6912.5795347849444</v>
      </c>
      <c r="AP103" s="133">
        <f t="shared" si="23"/>
        <v>9323.9689581002986</v>
      </c>
      <c r="AQ103" s="134">
        <f t="shared" si="23"/>
        <v>6595.1486369263348</v>
      </c>
      <c r="AR103" s="132">
        <f t="shared" si="23"/>
        <v>7194.2168765622073</v>
      </c>
      <c r="AS103" s="133">
        <f t="shared" si="23"/>
        <v>7956.2915137106693</v>
      </c>
      <c r="AT103" s="133">
        <f t="shared" si="23"/>
        <v>10594.530831724105</v>
      </c>
      <c r="AU103" s="134">
        <f t="shared" si="23"/>
        <v>7037.7075688649993</v>
      </c>
      <c r="AV103" s="132">
        <f t="shared" si="23"/>
        <v>6471.8660593211953</v>
      </c>
      <c r="AW103" s="133">
        <f t="shared" si="23"/>
        <v>5835.068127811408</v>
      </c>
      <c r="AX103" s="133">
        <f t="shared" si="23"/>
        <v>7447.2309854160303</v>
      </c>
      <c r="AY103" s="134">
        <f t="shared" si="23"/>
        <v>7552.3810339554248</v>
      </c>
      <c r="AZ103" s="132">
        <f t="shared" si="23"/>
        <v>8932.784006060132</v>
      </c>
      <c r="BA103" s="133">
        <f t="shared" si="23"/>
        <v>5116.8847915740644</v>
      </c>
      <c r="BB103" s="133">
        <f t="shared" si="23"/>
        <v>8610.7816934701295</v>
      </c>
      <c r="BC103" s="134">
        <f t="shared" si="23"/>
        <v>6522.1524777135874</v>
      </c>
      <c r="BD103" s="132">
        <f t="shared" si="23"/>
        <v>8199.0143253462011</v>
      </c>
      <c r="BE103" s="133">
        <f t="shared" si="23"/>
        <v>11428.197464501362</v>
      </c>
      <c r="BF103" s="133">
        <f t="shared" si="23"/>
        <v>16343.920404436883</v>
      </c>
      <c r="BG103" s="134">
        <f t="shared" si="23"/>
        <v>12478.850808021138</v>
      </c>
      <c r="BH103" s="132">
        <f t="shared" si="23"/>
        <v>11639.541996525057</v>
      </c>
      <c r="BI103" s="133">
        <f t="shared" si="23"/>
        <v>14251.906307037112</v>
      </c>
      <c r="BJ103" s="133">
        <f t="shared" si="23"/>
        <v>17938.089082917901</v>
      </c>
      <c r="BK103" s="134">
        <f t="shared" si="23"/>
        <v>0</v>
      </c>
      <c r="BL103" s="132">
        <f t="shared" si="23"/>
        <v>0</v>
      </c>
      <c r="BM103" s="133">
        <f t="shared" si="23"/>
        <v>0</v>
      </c>
      <c r="BN103" s="133">
        <f t="shared" si="23"/>
        <v>0</v>
      </c>
      <c r="BO103" s="134">
        <f t="shared" si="23"/>
        <v>0</v>
      </c>
      <c r="BP103" s="132">
        <f t="shared" si="23"/>
        <v>0</v>
      </c>
      <c r="BQ103" s="133">
        <f t="shared" si="23"/>
        <v>0</v>
      </c>
      <c r="BR103" s="133">
        <f t="shared" si="23"/>
        <v>0</v>
      </c>
      <c r="BS103" s="134">
        <f t="shared" si="23"/>
        <v>0</v>
      </c>
      <c r="BT103" s="133">
        <f t="shared" si="23"/>
        <v>0</v>
      </c>
      <c r="BU103" s="133"/>
      <c r="BV103" s="57"/>
      <c r="BW103" s="58"/>
      <c r="BX103" s="59"/>
      <c r="BY103" s="59"/>
      <c r="BZ103" s="59"/>
      <c r="CA103" s="59"/>
      <c r="CB103" s="59"/>
      <c r="CC103" s="59"/>
      <c r="CD103" s="59"/>
      <c r="CE103" s="59"/>
      <c r="CF103" s="59"/>
      <c r="CG103" s="59"/>
      <c r="CH103" s="59"/>
      <c r="CI103" s="59"/>
      <c r="CJ103" s="59"/>
      <c r="CK103" s="59"/>
      <c r="CL103" s="59"/>
    </row>
    <row r="104" spans="1:90" x14ac:dyDescent="0.25">
      <c r="A104" s="9"/>
      <c r="B104" s="9"/>
      <c r="C104" s="3" t="s">
        <v>9</v>
      </c>
      <c r="D104" s="3"/>
      <c r="E104" s="3"/>
      <c r="F104" s="20"/>
      <c r="G104" s="20"/>
      <c r="H104" s="132">
        <f t="shared" si="22"/>
        <v>7053.8978162124331</v>
      </c>
      <c r="I104" s="133">
        <f t="shared" si="23"/>
        <v>8048.6473393433544</v>
      </c>
      <c r="J104" s="133">
        <f t="shared" si="23"/>
        <v>8423.2267410027616</v>
      </c>
      <c r="K104" s="134">
        <f t="shared" si="23"/>
        <v>8503.4182443213249</v>
      </c>
      <c r="L104" s="132">
        <f t="shared" si="23"/>
        <v>9035.0773829837362</v>
      </c>
      <c r="M104" s="133">
        <f t="shared" si="23"/>
        <v>9414.0503270586978</v>
      </c>
      <c r="N104" s="133">
        <f t="shared" si="23"/>
        <v>9964.8653221856803</v>
      </c>
      <c r="O104" s="134">
        <f t="shared" si="23"/>
        <v>8959.3614776308204</v>
      </c>
      <c r="P104" s="132">
        <f t="shared" si="23"/>
        <v>7575.2008150357933</v>
      </c>
      <c r="Q104" s="133">
        <f t="shared" si="23"/>
        <v>8063.944267449594</v>
      </c>
      <c r="R104" s="133">
        <f t="shared" si="23"/>
        <v>8510.2508074249872</v>
      </c>
      <c r="S104" s="134">
        <f t="shared" si="23"/>
        <v>8504.4429859656157</v>
      </c>
      <c r="T104" s="132">
        <f t="shared" si="23"/>
        <v>6700.8931474203073</v>
      </c>
      <c r="U104" s="133">
        <f t="shared" si="23"/>
        <v>8659.9121229520133</v>
      </c>
      <c r="V104" s="133">
        <f t="shared" si="23"/>
        <v>10340.517126190358</v>
      </c>
      <c r="W104" s="134">
        <f t="shared" si="23"/>
        <v>8627.9097194633341</v>
      </c>
      <c r="X104" s="132">
        <f t="shared" si="23"/>
        <v>6702.6950156310622</v>
      </c>
      <c r="Y104" s="133">
        <f t="shared" si="23"/>
        <v>7569.515381018291</v>
      </c>
      <c r="Z104" s="133">
        <f t="shared" si="23"/>
        <v>9238.9829215094815</v>
      </c>
      <c r="AA104" s="134">
        <f t="shared" si="23"/>
        <v>9608.8919829605074</v>
      </c>
      <c r="AB104" s="132">
        <f t="shared" si="23"/>
        <v>9784.5778263577577</v>
      </c>
      <c r="AC104" s="133">
        <f t="shared" si="23"/>
        <v>11503.519782724765</v>
      </c>
      <c r="AD104" s="133">
        <f t="shared" si="23"/>
        <v>11779.531516320278</v>
      </c>
      <c r="AE104" s="134">
        <f t="shared" si="23"/>
        <v>8795.0236376504308</v>
      </c>
      <c r="AF104" s="132">
        <f t="shared" si="23"/>
        <v>8834.6959919849251</v>
      </c>
      <c r="AG104" s="133">
        <f t="shared" si="23"/>
        <v>7996.3842064754317</v>
      </c>
      <c r="AH104" s="133">
        <f t="shared" si="23"/>
        <v>7906.7209222069359</v>
      </c>
      <c r="AI104" s="134">
        <f t="shared" si="23"/>
        <v>7330.4929235184736</v>
      </c>
      <c r="AJ104" s="132">
        <f t="shared" si="23"/>
        <v>6065.8695806162996</v>
      </c>
      <c r="AK104" s="133">
        <f t="shared" si="23"/>
        <v>8454.6652663383593</v>
      </c>
      <c r="AL104" s="133">
        <f t="shared" si="23"/>
        <v>8971.3331610838213</v>
      </c>
      <c r="AM104" s="134">
        <f t="shared" si="23"/>
        <v>8054.367883766382</v>
      </c>
      <c r="AN104" s="132">
        <f t="shared" si="23"/>
        <v>9089.6249561624936</v>
      </c>
      <c r="AO104" s="133">
        <f t="shared" si="23"/>
        <v>8311.7902117038684</v>
      </c>
      <c r="AP104" s="133">
        <f t="shared" si="23"/>
        <v>9914.0939571467388</v>
      </c>
      <c r="AQ104" s="134">
        <f t="shared" si="23"/>
        <v>8639.6493766058884</v>
      </c>
      <c r="AR104" s="132">
        <f t="shared" si="23"/>
        <v>9680.1063542841675</v>
      </c>
      <c r="AS104" s="133">
        <f t="shared" si="23"/>
        <v>9538.0145184428675</v>
      </c>
      <c r="AT104" s="133">
        <f t="shared" si="23"/>
        <v>11276.260515456648</v>
      </c>
      <c r="AU104" s="134">
        <f t="shared" si="23"/>
        <v>10786.460179613563</v>
      </c>
      <c r="AV104" s="132">
        <f t="shared" si="23"/>
        <v>10697.155780079565</v>
      </c>
      <c r="AW104" s="133">
        <f t="shared" si="23"/>
        <v>9780.6423759907757</v>
      </c>
      <c r="AX104" s="133">
        <f t="shared" si="23"/>
        <v>9352.0032142275813</v>
      </c>
      <c r="AY104" s="134">
        <f t="shared" si="23"/>
        <v>10222.799605735885</v>
      </c>
      <c r="AZ104" s="132">
        <f t="shared" si="23"/>
        <v>12408.059423222532</v>
      </c>
      <c r="BA104" s="133">
        <f t="shared" si="23"/>
        <v>9213.6127244946729</v>
      </c>
      <c r="BB104" s="133">
        <f t="shared" si="23"/>
        <v>9863.5232520552254</v>
      </c>
      <c r="BC104" s="134">
        <f t="shared" si="23"/>
        <v>10020.646342268741</v>
      </c>
      <c r="BD104" s="132">
        <f t="shared" si="23"/>
        <v>12062.735588201074</v>
      </c>
      <c r="BE104" s="133">
        <f t="shared" si="23"/>
        <v>14852.960265294205</v>
      </c>
      <c r="BF104" s="133">
        <f t="shared" si="23"/>
        <v>16967.629396891934</v>
      </c>
      <c r="BG104" s="134">
        <f t="shared" si="23"/>
        <v>13811.10684418589</v>
      </c>
      <c r="BH104" s="132">
        <f t="shared" si="23"/>
        <v>14224.422854256378</v>
      </c>
      <c r="BI104" s="133">
        <f t="shared" si="23"/>
        <v>14706.677361484853</v>
      </c>
      <c r="BJ104" s="133">
        <f t="shared" si="23"/>
        <v>18840.883294197207</v>
      </c>
      <c r="BK104" s="134">
        <f t="shared" si="23"/>
        <v>15836.933797909409</v>
      </c>
      <c r="BL104" s="132">
        <f t="shared" si="23"/>
        <v>13042.226863333766</v>
      </c>
      <c r="BM104" s="133">
        <f t="shared" si="23"/>
        <v>14205.821205821205</v>
      </c>
      <c r="BN104" s="133">
        <f t="shared" si="23"/>
        <v>15221.024636058228</v>
      </c>
      <c r="BO104" s="134">
        <f t="shared" si="23"/>
        <v>14216.838595394394</v>
      </c>
      <c r="BP104" s="132">
        <f t="shared" si="23"/>
        <v>12998.698493575544</v>
      </c>
      <c r="BQ104" s="133">
        <f t="shared" si="23"/>
        <v>12417.968750000002</v>
      </c>
      <c r="BR104" s="133">
        <f t="shared" si="23"/>
        <v>14775.810828272386</v>
      </c>
      <c r="BS104" s="134">
        <f t="shared" si="23"/>
        <v>12982.803016369322</v>
      </c>
      <c r="BT104" s="133">
        <f t="shared" si="23"/>
        <v>10874.415849404331</v>
      </c>
      <c r="BU104" s="133"/>
      <c r="BV104" s="57"/>
      <c r="BW104" s="58"/>
      <c r="BX104" s="59"/>
      <c r="BY104" s="59"/>
      <c r="BZ104" s="59"/>
      <c r="CA104" s="59"/>
      <c r="CB104" s="59"/>
      <c r="CC104" s="59"/>
      <c r="CD104" s="59"/>
      <c r="CE104" s="59"/>
      <c r="CF104" s="59"/>
      <c r="CG104" s="59"/>
      <c r="CH104" s="59"/>
      <c r="CI104" s="59"/>
      <c r="CJ104" s="59"/>
      <c r="CK104" s="59"/>
      <c r="CL104" s="59"/>
    </row>
    <row r="105" spans="1:90" x14ac:dyDescent="0.25">
      <c r="A105" s="9"/>
      <c r="B105" s="9"/>
      <c r="C105" s="3" t="s">
        <v>10</v>
      </c>
      <c r="D105" s="3"/>
      <c r="E105" s="3"/>
      <c r="F105" s="20"/>
      <c r="G105" s="20"/>
      <c r="H105" s="132">
        <f t="shared" si="22"/>
        <v>7238.6551413852567</v>
      </c>
      <c r="I105" s="133">
        <f t="shared" si="23"/>
        <v>8389.1547062257559</v>
      </c>
      <c r="J105" s="133">
        <f t="shared" si="23"/>
        <v>8949.9994744209434</v>
      </c>
      <c r="K105" s="134">
        <f t="shared" si="23"/>
        <v>8643.3349930351451</v>
      </c>
      <c r="L105" s="132">
        <f t="shared" si="23"/>
        <v>9289.8707118588936</v>
      </c>
      <c r="M105" s="133">
        <f t="shared" si="23"/>
        <v>9547.3927556143153</v>
      </c>
      <c r="N105" s="133">
        <f t="shared" si="23"/>
        <v>10337.770717438358</v>
      </c>
      <c r="O105" s="134">
        <f t="shared" si="23"/>
        <v>9044.1347035461131</v>
      </c>
      <c r="P105" s="132">
        <f t="shared" si="23"/>
        <v>7775.5756729295799</v>
      </c>
      <c r="Q105" s="133">
        <f t="shared" si="23"/>
        <v>8155.3271267703949</v>
      </c>
      <c r="R105" s="133">
        <f t="shared" si="23"/>
        <v>9142.5198876774739</v>
      </c>
      <c r="S105" s="134">
        <f t="shared" si="23"/>
        <v>8485.1534052385905</v>
      </c>
      <c r="T105" s="132">
        <f t="shared" si="23"/>
        <v>6769.6731729913081</v>
      </c>
      <c r="U105" s="133">
        <f t="shared" si="23"/>
        <v>8747.6009054109654</v>
      </c>
      <c r="V105" s="133">
        <f t="shared" si="23"/>
        <v>10452.082963553872</v>
      </c>
      <c r="W105" s="134">
        <f t="shared" si="23"/>
        <v>8678.0065453210918</v>
      </c>
      <c r="X105" s="132">
        <f t="shared" si="23"/>
        <v>6745.0425094903603</v>
      </c>
      <c r="Y105" s="133">
        <f t="shared" si="23"/>
        <v>7696.2877164170304</v>
      </c>
      <c r="Z105" s="133">
        <f t="shared" si="23"/>
        <v>9549.4855349821482</v>
      </c>
      <c r="AA105" s="134">
        <f t="shared" si="23"/>
        <v>9777.6142339923263</v>
      </c>
      <c r="AB105" s="132">
        <f t="shared" si="23"/>
        <v>9939.8253541999093</v>
      </c>
      <c r="AC105" s="133">
        <f t="shared" si="23"/>
        <v>11876.273691645629</v>
      </c>
      <c r="AD105" s="133">
        <f t="shared" si="23"/>
        <v>12293.828872497115</v>
      </c>
      <c r="AE105" s="134">
        <f t="shared" si="23"/>
        <v>8897.7542315349001</v>
      </c>
      <c r="AF105" s="132">
        <f t="shared" si="23"/>
        <v>8903.412388753577</v>
      </c>
      <c r="AG105" s="133">
        <f t="shared" si="23"/>
        <v>8407.9724980743977</v>
      </c>
      <c r="AH105" s="133">
        <f t="shared" si="23"/>
        <v>8467.7097007150696</v>
      </c>
      <c r="AI105" s="134">
        <f t="shared" si="23"/>
        <v>7538.4581439682743</v>
      </c>
      <c r="AJ105" s="132">
        <f t="shared" si="23"/>
        <v>6327.0310442488699</v>
      </c>
      <c r="AK105" s="133">
        <f t="shared" si="23"/>
        <v>8739.7749055231179</v>
      </c>
      <c r="AL105" s="133">
        <f t="shared" si="23"/>
        <v>9495.6193199052868</v>
      </c>
      <c r="AM105" s="134">
        <f t="shared" si="23"/>
        <v>8174.3240930064594</v>
      </c>
      <c r="AN105" s="132">
        <f t="shared" si="23"/>
        <v>9232.0387011430139</v>
      </c>
      <c r="AO105" s="133">
        <f t="shared" si="23"/>
        <v>8945.7600249118896</v>
      </c>
      <c r="AP105" s="133">
        <f t="shared" si="23"/>
        <v>10516.420115235747</v>
      </c>
      <c r="AQ105" s="134">
        <f t="shared" si="23"/>
        <v>8777.6649394412343</v>
      </c>
      <c r="AR105" s="132">
        <f t="shared" si="23"/>
        <v>9940.2247686194532</v>
      </c>
      <c r="AS105" s="133">
        <f t="shared" si="23"/>
        <v>9743.621049056037</v>
      </c>
      <c r="AT105" s="133">
        <f t="shared" si="23"/>
        <v>11746.792150817095</v>
      </c>
      <c r="AU105" s="134">
        <f t="shared" si="23"/>
        <v>10960.948121115684</v>
      </c>
      <c r="AV105" s="132">
        <f t="shared" si="23"/>
        <v>11023.733930858005</v>
      </c>
      <c r="AW105" s="133">
        <f t="shared" si="23"/>
        <v>9958.1065173376592</v>
      </c>
      <c r="AX105" s="133">
        <f t="shared" si="23"/>
        <v>9711.4054659511094</v>
      </c>
      <c r="AY105" s="134">
        <f t="shared" si="23"/>
        <v>10440.909840560813</v>
      </c>
      <c r="AZ105" s="132">
        <f t="shared" si="23"/>
        <v>12581.681409534385</v>
      </c>
      <c r="BA105" s="133">
        <f t="shared" si="23"/>
        <v>9364.8189149473765</v>
      </c>
      <c r="BB105" s="133">
        <f t="shared" si="23"/>
        <v>10109.09779656635</v>
      </c>
      <c r="BC105" s="134">
        <f t="shared" si="23"/>
        <v>10167.081960493719</v>
      </c>
      <c r="BD105" s="132">
        <f t="shared" si="23"/>
        <v>12156.884971770176</v>
      </c>
      <c r="BE105" s="133">
        <f t="shared" si="23"/>
        <v>15064.288058267986</v>
      </c>
      <c r="BF105" s="133">
        <f t="shared" si="23"/>
        <v>17308.543585065636</v>
      </c>
      <c r="BG105" s="134">
        <f t="shared" si="23"/>
        <v>14009.5286948582</v>
      </c>
      <c r="BH105" s="132">
        <f t="shared" si="23"/>
        <v>14638.412219274194</v>
      </c>
      <c r="BI105" s="133">
        <f t="shared" si="23"/>
        <v>15042.843671657582</v>
      </c>
      <c r="BJ105" s="133">
        <f t="shared" si="23"/>
        <v>19405.701736466708</v>
      </c>
      <c r="BK105" s="134">
        <f t="shared" si="23"/>
        <v>16408.362369337978</v>
      </c>
      <c r="BL105" s="132">
        <f t="shared" si="23"/>
        <v>13938.128181699518</v>
      </c>
      <c r="BM105" s="133">
        <f t="shared" si="23"/>
        <v>15024.948024948024</v>
      </c>
      <c r="BN105" s="133">
        <f t="shared" si="23"/>
        <v>16408.874580067186</v>
      </c>
      <c r="BO105" s="134">
        <f t="shared" si="23"/>
        <v>15167.343961654684</v>
      </c>
      <c r="BP105" s="132">
        <f t="shared" si="23"/>
        <v>13048.404962339391</v>
      </c>
      <c r="BQ105" s="133">
        <f t="shared" si="23"/>
        <v>13208.1088362069</v>
      </c>
      <c r="BR105" s="133">
        <f t="shared" si="23"/>
        <v>15755.13632252229</v>
      </c>
      <c r="BS105" s="134">
        <f t="shared" si="23"/>
        <v>13846.054809637668</v>
      </c>
      <c r="BT105" s="133">
        <f t="shared" ref="I105:BT109" si="24">_xlfn.XLOOKUP($C105,$C$37:$C$55,BT$37:BT$55)/(SUM(_xlfn.XLOOKUP($E$57,$C$7:$C$17,BT$7:BT$17)+_xlfn.XLOOKUP($C105,$C$56:$C$75,BT$56:BT$75)))*1000</f>
        <v>12375.20568682946</v>
      </c>
      <c r="BU105" s="133"/>
      <c r="BV105" s="57"/>
      <c r="BW105" s="58"/>
      <c r="BX105" s="59"/>
      <c r="BY105" s="59"/>
      <c r="BZ105" s="59"/>
      <c r="CA105" s="59"/>
      <c r="CB105" s="59"/>
      <c r="CC105" s="59"/>
      <c r="CD105" s="59"/>
      <c r="CE105" s="59"/>
      <c r="CF105" s="59"/>
      <c r="CG105" s="59"/>
      <c r="CH105" s="59"/>
      <c r="CI105" s="59"/>
      <c r="CJ105" s="59"/>
      <c r="CK105" s="59"/>
      <c r="CL105" s="59"/>
    </row>
    <row r="106" spans="1:90" x14ac:dyDescent="0.25">
      <c r="A106" s="9"/>
      <c r="B106" s="9"/>
      <c r="C106" s="3" t="s">
        <v>11</v>
      </c>
      <c r="D106" s="3"/>
      <c r="E106" s="3"/>
      <c r="F106" s="20"/>
      <c r="G106" s="20"/>
      <c r="H106" s="132">
        <f t="shared" si="22"/>
        <v>7005.8508311311616</v>
      </c>
      <c r="I106" s="133">
        <f t="shared" si="24"/>
        <v>7326.4032126876182</v>
      </c>
      <c r="J106" s="133">
        <f t="shared" si="24"/>
        <v>7760.7069313246266</v>
      </c>
      <c r="K106" s="134">
        <f t="shared" si="24"/>
        <v>8849.8139101249308</v>
      </c>
      <c r="L106" s="132">
        <f t="shared" si="24"/>
        <v>10416.037645521332</v>
      </c>
      <c r="M106" s="133">
        <f t="shared" si="24"/>
        <v>9765.175979351261</v>
      </c>
      <c r="N106" s="133">
        <f t="shared" si="24"/>
        <v>8639.0683527132223</v>
      </c>
      <c r="O106" s="134">
        <f t="shared" si="24"/>
        <v>8504.3760762947932</v>
      </c>
      <c r="P106" s="132">
        <f t="shared" si="24"/>
        <v>7998.304651122633</v>
      </c>
      <c r="Q106" s="133">
        <f t="shared" si="24"/>
        <v>7549.0468291666311</v>
      </c>
      <c r="R106" s="133">
        <f t="shared" si="24"/>
        <v>8060.5994071193763</v>
      </c>
      <c r="S106" s="134">
        <f t="shared" si="24"/>
        <v>8270.7019248841953</v>
      </c>
      <c r="T106" s="132">
        <f t="shared" si="24"/>
        <v>5820.4125507262124</v>
      </c>
      <c r="U106" s="133">
        <f t="shared" si="24"/>
        <v>8743.386268228016</v>
      </c>
      <c r="V106" s="133">
        <f t="shared" si="24"/>
        <v>11124.338707532439</v>
      </c>
      <c r="W106" s="134">
        <f t="shared" si="24"/>
        <v>10667.385364928852</v>
      </c>
      <c r="X106" s="132">
        <f t="shared" si="24"/>
        <v>7536.3988216360931</v>
      </c>
      <c r="Y106" s="133">
        <f t="shared" si="24"/>
        <v>15956.38895344519</v>
      </c>
      <c r="Z106" s="133">
        <f t="shared" si="24"/>
        <v>16907.967542808692</v>
      </c>
      <c r="AA106" s="134">
        <f t="shared" si="24"/>
        <v>18161.1227350687</v>
      </c>
      <c r="AB106" s="132">
        <f t="shared" si="24"/>
        <v>14247.672682781118</v>
      </c>
      <c r="AC106" s="133">
        <f t="shared" si="24"/>
        <v>13296.401944632222</v>
      </c>
      <c r="AD106" s="133">
        <f t="shared" si="24"/>
        <v>17369.916679321377</v>
      </c>
      <c r="AE106" s="134">
        <f t="shared" si="24"/>
        <v>11258.84897653394</v>
      </c>
      <c r="AF106" s="132">
        <f t="shared" si="24"/>
        <v>9018.9721095897094</v>
      </c>
      <c r="AG106" s="133">
        <f t="shared" si="24"/>
        <v>8968.7112267980538</v>
      </c>
      <c r="AH106" s="133">
        <f t="shared" si="24"/>
        <v>12744.293616211604</v>
      </c>
      <c r="AI106" s="134">
        <f t="shared" si="24"/>
        <v>8659.5455297219487</v>
      </c>
      <c r="AJ106" s="132">
        <f t="shared" si="24"/>
        <v>6901.1020021435952</v>
      </c>
      <c r="AK106" s="133">
        <f t="shared" si="24"/>
        <v>10885.562228585126</v>
      </c>
      <c r="AL106" s="133">
        <f t="shared" si="24"/>
        <v>9726.6518837450512</v>
      </c>
      <c r="AM106" s="134">
        <f t="shared" si="24"/>
        <v>8349.3582842981905</v>
      </c>
      <c r="AN106" s="132">
        <f t="shared" si="24"/>
        <v>8529.9335757400677</v>
      </c>
      <c r="AO106" s="133">
        <f t="shared" si="24"/>
        <v>9114.6453535770488</v>
      </c>
      <c r="AP106" s="133">
        <f t="shared" si="24"/>
        <v>10561.97352538843</v>
      </c>
      <c r="AQ106" s="134">
        <f t="shared" si="24"/>
        <v>9853.969729905757</v>
      </c>
      <c r="AR106" s="132">
        <f t="shared" si="24"/>
        <v>10342.026889448243</v>
      </c>
      <c r="AS106" s="133">
        <f t="shared" si="24"/>
        <v>9976.9280545511247</v>
      </c>
      <c r="AT106" s="133">
        <f t="shared" si="24"/>
        <v>10996.06028820862</v>
      </c>
      <c r="AU106" s="134">
        <f t="shared" si="24"/>
        <v>11126.206050228369</v>
      </c>
      <c r="AV106" s="132">
        <f t="shared" si="24"/>
        <v>8540.9491380790569</v>
      </c>
      <c r="AW106" s="133">
        <f t="shared" si="24"/>
        <v>9800.8296695710324</v>
      </c>
      <c r="AX106" s="133">
        <f t="shared" si="24"/>
        <v>8234.9454891148453</v>
      </c>
      <c r="AY106" s="134">
        <f t="shared" si="24"/>
        <v>10901.345005008925</v>
      </c>
      <c r="AZ106" s="132">
        <f t="shared" si="24"/>
        <v>8070.1405950624958</v>
      </c>
      <c r="BA106" s="133">
        <f t="shared" si="24"/>
        <v>8840.039716970532</v>
      </c>
      <c r="BB106" s="133">
        <f t="shared" si="24"/>
        <v>9510.0849178953758</v>
      </c>
      <c r="BC106" s="134">
        <f t="shared" si="24"/>
        <v>10209.427037737751</v>
      </c>
      <c r="BD106" s="132">
        <f t="shared" si="24"/>
        <v>9630.9666958843554</v>
      </c>
      <c r="BE106" s="133">
        <f t="shared" si="24"/>
        <v>15281.268731599057</v>
      </c>
      <c r="BF106" s="133">
        <f t="shared" si="24"/>
        <v>16000.248425602742</v>
      </c>
      <c r="BG106" s="134">
        <f t="shared" si="24"/>
        <v>17100.481272028268</v>
      </c>
      <c r="BH106" s="132">
        <f t="shared" si="24"/>
        <v>11778.828830759854</v>
      </c>
      <c r="BI106" s="133">
        <f t="shared" si="24"/>
        <v>15012.050433919117</v>
      </c>
      <c r="BJ106" s="133">
        <f t="shared" si="24"/>
        <v>16795.812186165818</v>
      </c>
      <c r="BK106" s="134">
        <f t="shared" si="24"/>
        <v>15237.476266978239</v>
      </c>
      <c r="BL106" s="132">
        <f t="shared" si="24"/>
        <v>11155.30966406623</v>
      </c>
      <c r="BM106" s="133">
        <f t="shared" si="24"/>
        <v>13086.088939566704</v>
      </c>
      <c r="BN106" s="133">
        <f t="shared" si="24"/>
        <v>14462.435970404096</v>
      </c>
      <c r="BO106" s="134">
        <f t="shared" si="24"/>
        <v>13108.076009501188</v>
      </c>
      <c r="BP106" s="132">
        <f t="shared" si="24"/>
        <v>10552.207926553308</v>
      </c>
      <c r="BQ106" s="133">
        <f t="shared" si="24"/>
        <v>13057.918185500204</v>
      </c>
      <c r="BR106" s="133">
        <f t="shared" si="24"/>
        <v>14477.044854881264</v>
      </c>
      <c r="BS106" s="134">
        <f t="shared" si="24"/>
        <v>12663.877406996675</v>
      </c>
      <c r="BT106" s="133">
        <f t="shared" si="24"/>
        <v>9487.0340356564011</v>
      </c>
      <c r="BU106" s="133"/>
      <c r="BV106" s="57"/>
      <c r="BW106" s="58"/>
      <c r="BX106" s="59"/>
      <c r="BY106" s="59"/>
      <c r="BZ106" s="59"/>
      <c r="CA106" s="59"/>
      <c r="CB106" s="59"/>
      <c r="CC106" s="59"/>
      <c r="CD106" s="59"/>
      <c r="CE106" s="59"/>
      <c r="CF106" s="59"/>
      <c r="CG106" s="59"/>
      <c r="CH106" s="59"/>
      <c r="CI106" s="59"/>
      <c r="CJ106" s="59"/>
      <c r="CK106" s="59"/>
      <c r="CL106" s="59"/>
    </row>
    <row r="107" spans="1:90" x14ac:dyDescent="0.25">
      <c r="A107" s="9"/>
      <c r="B107" s="9"/>
      <c r="C107" s="3" t="s">
        <v>12</v>
      </c>
      <c r="D107" s="3"/>
      <c r="E107" s="3"/>
      <c r="F107" s="20"/>
      <c r="G107" s="20"/>
      <c r="H107" s="132">
        <f t="shared" si="22"/>
        <v>8101.893234388539</v>
      </c>
      <c r="I107" s="133">
        <f t="shared" si="24"/>
        <v>7760.4013575548643</v>
      </c>
      <c r="J107" s="133">
        <f t="shared" si="24"/>
        <v>8497.2012983606764</v>
      </c>
      <c r="K107" s="134">
        <f t="shared" si="24"/>
        <v>8861.3209024799544</v>
      </c>
      <c r="L107" s="132">
        <f t="shared" si="24"/>
        <v>10644.756829551918</v>
      </c>
      <c r="M107" s="133">
        <f t="shared" si="24"/>
        <v>9568.5727991418898</v>
      </c>
      <c r="N107" s="133">
        <f t="shared" si="24"/>
        <v>9527.3304917645273</v>
      </c>
      <c r="O107" s="134">
        <f t="shared" si="24"/>
        <v>9038.9551322424086</v>
      </c>
      <c r="P107" s="132">
        <f t="shared" si="24"/>
        <v>8157.5489292701168</v>
      </c>
      <c r="Q107" s="133">
        <f t="shared" si="24"/>
        <v>7919.3613093903114</v>
      </c>
      <c r="R107" s="133">
        <f t="shared" si="24"/>
        <v>8561.8276936394159</v>
      </c>
      <c r="S107" s="134">
        <f t="shared" si="24"/>
        <v>8428.1805572905705</v>
      </c>
      <c r="T107" s="132">
        <f t="shared" si="24"/>
        <v>7129.3812755582239</v>
      </c>
      <c r="U107" s="133">
        <f t="shared" si="24"/>
        <v>8857.5151900132569</v>
      </c>
      <c r="V107" s="133">
        <f t="shared" si="24"/>
        <v>10468.352732339965</v>
      </c>
      <c r="W107" s="134">
        <f t="shared" si="24"/>
        <v>13419.723235767196</v>
      </c>
      <c r="X107" s="132">
        <f t="shared" si="24"/>
        <v>9183.1091629492767</v>
      </c>
      <c r="Y107" s="133">
        <f t="shared" si="24"/>
        <v>15521.173668554262</v>
      </c>
      <c r="Z107" s="133">
        <f t="shared" si="24"/>
        <v>14979.306734620068</v>
      </c>
      <c r="AA107" s="134">
        <f t="shared" si="24"/>
        <v>18587.820286443006</v>
      </c>
      <c r="AB107" s="132">
        <f t="shared" si="24"/>
        <v>15389.832994682962</v>
      </c>
      <c r="AC107" s="133">
        <f t="shared" si="24"/>
        <v>12194.355385182096</v>
      </c>
      <c r="AD107" s="133">
        <f t="shared" si="24"/>
        <v>16677.884121064759</v>
      </c>
      <c r="AE107" s="134">
        <f t="shared" si="24"/>
        <v>9166.8522084436154</v>
      </c>
      <c r="AF107" s="132">
        <f t="shared" si="24"/>
        <v>9748.3965313933531</v>
      </c>
      <c r="AG107" s="133">
        <f t="shared" si="24"/>
        <v>8716.8372158626462</v>
      </c>
      <c r="AH107" s="133">
        <f t="shared" si="24"/>
        <v>11340.206904813447</v>
      </c>
      <c r="AI107" s="134">
        <f t="shared" si="24"/>
        <v>9703.5994890670463</v>
      </c>
      <c r="AJ107" s="132">
        <f t="shared" si="24"/>
        <v>7509.8053630166232</v>
      </c>
      <c r="AK107" s="133">
        <f t="shared" si="24"/>
        <v>10014.414922544262</v>
      </c>
      <c r="AL107" s="133">
        <f t="shared" si="24"/>
        <v>9747.507015968562</v>
      </c>
      <c r="AM107" s="134">
        <f t="shared" si="24"/>
        <v>9233.8587312884174</v>
      </c>
      <c r="AN107" s="132">
        <f t="shared" si="24"/>
        <v>8639.9576659341237</v>
      </c>
      <c r="AO107" s="133">
        <f t="shared" si="24"/>
        <v>8598.4251357407902</v>
      </c>
      <c r="AP107" s="133">
        <f t="shared" si="24"/>
        <v>9957.8596410926148</v>
      </c>
      <c r="AQ107" s="134">
        <f t="shared" si="24"/>
        <v>8448.7516164925983</v>
      </c>
      <c r="AR107" s="132">
        <f t="shared" si="24"/>
        <v>9959.0013061495119</v>
      </c>
      <c r="AS107" s="133">
        <f t="shared" si="24"/>
        <v>9360.1478738707665</v>
      </c>
      <c r="AT107" s="133">
        <f t="shared" si="24"/>
        <v>10359.398928855111</v>
      </c>
      <c r="AU107" s="134">
        <f t="shared" si="24"/>
        <v>10678.779868082553</v>
      </c>
      <c r="AV107" s="132">
        <f t="shared" si="24"/>
        <v>10019.564573106949</v>
      </c>
      <c r="AW107" s="133">
        <f t="shared" si="24"/>
        <v>9023.2425931443449</v>
      </c>
      <c r="AX107" s="133">
        <f t="shared" si="24"/>
        <v>8029.6320212730925</v>
      </c>
      <c r="AY107" s="134">
        <f t="shared" si="24"/>
        <v>9848.9697407479962</v>
      </c>
      <c r="AZ107" s="132">
        <f t="shared" si="24"/>
        <v>8459.2468892922443</v>
      </c>
      <c r="BA107" s="133">
        <f t="shared" si="24"/>
        <v>8009.0755330355887</v>
      </c>
      <c r="BB107" s="133">
        <f t="shared" si="24"/>
        <v>9123.3214247266114</v>
      </c>
      <c r="BC107" s="134">
        <f t="shared" si="24"/>
        <v>9747.8157366437026</v>
      </c>
      <c r="BD107" s="132">
        <f t="shared" si="24"/>
        <v>8844.8364619403437</v>
      </c>
      <c r="BE107" s="133">
        <f t="shared" si="24"/>
        <v>11468.085006317913</v>
      </c>
      <c r="BF107" s="133">
        <f t="shared" si="24"/>
        <v>13949.537307314893</v>
      </c>
      <c r="BG107" s="134">
        <f t="shared" si="24"/>
        <v>13300.585255219681</v>
      </c>
      <c r="BH107" s="132">
        <f t="shared" si="24"/>
        <v>10460.634269114589</v>
      </c>
      <c r="BI107" s="133">
        <f t="shared" si="24"/>
        <v>12964.521430219791</v>
      </c>
      <c r="BJ107" s="133">
        <f t="shared" si="24"/>
        <v>17401.110386579854</v>
      </c>
      <c r="BK107" s="134">
        <f t="shared" si="24"/>
        <v>15579.815977800496</v>
      </c>
      <c r="BL107" s="132">
        <f t="shared" si="24"/>
        <v>11770.41872313326</v>
      </c>
      <c r="BM107" s="133">
        <f t="shared" si="24"/>
        <v>12879.418472063853</v>
      </c>
      <c r="BN107" s="133">
        <f t="shared" si="24"/>
        <v>14972.680705748435</v>
      </c>
      <c r="BO107" s="134">
        <f t="shared" si="24"/>
        <v>12868.60289354351</v>
      </c>
      <c r="BP107" s="132">
        <f t="shared" si="24"/>
        <v>10583.952932048876</v>
      </c>
      <c r="BQ107" s="133">
        <f t="shared" si="24"/>
        <v>12938.166599162954</v>
      </c>
      <c r="BR107" s="133">
        <f t="shared" si="24"/>
        <v>14548.680738786279</v>
      </c>
      <c r="BS107" s="134">
        <f t="shared" si="24"/>
        <v>12561.346909970764</v>
      </c>
      <c r="BT107" s="133">
        <f t="shared" si="24"/>
        <v>9864.9378714208524</v>
      </c>
      <c r="BU107" s="133"/>
      <c r="BV107" s="57"/>
      <c r="BW107" s="58"/>
      <c r="BX107" s="59"/>
      <c r="BY107" s="59"/>
      <c r="BZ107" s="59"/>
      <c r="CA107" s="59"/>
      <c r="CB107" s="59"/>
      <c r="CC107" s="59"/>
      <c r="CD107" s="59"/>
      <c r="CE107" s="59"/>
      <c r="CF107" s="59"/>
      <c r="CG107" s="59"/>
      <c r="CH107" s="59"/>
      <c r="CI107" s="59"/>
      <c r="CJ107" s="59"/>
      <c r="CK107" s="59"/>
      <c r="CL107" s="59"/>
    </row>
    <row r="108" spans="1:90" x14ac:dyDescent="0.25">
      <c r="A108" s="9"/>
      <c r="B108" s="9"/>
      <c r="C108" s="3" t="s">
        <v>13</v>
      </c>
      <c r="D108" s="3"/>
      <c r="E108" s="3"/>
      <c r="F108" s="20"/>
      <c r="G108" s="20"/>
      <c r="H108" s="132">
        <f t="shared" ref="H108:H113" si="25">_xlfn.XLOOKUP($C108,$C$37:$C$55,H$37:H$55)/(SUM(_xlfn.XLOOKUP($E$57,$C$7:$C$17,H$7:H$17)+_xlfn.XLOOKUP($C108,$C$56:$C$75,H$56:H$75)))*1000</f>
        <v>5618.9876902395854</v>
      </c>
      <c r="I108" s="133">
        <f t="shared" si="24"/>
        <v>6657.3026699281972</v>
      </c>
      <c r="J108" s="133">
        <f t="shared" si="24"/>
        <v>7302.4538296212895</v>
      </c>
      <c r="K108" s="134">
        <f t="shared" si="24"/>
        <v>8475.4940642675137</v>
      </c>
      <c r="L108" s="132">
        <f t="shared" si="24"/>
        <v>9371.9593656254765</v>
      </c>
      <c r="M108" s="133">
        <f t="shared" si="24"/>
        <v>8886.1490583715949</v>
      </c>
      <c r="N108" s="133">
        <f t="shared" si="24"/>
        <v>8394.0489560781043</v>
      </c>
      <c r="O108" s="134">
        <f t="shared" si="24"/>
        <v>8077.4889898756455</v>
      </c>
      <c r="P108" s="132">
        <f t="shared" si="24"/>
        <v>7300.2629752149833</v>
      </c>
      <c r="Q108" s="133">
        <f t="shared" si="24"/>
        <v>6970.2210570511797</v>
      </c>
      <c r="R108" s="133">
        <f t="shared" si="24"/>
        <v>7387.6509996416162</v>
      </c>
      <c r="S108" s="134">
        <f t="shared" si="24"/>
        <v>7172.687274307953</v>
      </c>
      <c r="T108" s="132">
        <f t="shared" si="24"/>
        <v>4266.6475951589191</v>
      </c>
      <c r="U108" s="133">
        <f t="shared" si="24"/>
        <v>8320.4757235969955</v>
      </c>
      <c r="V108" s="133">
        <f t="shared" si="24"/>
        <v>10616.591918799662</v>
      </c>
      <c r="W108" s="134">
        <f t="shared" si="24"/>
        <v>10621.555049660778</v>
      </c>
      <c r="X108" s="132">
        <f t="shared" si="24"/>
        <v>5641.1367489255117</v>
      </c>
      <c r="Y108" s="133">
        <f t="shared" si="24"/>
        <v>15210.904307801875</v>
      </c>
      <c r="Z108" s="133">
        <f t="shared" si="24"/>
        <v>16604.048974734655</v>
      </c>
      <c r="AA108" s="134">
        <f t="shared" si="24"/>
        <v>17098.695121102228</v>
      </c>
      <c r="AB108" s="132">
        <f t="shared" si="24"/>
        <v>12382.084347868798</v>
      </c>
      <c r="AC108" s="133">
        <f t="shared" si="24"/>
        <v>13426.498650010724</v>
      </c>
      <c r="AD108" s="133">
        <f t="shared" si="24"/>
        <v>17072.008680500428</v>
      </c>
      <c r="AE108" s="134">
        <f t="shared" si="24"/>
        <v>10954.542001416465</v>
      </c>
      <c r="AF108" s="132">
        <f t="shared" si="24"/>
        <v>8558.6188803797249</v>
      </c>
      <c r="AG108" s="133">
        <f t="shared" si="24"/>
        <v>8909.7262194411778</v>
      </c>
      <c r="AH108" s="133">
        <f t="shared" si="24"/>
        <v>13125.145155199314</v>
      </c>
      <c r="AI108" s="134">
        <f t="shared" si="24"/>
        <v>8201.557383006193</v>
      </c>
      <c r="AJ108" s="132">
        <f t="shared" si="24"/>
        <v>5670.594646838983</v>
      </c>
      <c r="AK108" s="133">
        <f t="shared" si="24"/>
        <v>11304.170116942745</v>
      </c>
      <c r="AL108" s="133">
        <f t="shared" si="24"/>
        <v>9745.0239549242815</v>
      </c>
      <c r="AM108" s="134">
        <f t="shared" si="24"/>
        <v>8038.0922475182806</v>
      </c>
      <c r="AN108" s="132">
        <f t="shared" si="24"/>
        <v>8285.417078931232</v>
      </c>
      <c r="AO108" s="133">
        <f t="shared" si="24"/>
        <v>9028.274955457342</v>
      </c>
      <c r="AP108" s="133">
        <f t="shared" si="24"/>
        <v>10839.299056818667</v>
      </c>
      <c r="AQ108" s="134">
        <f t="shared" si="24"/>
        <v>10173.377186362501</v>
      </c>
      <c r="AR108" s="132">
        <f t="shared" si="24"/>
        <v>10141.465397269405</v>
      </c>
      <c r="AS108" s="133">
        <f t="shared" si="24"/>
        <v>10165.040903699868</v>
      </c>
      <c r="AT108" s="133">
        <f t="shared" si="24"/>
        <v>11539.651384832203</v>
      </c>
      <c r="AU108" s="134">
        <f t="shared" si="24"/>
        <v>11142.205255193432</v>
      </c>
      <c r="AV108" s="132">
        <f t="shared" si="24"/>
        <v>8180.496557429432</v>
      </c>
      <c r="AW108" s="133">
        <f t="shared" si="24"/>
        <v>9936.1288869187338</v>
      </c>
      <c r="AX108" s="133">
        <f t="shared" si="24"/>
        <v>8376.8932592407</v>
      </c>
      <c r="AY108" s="134">
        <f t="shared" si="24"/>
        <v>10714.684800400095</v>
      </c>
      <c r="AZ108" s="132">
        <f t="shared" si="24"/>
        <v>6830.6485350649582</v>
      </c>
      <c r="BA108" s="133">
        <f t="shared" si="24"/>
        <v>8481.825606167462</v>
      </c>
      <c r="BB108" s="133">
        <f t="shared" si="24"/>
        <v>9184.9944433488654</v>
      </c>
      <c r="BC108" s="134">
        <f t="shared" si="24"/>
        <v>10012.708071146382</v>
      </c>
      <c r="BD108" s="132">
        <f t="shared" si="24"/>
        <v>8726.7830890329533</v>
      </c>
      <c r="BE108" s="133">
        <f t="shared" si="24"/>
        <v>14825.674323495568</v>
      </c>
      <c r="BF108" s="133">
        <f t="shared" si="24"/>
        <v>15993.844013564038</v>
      </c>
      <c r="BG108" s="134">
        <f t="shared" si="24"/>
        <v>13941.456275004894</v>
      </c>
      <c r="BH108" s="132">
        <f t="shared" si="24"/>
        <v>9693.0456372679673</v>
      </c>
      <c r="BI108" s="133">
        <f t="shared" si="24"/>
        <v>15096.588437681383</v>
      </c>
      <c r="BJ108" s="133">
        <f t="shared" si="24"/>
        <v>16437.750888527575</v>
      </c>
      <c r="BK108" s="134">
        <f t="shared" si="24"/>
        <v>14411.128961589016</v>
      </c>
      <c r="BL108" s="132">
        <f t="shared" si="24"/>
        <v>9712.6253781245014</v>
      </c>
      <c r="BM108" s="133">
        <f t="shared" si="24"/>
        <v>12539.053591790194</v>
      </c>
      <c r="BN108" s="133">
        <f t="shared" si="24"/>
        <v>14004.126351735911</v>
      </c>
      <c r="BO108" s="134">
        <f t="shared" si="24"/>
        <v>12121.572014683652</v>
      </c>
      <c r="BP108" s="132">
        <f t="shared" si="24"/>
        <v>8724.9951509665734</v>
      </c>
      <c r="BQ108" s="133">
        <f t="shared" si="24"/>
        <v>12164.034021871204</v>
      </c>
      <c r="BR108" s="133">
        <f t="shared" si="24"/>
        <v>13390.501319261213</v>
      </c>
      <c r="BS108" s="134">
        <f t="shared" si="24"/>
        <v>11615.888698457506</v>
      </c>
      <c r="BT108" s="133">
        <f t="shared" si="24"/>
        <v>7977.5410974762672</v>
      </c>
      <c r="BU108" s="133"/>
      <c r="BV108" s="57"/>
      <c r="BW108" s="58"/>
      <c r="BX108" s="59"/>
      <c r="BY108" s="59"/>
      <c r="BZ108" s="59"/>
      <c r="CA108" s="59"/>
      <c r="CB108" s="59"/>
      <c r="CC108" s="59"/>
      <c r="CD108" s="59"/>
      <c r="CE108" s="59"/>
      <c r="CF108" s="59"/>
      <c r="CG108" s="59"/>
      <c r="CH108" s="59"/>
      <c r="CI108" s="59"/>
      <c r="CJ108" s="59"/>
      <c r="CK108" s="59"/>
      <c r="CL108" s="59"/>
    </row>
    <row r="109" spans="1:90" x14ac:dyDescent="0.25">
      <c r="A109" s="9"/>
      <c r="B109" s="9"/>
      <c r="C109" s="3" t="s">
        <v>14</v>
      </c>
      <c r="D109" s="3"/>
      <c r="E109" s="3"/>
      <c r="F109" s="20"/>
      <c r="G109" s="20"/>
      <c r="H109" s="132">
        <f t="shared" si="25"/>
        <v>7955.708851378793</v>
      </c>
      <c r="I109" s="133">
        <f t="shared" si="24"/>
        <v>7108.9859977798969</v>
      </c>
      <c r="J109" s="133">
        <f t="shared" si="24"/>
        <v>7793.3152078836365</v>
      </c>
      <c r="K109" s="134">
        <f t="shared" si="24"/>
        <v>9211.4112957039488</v>
      </c>
      <c r="L109" s="132">
        <f t="shared" si="24"/>
        <v>10513.061788280613</v>
      </c>
      <c r="M109" s="133">
        <f t="shared" si="24"/>
        <v>9571.6938359575888</v>
      </c>
      <c r="N109" s="133">
        <f t="shared" si="24"/>
        <v>8916.3103524125199</v>
      </c>
      <c r="O109" s="134">
        <f t="shared" si="24"/>
        <v>8769.1945271918976</v>
      </c>
      <c r="P109" s="132">
        <f t="shared" si="24"/>
        <v>8780.6790664117489</v>
      </c>
      <c r="Q109" s="133">
        <f t="shared" si="24"/>
        <v>7199.1396719478334</v>
      </c>
      <c r="R109" s="133">
        <f t="shared" si="24"/>
        <v>7597.9556490273098</v>
      </c>
      <c r="S109" s="134">
        <f t="shared" si="24"/>
        <v>7559.8313694793533</v>
      </c>
      <c r="T109" s="132">
        <f t="shared" si="24"/>
        <v>10635.287525393105</v>
      </c>
      <c r="U109" s="133">
        <f t="shared" si="24"/>
        <v>6736.5017906429348</v>
      </c>
      <c r="V109" s="133">
        <f t="shared" si="24"/>
        <v>6755.4889853091227</v>
      </c>
      <c r="W109" s="134">
        <f t="shared" si="24"/>
        <v>7604.2114630347596</v>
      </c>
      <c r="X109" s="132">
        <f t="shared" si="24"/>
        <v>11427.419441330732</v>
      </c>
      <c r="Y109" s="133">
        <f t="shared" si="24"/>
        <v>9559.3801391524376</v>
      </c>
      <c r="Z109" s="133" t="e">
        <f t="shared" si="24"/>
        <v>#DIV/0!</v>
      </c>
      <c r="AA109" s="134" t="e">
        <f t="shared" si="24"/>
        <v>#DIV/0!</v>
      </c>
      <c r="AB109" s="132">
        <f t="shared" si="24"/>
        <v>12245.807331395583</v>
      </c>
      <c r="AC109" s="133">
        <f t="shared" si="24"/>
        <v>10421.993883928837</v>
      </c>
      <c r="AD109" s="133">
        <f t="shared" si="24"/>
        <v>7381.4219401845003</v>
      </c>
      <c r="AE109" s="134">
        <f t="shared" si="24"/>
        <v>8338.3233993788108</v>
      </c>
      <c r="AF109" s="132">
        <f t="shared" si="24"/>
        <v>8716.5373156287951</v>
      </c>
      <c r="AG109" s="133">
        <f t="shared" si="24"/>
        <v>7485.9323454412524</v>
      </c>
      <c r="AH109" s="133" t="e">
        <f t="shared" si="24"/>
        <v>#DIV/0!</v>
      </c>
      <c r="AI109" s="134">
        <f t="shared" si="24"/>
        <v>8766.2098113245174</v>
      </c>
      <c r="AJ109" s="132">
        <f t="shared" si="24"/>
        <v>11170.117038982813</v>
      </c>
      <c r="AK109" s="133">
        <f t="shared" si="24"/>
        <v>9589.1763400153632</v>
      </c>
      <c r="AL109" s="133">
        <f t="shared" si="24"/>
        <v>8351.990908289823</v>
      </c>
      <c r="AM109" s="134">
        <f t="shared" si="24"/>
        <v>7670.4875143305326</v>
      </c>
      <c r="AN109" s="132">
        <f t="shared" si="24"/>
        <v>9264.9929024870326</v>
      </c>
      <c r="AO109" s="133">
        <f t="shared" si="24"/>
        <v>7883.4984165173091</v>
      </c>
      <c r="AP109" s="133">
        <f t="shared" si="24"/>
        <v>8691.6414385121516</v>
      </c>
      <c r="AQ109" s="134">
        <f t="shared" si="24"/>
        <v>9712.6176191949144</v>
      </c>
      <c r="AR109" s="132">
        <f t="shared" si="24"/>
        <v>9237.453951257181</v>
      </c>
      <c r="AS109" s="133">
        <f t="shared" si="24"/>
        <v>8751.3096235666635</v>
      </c>
      <c r="AT109" s="133">
        <f t="shared" si="24"/>
        <v>8810.6340313286055</v>
      </c>
      <c r="AU109" s="134">
        <f t="shared" si="24"/>
        <v>8042.0735934796085</v>
      </c>
      <c r="AV109" s="132">
        <f t="shared" si="24"/>
        <v>7736.8312272715375</v>
      </c>
      <c r="AW109" s="133">
        <f t="shared" si="24"/>
        <v>8054.1841848316571</v>
      </c>
      <c r="AX109" s="133">
        <f t="shared" si="24"/>
        <v>7526.227663750059</v>
      </c>
      <c r="AY109" s="134">
        <f t="shared" si="24"/>
        <v>9579.1922271934563</v>
      </c>
      <c r="AZ109" s="132">
        <f t="shared" si="24"/>
        <v>9448.5053725580019</v>
      </c>
      <c r="BA109" s="133">
        <f t="shared" si="24"/>
        <v>7737.6990690927223</v>
      </c>
      <c r="BB109" s="133">
        <f t="shared" si="24"/>
        <v>8229.1281927772725</v>
      </c>
      <c r="BC109" s="134">
        <f t="shared" si="24"/>
        <v>10879.87374996283</v>
      </c>
      <c r="BD109" s="132">
        <f t="shared" si="24"/>
        <v>9901.1306110536352</v>
      </c>
      <c r="BE109" s="133">
        <f t="shared" si="24"/>
        <v>10390.460653625511</v>
      </c>
      <c r="BF109" s="133">
        <f t="shared" si="24"/>
        <v>8926.1097876266012</v>
      </c>
      <c r="BG109" s="134">
        <f t="shared" si="24"/>
        <v>9516.2569959526718</v>
      </c>
      <c r="BH109" s="132">
        <f t="shared" si="24"/>
        <v>11656.127459003346</v>
      </c>
      <c r="BI109" s="133">
        <f t="shared" si="24"/>
        <v>11221.290278934801</v>
      </c>
      <c r="BJ109" s="133">
        <f t="shared" si="24"/>
        <v>11642.304269257957</v>
      </c>
      <c r="BK109" s="134">
        <f t="shared" si="24"/>
        <v>0</v>
      </c>
      <c r="BL109" s="132">
        <f t="shared" si="24"/>
        <v>0</v>
      </c>
      <c r="BM109" s="133">
        <f t="shared" si="24"/>
        <v>0</v>
      </c>
      <c r="BN109" s="133">
        <f t="shared" si="24"/>
        <v>0</v>
      </c>
      <c r="BO109" s="134">
        <f t="shared" si="24"/>
        <v>0</v>
      </c>
      <c r="BP109" s="132">
        <f t="shared" si="24"/>
        <v>0</v>
      </c>
      <c r="BQ109" s="133">
        <f t="shared" si="24"/>
        <v>0</v>
      </c>
      <c r="BR109" s="133">
        <f t="shared" si="24"/>
        <v>0</v>
      </c>
      <c r="BS109" s="134">
        <f t="shared" ref="I109:BT113" si="26">_xlfn.XLOOKUP($C109,$C$37:$C$55,BS$37:BS$55)/(SUM(_xlfn.XLOOKUP($E$57,$C$7:$C$17,BS$7:BS$17)+_xlfn.XLOOKUP($C109,$C$56:$C$75,BS$56:BS$75)))*1000</f>
        <v>0</v>
      </c>
      <c r="BT109" s="133">
        <f t="shared" si="26"/>
        <v>0</v>
      </c>
      <c r="BU109" s="133"/>
      <c r="BV109" s="57"/>
      <c r="BW109" s="58"/>
      <c r="BX109" s="59"/>
      <c r="BY109" s="59"/>
      <c r="BZ109" s="59"/>
      <c r="CA109" s="59"/>
      <c r="CB109" s="59"/>
      <c r="CC109" s="59"/>
      <c r="CD109" s="59"/>
      <c r="CE109" s="59"/>
      <c r="CF109" s="59"/>
      <c r="CG109" s="59"/>
      <c r="CH109" s="59"/>
      <c r="CI109" s="59"/>
      <c r="CJ109" s="59"/>
      <c r="CK109" s="59"/>
      <c r="CL109" s="59"/>
    </row>
    <row r="110" spans="1:90" x14ac:dyDescent="0.25">
      <c r="A110" s="9"/>
      <c r="B110" s="9"/>
      <c r="C110" s="3" t="s">
        <v>15</v>
      </c>
      <c r="D110" s="3"/>
      <c r="E110" s="3"/>
      <c r="F110" s="20"/>
      <c r="G110" s="20"/>
      <c r="H110" s="132">
        <f t="shared" si="25"/>
        <v>6777.2634541971947</v>
      </c>
      <c r="I110" s="133">
        <f t="shared" si="26"/>
        <v>5523.2919282911025</v>
      </c>
      <c r="J110" s="133">
        <f t="shared" si="26"/>
        <v>6233.4771139498016</v>
      </c>
      <c r="K110" s="134">
        <f t="shared" si="26"/>
        <v>6185.0329124387063</v>
      </c>
      <c r="L110" s="132">
        <f t="shared" si="26"/>
        <v>9862.3599921625228</v>
      </c>
      <c r="M110" s="133">
        <f t="shared" si="26"/>
        <v>8683.9382901638255</v>
      </c>
      <c r="N110" s="133">
        <f t="shared" si="26"/>
        <v>8240.4688585874283</v>
      </c>
      <c r="O110" s="134">
        <f t="shared" si="26"/>
        <v>6796.4533642315218</v>
      </c>
      <c r="P110" s="132">
        <f t="shared" si="26"/>
        <v>7866.6634197673793</v>
      </c>
      <c r="Q110" s="133">
        <f t="shared" si="26"/>
        <v>6453.2578774882904</v>
      </c>
      <c r="R110" s="133">
        <f t="shared" si="26"/>
        <v>6865.9687213270236</v>
      </c>
      <c r="S110" s="134">
        <f t="shared" si="26"/>
        <v>6905.4974344800958</v>
      </c>
      <c r="T110" s="132">
        <f t="shared" si="26"/>
        <v>8875.5407329928439</v>
      </c>
      <c r="U110" s="133">
        <f t="shared" si="26"/>
        <v>5850.3509175995941</v>
      </c>
      <c r="V110" s="133">
        <f t="shared" si="26"/>
        <v>6102.0228722917836</v>
      </c>
      <c r="W110" s="134">
        <f t="shared" si="26"/>
        <v>6418.9136667885923</v>
      </c>
      <c r="X110" s="132">
        <f t="shared" si="26"/>
        <v>9403.7823826130298</v>
      </c>
      <c r="Y110" s="133">
        <f t="shared" si="26"/>
        <v>7207.5985663082447</v>
      </c>
      <c r="Z110" s="133" t="e">
        <f t="shared" si="26"/>
        <v>#DIV/0!</v>
      </c>
      <c r="AA110" s="134" t="e">
        <f t="shared" si="26"/>
        <v>#DIV/0!</v>
      </c>
      <c r="AB110" s="132">
        <f t="shared" si="26"/>
        <v>11008.294163123859</v>
      </c>
      <c r="AC110" s="133">
        <f t="shared" si="26"/>
        <v>8870.0521833451494</v>
      </c>
      <c r="AD110" s="133">
        <f t="shared" si="26"/>
        <v>6975.9927140255013</v>
      </c>
      <c r="AE110" s="134">
        <f t="shared" si="26"/>
        <v>7827.9940881157954</v>
      </c>
      <c r="AF110" s="132">
        <f t="shared" si="26"/>
        <v>7932.145878544894</v>
      </c>
      <c r="AG110" s="133">
        <f t="shared" si="26"/>
        <v>6671.2899065009487</v>
      </c>
      <c r="AH110" s="133" t="e">
        <f t="shared" si="26"/>
        <v>#DIV/0!</v>
      </c>
      <c r="AI110" s="134">
        <f t="shared" si="26"/>
        <v>7220.6083155727347</v>
      </c>
      <c r="AJ110" s="132">
        <f t="shared" si="26"/>
        <v>7690.302605632929</v>
      </c>
      <c r="AK110" s="133">
        <f t="shared" si="26"/>
        <v>6572.1370068094811</v>
      </c>
      <c r="AL110" s="133">
        <f t="shared" si="26"/>
        <v>7536.924251925765</v>
      </c>
      <c r="AM110" s="134">
        <f t="shared" si="26"/>
        <v>6467.4329462985097</v>
      </c>
      <c r="AN110" s="132">
        <f t="shared" si="26"/>
        <v>7806.9925014379724</v>
      </c>
      <c r="AO110" s="133">
        <f t="shared" si="26"/>
        <v>7142.2367352119236</v>
      </c>
      <c r="AP110" s="133">
        <f t="shared" si="26"/>
        <v>7135.6002782500482</v>
      </c>
      <c r="AQ110" s="134">
        <f t="shared" si="26"/>
        <v>7036.4490186778694</v>
      </c>
      <c r="AR110" s="132">
        <f t="shared" si="26"/>
        <v>8557.5741527591545</v>
      </c>
      <c r="AS110" s="133">
        <f t="shared" si="26"/>
        <v>7316.9252073592652</v>
      </c>
      <c r="AT110" s="133">
        <f t="shared" si="26"/>
        <v>7717.6583313528427</v>
      </c>
      <c r="AU110" s="134">
        <f t="shared" si="26"/>
        <v>6838.2962680981527</v>
      </c>
      <c r="AV110" s="132">
        <f t="shared" si="26"/>
        <v>7295.8547770414971</v>
      </c>
      <c r="AW110" s="133">
        <f t="shared" si="26"/>
        <v>7291.7382023821638</v>
      </c>
      <c r="AX110" s="133">
        <f t="shared" si="26"/>
        <v>7001.2479572347802</v>
      </c>
      <c r="AY110" s="134">
        <f t="shared" si="26"/>
        <v>7620.9907656042924</v>
      </c>
      <c r="AZ110" s="132">
        <f t="shared" si="26"/>
        <v>7641.650113092167</v>
      </c>
      <c r="BA110" s="133">
        <f t="shared" si="26"/>
        <v>6392.2109916362042</v>
      </c>
      <c r="BB110" s="133">
        <f t="shared" si="26"/>
        <v>7616.7163918097212</v>
      </c>
      <c r="BC110" s="134">
        <f t="shared" si="26"/>
        <v>7875.5274279457308</v>
      </c>
      <c r="BD110" s="132">
        <f t="shared" si="26"/>
        <v>8574.6646907586091</v>
      </c>
      <c r="BE110" s="133">
        <f t="shared" si="26"/>
        <v>7066.4293263995651</v>
      </c>
      <c r="BF110" s="133">
        <f t="shared" si="26"/>
        <v>8400.7398492830071</v>
      </c>
      <c r="BG110" s="134">
        <f t="shared" si="26"/>
        <v>7535.231298376767</v>
      </c>
      <c r="BH110" s="132">
        <f t="shared" si="26"/>
        <v>10630.35802542646</v>
      </c>
      <c r="BI110" s="133">
        <f t="shared" si="26"/>
        <v>7457.8220476439947</v>
      </c>
      <c r="BJ110" s="133">
        <f t="shared" si="26"/>
        <v>9101.8773157096275</v>
      </c>
      <c r="BK110" s="134">
        <f t="shared" si="26"/>
        <v>9314.0908537327959</v>
      </c>
      <c r="BL110" s="132">
        <f t="shared" si="26"/>
        <v>10624.073703184458</v>
      </c>
      <c r="BM110" s="133">
        <f t="shared" si="26"/>
        <v>7980.2683504340966</v>
      </c>
      <c r="BN110" s="133">
        <f t="shared" si="26"/>
        <v>8683.1007436080272</v>
      </c>
      <c r="BO110" s="134">
        <f t="shared" si="26"/>
        <v>8209.9366332996615</v>
      </c>
      <c r="BP110" s="132">
        <f t="shared" si="26"/>
        <v>9745.6088247772586</v>
      </c>
      <c r="BQ110" s="133">
        <f t="shared" si="26"/>
        <v>7936.5178478509724</v>
      </c>
      <c r="BR110" s="133">
        <f t="shared" si="26"/>
        <v>8367.8183043017998</v>
      </c>
      <c r="BS110" s="134">
        <f t="shared" si="26"/>
        <v>7568.1600695954767</v>
      </c>
      <c r="BT110" s="133">
        <f t="shared" si="26"/>
        <v>10677.99241117627</v>
      </c>
      <c r="BU110" s="133"/>
      <c r="BV110" s="57"/>
      <c r="BW110" s="58"/>
      <c r="BX110" s="59"/>
      <c r="BY110" s="59"/>
      <c r="BZ110" s="59"/>
      <c r="CA110" s="59"/>
      <c r="CB110" s="59"/>
      <c r="CC110" s="59"/>
      <c r="CD110" s="59"/>
      <c r="CE110" s="59"/>
      <c r="CF110" s="59"/>
      <c r="CG110" s="59"/>
      <c r="CH110" s="59"/>
      <c r="CI110" s="59"/>
      <c r="CJ110" s="59"/>
      <c r="CK110" s="59"/>
      <c r="CL110" s="59"/>
    </row>
    <row r="111" spans="1:90" x14ac:dyDescent="0.25">
      <c r="A111" s="9"/>
      <c r="B111" s="9"/>
      <c r="C111" s="3" t="s">
        <v>16</v>
      </c>
      <c r="D111" s="3"/>
      <c r="E111" s="3"/>
      <c r="F111" s="20"/>
      <c r="G111" s="20"/>
      <c r="H111" s="132">
        <f t="shared" si="25"/>
        <v>6879.3457809407591</v>
      </c>
      <c r="I111" s="133">
        <f t="shared" si="26"/>
        <v>5986.1037199271914</v>
      </c>
      <c r="J111" s="133">
        <f t="shared" si="26"/>
        <v>6322.4946773385491</v>
      </c>
      <c r="K111" s="134">
        <f t="shared" si="26"/>
        <v>6431.6674057076934</v>
      </c>
      <c r="L111" s="132">
        <f t="shared" si="26"/>
        <v>7292.1957107287226</v>
      </c>
      <c r="M111" s="133">
        <f t="shared" si="26"/>
        <v>6834.7029892899209</v>
      </c>
      <c r="N111" s="133">
        <f t="shared" si="26"/>
        <v>6619.3961742838337</v>
      </c>
      <c r="O111" s="134">
        <f t="shared" si="26"/>
        <v>6221.4742003625452</v>
      </c>
      <c r="P111" s="132">
        <f t="shared" si="26"/>
        <v>6498.1873944562612</v>
      </c>
      <c r="Q111" s="133">
        <f t="shared" si="26"/>
        <v>6374.4744152071389</v>
      </c>
      <c r="R111" s="133">
        <f t="shared" si="26"/>
        <v>6905.0485056546977</v>
      </c>
      <c r="S111" s="134">
        <f t="shared" si="26"/>
        <v>6858.4804133605803</v>
      </c>
      <c r="T111" s="132">
        <f t="shared" si="26"/>
        <v>6240.4948504724043</v>
      </c>
      <c r="U111" s="133">
        <f t="shared" si="26"/>
        <v>6392.7199057170519</v>
      </c>
      <c r="V111" s="133">
        <f t="shared" si="26"/>
        <v>6805.8960068187916</v>
      </c>
      <c r="W111" s="134">
        <f t="shared" si="26"/>
        <v>6076.9274364479761</v>
      </c>
      <c r="X111" s="132">
        <f t="shared" si="26"/>
        <v>6535.6286586125298</v>
      </c>
      <c r="Y111" s="133">
        <f t="shared" si="26"/>
        <v>7140.8967601377462</v>
      </c>
      <c r="Z111" s="133" t="e">
        <f t="shared" si="26"/>
        <v>#DIV/0!</v>
      </c>
      <c r="AA111" s="134" t="e">
        <f t="shared" si="26"/>
        <v>#DIV/0!</v>
      </c>
      <c r="AB111" s="132">
        <f t="shared" si="26"/>
        <v>7043.6227773390965</v>
      </c>
      <c r="AC111" s="133">
        <f t="shared" si="26"/>
        <v>6321.9215827561875</v>
      </c>
      <c r="AD111" s="133">
        <f t="shared" si="26"/>
        <v>6082.1387860626364</v>
      </c>
      <c r="AE111" s="134">
        <f t="shared" si="26"/>
        <v>5539.3732684701508</v>
      </c>
      <c r="AF111" s="132">
        <f t="shared" si="26"/>
        <v>5945.2193537877884</v>
      </c>
      <c r="AG111" s="133">
        <f t="shared" si="26"/>
        <v>6961.4222792845821</v>
      </c>
      <c r="AH111" s="133" t="e">
        <f t="shared" si="26"/>
        <v>#DIV/0!</v>
      </c>
      <c r="AI111" s="134">
        <f t="shared" si="26"/>
        <v>6146.739295164758</v>
      </c>
      <c r="AJ111" s="132">
        <f t="shared" si="26"/>
        <v>7336.5112819013102</v>
      </c>
      <c r="AK111" s="133">
        <f t="shared" si="26"/>
        <v>7404.2821396886311</v>
      </c>
      <c r="AL111" s="133">
        <f t="shared" si="26"/>
        <v>9277.8193560703312</v>
      </c>
      <c r="AM111" s="134">
        <f t="shared" si="26"/>
        <v>6679.306824630954</v>
      </c>
      <c r="AN111" s="132">
        <f t="shared" si="26"/>
        <v>6897.0728695587932</v>
      </c>
      <c r="AO111" s="133">
        <f t="shared" si="26"/>
        <v>7432.0049685939894</v>
      </c>
      <c r="AP111" s="133">
        <f t="shared" si="26"/>
        <v>9029.9579355379883</v>
      </c>
      <c r="AQ111" s="134">
        <f t="shared" si="26"/>
        <v>7466.7110018903113</v>
      </c>
      <c r="AR111" s="132">
        <f t="shared" si="26"/>
        <v>7755.5126003923597</v>
      </c>
      <c r="AS111" s="133">
        <f t="shared" si="26"/>
        <v>7948.8791625529202</v>
      </c>
      <c r="AT111" s="133">
        <f t="shared" si="26"/>
        <v>9108.6170140171635</v>
      </c>
      <c r="AU111" s="134">
        <f t="shared" si="26"/>
        <v>7624.5434199322881</v>
      </c>
      <c r="AV111" s="132">
        <f t="shared" si="26"/>
        <v>149788.46020159885</v>
      </c>
      <c r="AW111" s="133">
        <f t="shared" si="26"/>
        <v>7889.6529632264856</v>
      </c>
      <c r="AX111" s="133">
        <f t="shared" si="26"/>
        <v>7261.8881379099876</v>
      </c>
      <c r="AY111" s="134">
        <f t="shared" si="26"/>
        <v>6750.4109061792969</v>
      </c>
      <c r="AZ111" s="132">
        <f t="shared" si="26"/>
        <v>6816.2670927265726</v>
      </c>
      <c r="BA111" s="133">
        <f t="shared" si="26"/>
        <v>8090.1557331521626</v>
      </c>
      <c r="BB111" s="133">
        <f t="shared" si="26"/>
        <v>7893.2164370289593</v>
      </c>
      <c r="BC111" s="134">
        <f t="shared" si="26"/>
        <v>8183.3532938022827</v>
      </c>
      <c r="BD111" s="132">
        <f t="shared" si="26"/>
        <v>7105.0137818017429</v>
      </c>
      <c r="BE111" s="133">
        <f t="shared" si="26"/>
        <v>10266.085965409295</v>
      </c>
      <c r="BF111" s="133">
        <f t="shared" si="26"/>
        <v>20074.262560802283</v>
      </c>
      <c r="BG111" s="134">
        <f t="shared" si="26"/>
        <v>7962.9538670856127</v>
      </c>
      <c r="BH111" s="132">
        <f t="shared" si="26"/>
        <v>9590.544223359313</v>
      </c>
      <c r="BI111" s="133">
        <f t="shared" si="26"/>
        <v>10571.570279157035</v>
      </c>
      <c r="BJ111" s="133">
        <f t="shared" si="26"/>
        <v>11125.293275107724</v>
      </c>
      <c r="BK111" s="134">
        <f t="shared" si="26"/>
        <v>9838.0221653878943</v>
      </c>
      <c r="BL111" s="132">
        <f t="shared" si="26"/>
        <v>14798.517925095131</v>
      </c>
      <c r="BM111" s="133">
        <f t="shared" si="26"/>
        <v>11990.303303641898</v>
      </c>
      <c r="BN111" s="133">
        <f t="shared" si="26"/>
        <v>14143.017215035141</v>
      </c>
      <c r="BO111" s="134">
        <f t="shared" si="26"/>
        <v>10387.271558453487</v>
      </c>
      <c r="BP111" s="132">
        <f t="shared" si="26"/>
        <v>13083.241408570215</v>
      </c>
      <c r="BQ111" s="133">
        <f t="shared" si="26"/>
        <v>10864.918305755022</v>
      </c>
      <c r="BR111" s="133">
        <f t="shared" si="26"/>
        <v>14087.094601097104</v>
      </c>
      <c r="BS111" s="134">
        <f t="shared" si="26"/>
        <v>9903.1752936059147</v>
      </c>
      <c r="BT111" s="133">
        <f t="shared" si="26"/>
        <v>14594.170403587445</v>
      </c>
      <c r="BU111" s="133"/>
      <c r="BV111" s="57"/>
      <c r="BW111" s="58"/>
      <c r="BX111" s="59"/>
      <c r="BY111" s="59"/>
      <c r="BZ111" s="59"/>
      <c r="CA111" s="59"/>
      <c r="CB111" s="59"/>
      <c r="CC111" s="59"/>
      <c r="CD111" s="59"/>
      <c r="CE111" s="59"/>
      <c r="CF111" s="59"/>
      <c r="CG111" s="59"/>
      <c r="CH111" s="59"/>
      <c r="CI111" s="59"/>
      <c r="CJ111" s="59"/>
      <c r="CK111" s="59"/>
      <c r="CL111" s="59"/>
    </row>
    <row r="112" spans="1:90" x14ac:dyDescent="0.25">
      <c r="A112" s="9"/>
      <c r="B112" s="9"/>
      <c r="C112" s="3" t="s">
        <v>17</v>
      </c>
      <c r="D112" s="3"/>
      <c r="E112" s="3"/>
      <c r="F112" s="20"/>
      <c r="G112" s="20"/>
      <c r="H112" s="132">
        <f t="shared" si="25"/>
        <v>6929.7226540631882</v>
      </c>
      <c r="I112" s="133">
        <f t="shared" si="26"/>
        <v>6039.9535366391983</v>
      </c>
      <c r="J112" s="133">
        <f t="shared" si="26"/>
        <v>6333.5722021495176</v>
      </c>
      <c r="K112" s="134">
        <f t="shared" si="26"/>
        <v>6460.2015644709263</v>
      </c>
      <c r="L112" s="132">
        <f t="shared" si="26"/>
        <v>7291.433962061682</v>
      </c>
      <c r="M112" s="133">
        <f t="shared" si="26"/>
        <v>6825.0648622874505</v>
      </c>
      <c r="N112" s="133">
        <f t="shared" si="26"/>
        <v>6595.1869675366252</v>
      </c>
      <c r="O112" s="134">
        <f t="shared" si="26"/>
        <v>6255.7419261324503</v>
      </c>
      <c r="P112" s="132">
        <f t="shared" si="26"/>
        <v>6494.2333987924567</v>
      </c>
      <c r="Q112" s="133">
        <f t="shared" si="26"/>
        <v>6347.8032471794031</v>
      </c>
      <c r="R112" s="133">
        <f t="shared" si="26"/>
        <v>6868.1419396076244</v>
      </c>
      <c r="S112" s="134">
        <f t="shared" si="26"/>
        <v>6792.2217563281411</v>
      </c>
      <c r="T112" s="132">
        <f t="shared" si="26"/>
        <v>6275.0824924504814</v>
      </c>
      <c r="U112" s="133">
        <f t="shared" si="26"/>
        <v>6379.8365486649172</v>
      </c>
      <c r="V112" s="133">
        <f t="shared" si="26"/>
        <v>6748.171014401918</v>
      </c>
      <c r="W112" s="134">
        <f t="shared" si="26"/>
        <v>6103.7303854625925</v>
      </c>
      <c r="X112" s="132">
        <f t="shared" si="26"/>
        <v>6533.5463631834609</v>
      </c>
      <c r="Y112" s="133">
        <f t="shared" si="26"/>
        <v>7085.4283505516914</v>
      </c>
      <c r="Z112" s="133" t="e">
        <f t="shared" si="26"/>
        <v>#DIV/0!</v>
      </c>
      <c r="AA112" s="134" t="e">
        <f t="shared" si="26"/>
        <v>#DIV/0!</v>
      </c>
      <c r="AB112" s="132">
        <f t="shared" si="26"/>
        <v>7016.0682235763879</v>
      </c>
      <c r="AC112" s="133">
        <f t="shared" si="26"/>
        <v>6244.9272987072791</v>
      </c>
      <c r="AD112" s="133">
        <f t="shared" si="26"/>
        <v>6005.7277160820258</v>
      </c>
      <c r="AE112" s="134">
        <f t="shared" si="26"/>
        <v>5338.934065736802</v>
      </c>
      <c r="AF112" s="132">
        <f t="shared" si="26"/>
        <v>5569.9559663494638</v>
      </c>
      <c r="AG112" s="133">
        <f t="shared" si="26"/>
        <v>6025.9930930770279</v>
      </c>
      <c r="AH112" s="133" t="e">
        <f t="shared" si="26"/>
        <v>#DIV/0!</v>
      </c>
      <c r="AI112" s="134">
        <f t="shared" si="26"/>
        <v>5535.1369216594612</v>
      </c>
      <c r="AJ112" s="132">
        <f t="shared" si="26"/>
        <v>7192.4664439397466</v>
      </c>
      <c r="AK112" s="133">
        <f t="shared" si="26"/>
        <v>7235.0970882740103</v>
      </c>
      <c r="AL112" s="133">
        <f t="shared" si="26"/>
        <v>9204.9395633228487</v>
      </c>
      <c r="AM112" s="134">
        <f t="shared" si="26"/>
        <v>6665.4191529875352</v>
      </c>
      <c r="AN112" s="132">
        <f t="shared" si="26"/>
        <v>6807.966100800516</v>
      </c>
      <c r="AO112" s="133">
        <f t="shared" si="26"/>
        <v>7259.7359571192792</v>
      </c>
      <c r="AP112" s="133">
        <f t="shared" si="26"/>
        <v>8895.5967042928078</v>
      </c>
      <c r="AQ112" s="134">
        <f t="shared" si="26"/>
        <v>7202.9681473454611</v>
      </c>
      <c r="AR112" s="132">
        <f t="shared" si="26"/>
        <v>7666.5169737829965</v>
      </c>
      <c r="AS112" s="133">
        <f t="shared" si="26"/>
        <v>7652.9807917854287</v>
      </c>
      <c r="AT112" s="133">
        <f t="shared" si="26"/>
        <v>8948.8821329995117</v>
      </c>
      <c r="AU112" s="134">
        <f t="shared" si="26"/>
        <v>7487.3783265381953</v>
      </c>
      <c r="AV112" s="132">
        <f t="shared" si="26"/>
        <v>149776.00435040981</v>
      </c>
      <c r="AW112" s="133">
        <f t="shared" si="26"/>
        <v>7489.9203173752494</v>
      </c>
      <c r="AX112" s="133">
        <f t="shared" si="26"/>
        <v>7235.9635318533838</v>
      </c>
      <c r="AY112" s="134">
        <f t="shared" si="26"/>
        <v>6558.1603799453769</v>
      </c>
      <c r="AZ112" s="132">
        <f t="shared" si="26"/>
        <v>6488.0038065526624</v>
      </c>
      <c r="BA112" s="133">
        <f t="shared" si="26"/>
        <v>7230.4887076676441</v>
      </c>
      <c r="BB112" s="133">
        <f t="shared" si="26"/>
        <v>7899.5106039872899</v>
      </c>
      <c r="BC112" s="134">
        <f t="shared" si="26"/>
        <v>7979.6997603151058</v>
      </c>
      <c r="BD112" s="132">
        <f t="shared" si="26"/>
        <v>6836.5308787703734</v>
      </c>
      <c r="BE112" s="133">
        <f t="shared" si="26"/>
        <v>9680.1356538784385</v>
      </c>
      <c r="BF112" s="133">
        <f t="shared" si="26"/>
        <v>19686.779432835312</v>
      </c>
      <c r="BG112" s="134">
        <f t="shared" si="26"/>
        <v>7522.313769559616</v>
      </c>
      <c r="BH112" s="132">
        <f t="shared" si="26"/>
        <v>9391.3692716726891</v>
      </c>
      <c r="BI112" s="133">
        <f t="shared" si="26"/>
        <v>9572.7485841482776</v>
      </c>
      <c r="BJ112" s="133">
        <f t="shared" si="26"/>
        <v>11152.631070091153</v>
      </c>
      <c r="BK112" s="134">
        <f t="shared" si="26"/>
        <v>10182.072829131654</v>
      </c>
      <c r="BL112" s="132">
        <f t="shared" si="26"/>
        <v>13623.372721810534</v>
      </c>
      <c r="BM112" s="133">
        <f t="shared" si="26"/>
        <v>10466.456195737963</v>
      </c>
      <c r="BN112" s="133">
        <f t="shared" si="26"/>
        <v>15151.573800550064</v>
      </c>
      <c r="BO112" s="134">
        <f t="shared" si="26"/>
        <v>8906.1438148590314</v>
      </c>
      <c r="BP112" s="132">
        <f t="shared" si="26"/>
        <v>12834.280865507002</v>
      </c>
      <c r="BQ112" s="133">
        <f t="shared" si="26"/>
        <v>9651.9929233010735</v>
      </c>
      <c r="BR112" s="133">
        <f t="shared" si="26"/>
        <v>14056.298720046194</v>
      </c>
      <c r="BS112" s="134">
        <f t="shared" si="26"/>
        <v>8535.4501957372759</v>
      </c>
      <c r="BT112" s="133">
        <f t="shared" si="26"/>
        <v>13964.010578360356</v>
      </c>
      <c r="BU112" s="133"/>
      <c r="BV112" s="57"/>
      <c r="BW112" s="58"/>
      <c r="BX112" s="59"/>
      <c r="BY112" s="59"/>
      <c r="BZ112" s="59"/>
      <c r="CA112" s="59"/>
      <c r="CB112" s="59"/>
      <c r="CC112" s="59"/>
      <c r="CD112" s="59"/>
      <c r="CE112" s="59"/>
      <c r="CF112" s="59"/>
      <c r="CG112" s="59"/>
      <c r="CH112" s="59"/>
      <c r="CI112" s="59"/>
      <c r="CJ112" s="59"/>
      <c r="CK112" s="59"/>
      <c r="CL112" s="59"/>
    </row>
    <row r="113" spans="1:90" x14ac:dyDescent="0.25">
      <c r="A113" s="9"/>
      <c r="B113" s="9"/>
      <c r="C113" s="3" t="s">
        <v>18</v>
      </c>
      <c r="D113" s="3"/>
      <c r="E113" s="3"/>
      <c r="F113" s="20"/>
      <c r="G113" s="20"/>
      <c r="H113" s="132">
        <f t="shared" si="25"/>
        <v>7002.3284772837351</v>
      </c>
      <c r="I113" s="133">
        <f t="shared" si="26"/>
        <v>5826.6849263065305</v>
      </c>
      <c r="J113" s="133">
        <f t="shared" si="26"/>
        <v>6304.6523846288856</v>
      </c>
      <c r="K113" s="134">
        <f t="shared" si="26"/>
        <v>6503.5603122053717</v>
      </c>
      <c r="L113" s="132">
        <f t="shared" si="26"/>
        <v>7275.3279852649512</v>
      </c>
      <c r="M113" s="133">
        <f t="shared" si="26"/>
        <v>6811.2447150599482</v>
      </c>
      <c r="N113" s="133">
        <f t="shared" si="26"/>
        <v>6623.4784575173408</v>
      </c>
      <c r="O113" s="134">
        <f t="shared" si="26"/>
        <v>6248.1613172995903</v>
      </c>
      <c r="P113" s="132">
        <f t="shared" si="26"/>
        <v>6467.3865729234985</v>
      </c>
      <c r="Q113" s="133">
        <f t="shared" si="26"/>
        <v>6318.35822761694</v>
      </c>
      <c r="R113" s="133">
        <f t="shared" si="26"/>
        <v>6897.2937865338818</v>
      </c>
      <c r="S113" s="134">
        <f t="shared" si="26"/>
        <v>6846.9528476277101</v>
      </c>
      <c r="T113" s="132">
        <f t="shared" si="26"/>
        <v>6238.4296074945232</v>
      </c>
      <c r="U113" s="133">
        <f t="shared" si="26"/>
        <v>6346.3446345057</v>
      </c>
      <c r="V113" s="133">
        <f t="shared" si="26"/>
        <v>6768.0556763579871</v>
      </c>
      <c r="W113" s="134">
        <f t="shared" si="26"/>
        <v>6071.737362062282</v>
      </c>
      <c r="X113" s="132">
        <f t="shared" si="26"/>
        <v>6521.7414995640802</v>
      </c>
      <c r="Y113" s="133">
        <f t="shared" si="26"/>
        <v>7132.7879682338889</v>
      </c>
      <c r="Z113" s="133" t="e">
        <f t="shared" si="26"/>
        <v>#DIV/0!</v>
      </c>
      <c r="AA113" s="134" t="e">
        <f t="shared" si="26"/>
        <v>#DIV/0!</v>
      </c>
      <c r="AB113" s="132">
        <f t="shared" si="26"/>
        <v>6949.9558082438271</v>
      </c>
      <c r="AC113" s="133">
        <f t="shared" si="26"/>
        <v>6252.9384363726949</v>
      </c>
      <c r="AD113" s="133">
        <f t="shared" si="26"/>
        <v>5996.5791174569595</v>
      </c>
      <c r="AE113" s="134">
        <f t="shared" si="26"/>
        <v>5481.3889337665514</v>
      </c>
      <c r="AF113" s="132">
        <f t="shared" si="26"/>
        <v>5580.8435229022271</v>
      </c>
      <c r="AG113" s="133">
        <f t="shared" si="26"/>
        <v>6404.0193298739287</v>
      </c>
      <c r="AH113" s="133" t="e">
        <f t="shared" si="26"/>
        <v>#DIV/0!</v>
      </c>
      <c r="AI113" s="134">
        <f t="shared" si="26"/>
        <v>5964.8440617317319</v>
      </c>
      <c r="AJ113" s="132">
        <f t="shared" si="26"/>
        <v>7409.089990770608</v>
      </c>
      <c r="AK113" s="133">
        <f t="shared" si="26"/>
        <v>7502.0840152149931</v>
      </c>
      <c r="AL113" s="133">
        <f t="shared" si="26"/>
        <v>9304.3913012942721</v>
      </c>
      <c r="AM113" s="134">
        <f t="shared" si="26"/>
        <v>6561.8344528430089</v>
      </c>
      <c r="AN113" s="132">
        <f t="shared" si="26"/>
        <v>6846.6317155928946</v>
      </c>
      <c r="AO113" s="133">
        <f t="shared" si="26"/>
        <v>7116.4553878774332</v>
      </c>
      <c r="AP113" s="133">
        <f t="shared" si="26"/>
        <v>8987.8839241825008</v>
      </c>
      <c r="AQ113" s="134">
        <f t="shared" si="26"/>
        <v>7559.6377192005275</v>
      </c>
      <c r="AR113" s="132">
        <f t="shared" si="26"/>
        <v>7856.872176434189</v>
      </c>
      <c r="AS113" s="133">
        <f t="shared" si="26"/>
        <v>7935.8214685191806</v>
      </c>
      <c r="AT113" s="133">
        <f t="shared" si="26"/>
        <v>8991.8973643403551</v>
      </c>
      <c r="AU113" s="134">
        <f t="shared" si="26"/>
        <v>7365.1915971980843</v>
      </c>
      <c r="AV113" s="132">
        <f t="shared" si="26"/>
        <v>148963.95887292991</v>
      </c>
      <c r="AW113" s="133">
        <f t="shared" si="26"/>
        <v>7370.4869356840791</v>
      </c>
      <c r="AX113" s="133">
        <f t="shared" si="26"/>
        <v>7090.1763771304622</v>
      </c>
      <c r="AY113" s="134">
        <f t="shared" si="26"/>
        <v>6312.2670386616164</v>
      </c>
      <c r="AZ113" s="132">
        <f t="shared" si="26"/>
        <v>5989.4490670142095</v>
      </c>
      <c r="BA113" s="133">
        <f t="shared" si="26"/>
        <v>7076.7391761138824</v>
      </c>
      <c r="BB113" s="133">
        <f t="shared" si="26"/>
        <v>7810.5173980602831</v>
      </c>
      <c r="BC113" s="134">
        <f t="shared" si="26"/>
        <v>8061.9709459070773</v>
      </c>
      <c r="BD113" s="132">
        <f t="shared" si="26"/>
        <v>6902.9410490494001</v>
      </c>
      <c r="BE113" s="133">
        <f t="shared" si="26"/>
        <v>9896.5618046425043</v>
      </c>
      <c r="BF113" s="133">
        <f t="shared" si="26"/>
        <v>19414.599059109922</v>
      </c>
      <c r="BG113" s="134">
        <f t="shared" si="26"/>
        <v>8012.089288480016</v>
      </c>
      <c r="BH113" s="132">
        <f t="shared" si="26"/>
        <v>9343.4254869944198</v>
      </c>
      <c r="BI113" s="133">
        <f t="shared" si="26"/>
        <v>10622.551987552204</v>
      </c>
      <c r="BJ113" s="133">
        <f t="shared" si="26"/>
        <v>13276.21781989187</v>
      </c>
      <c r="BK113" s="134">
        <f t="shared" si="26"/>
        <v>11008.159785653392</v>
      </c>
      <c r="BL113" s="132">
        <f t="shared" si="26"/>
        <v>13780.592829961946</v>
      </c>
      <c r="BM113" s="133">
        <f t="shared" si="26"/>
        <v>11263.051076784306</v>
      </c>
      <c r="BN113" s="133">
        <f t="shared" si="26"/>
        <v>15734.134664357745</v>
      </c>
      <c r="BO113" s="134">
        <f t="shared" si="26"/>
        <v>9891.541923041601</v>
      </c>
      <c r="BP113" s="132">
        <f t="shared" si="26"/>
        <v>13670.428510818838</v>
      </c>
      <c r="BQ113" s="133">
        <f t="shared" si="26"/>
        <v>11481.735872619422</v>
      </c>
      <c r="BR113" s="133">
        <f t="shared" ref="BR113:BT113" si="27">_xlfn.XLOOKUP($C113,$C$37:$C$55,BR$37:BR$55)/(SUM(_xlfn.XLOOKUP($E$57,$C$7:$C$17,BR$7:BR$17)+_xlfn.XLOOKUP($C113,$C$56:$C$75,BR$56:BR$75)))*1000</f>
        <v>14243.961120200174</v>
      </c>
      <c r="BS113" s="134">
        <f t="shared" si="27"/>
        <v>9021.5745976511535</v>
      </c>
      <c r="BT113" s="133">
        <f t="shared" si="27"/>
        <v>15108.313211452225</v>
      </c>
      <c r="BU113" s="133"/>
      <c r="BV113" s="57"/>
      <c r="BW113" s="58"/>
      <c r="BX113" s="59"/>
      <c r="BY113" s="59"/>
      <c r="BZ113" s="59"/>
      <c r="CA113" s="59"/>
      <c r="CB113" s="59"/>
      <c r="CC113" s="59"/>
      <c r="CD113" s="59"/>
      <c r="CE113" s="59"/>
      <c r="CF113" s="59"/>
      <c r="CG113" s="59"/>
      <c r="CH113" s="59"/>
      <c r="CI113" s="59"/>
      <c r="CJ113" s="59"/>
      <c r="CK113" s="59"/>
      <c r="CL113" s="59"/>
    </row>
    <row r="114" spans="1:90" x14ac:dyDescent="0.25">
      <c r="A114" s="9"/>
      <c r="B114" s="9"/>
      <c r="C114" s="3" t="s">
        <v>19</v>
      </c>
      <c r="D114" s="3"/>
      <c r="E114" s="3"/>
      <c r="F114" s="20"/>
      <c r="G114" s="20"/>
      <c r="H114" s="132">
        <f t="shared" ref="H114:H118" si="28">_xlfn.XLOOKUP($C114,$C$37:$C$55,H$37:H$55)/(SUM(_xlfn.XLOOKUP($E$57,$C$7:$C$17,H$7:H$17)+_xlfn.XLOOKUP($C114,$C$56:$C$75,H$56:H$75)))*1000</f>
        <v>5056.363206214528</v>
      </c>
      <c r="I114" s="133">
        <f t="shared" ref="I114:BT117" si="29">_xlfn.XLOOKUP($C114,$C$37:$C$55,I$37:I$55)/(SUM(_xlfn.XLOOKUP($E$57,$C$7:$C$17,I$7:I$17)+_xlfn.XLOOKUP($C114,$C$56:$C$75,I$56:I$75)))*1000</f>
        <v>3383.7150487422978</v>
      </c>
      <c r="J114" s="133">
        <f t="shared" si="29"/>
        <v>5794.4571054246271</v>
      </c>
      <c r="K114" s="134">
        <f t="shared" si="29"/>
        <v>6653.0177804791283</v>
      </c>
      <c r="L114" s="132">
        <f t="shared" si="29"/>
        <v>6926.8960557242435</v>
      </c>
      <c r="M114" s="133">
        <f t="shared" si="29"/>
        <v>6392.7365907723852</v>
      </c>
      <c r="N114" s="133">
        <f t="shared" si="29"/>
        <v>6743.1218023625997</v>
      </c>
      <c r="O114" s="134">
        <f t="shared" si="29"/>
        <v>6882.3319112505942</v>
      </c>
      <c r="P114" s="132">
        <f t="shared" si="29"/>
        <v>7174.7223223163528</v>
      </c>
      <c r="Q114" s="133">
        <f t="shared" si="29"/>
        <v>6564.7597731428968</v>
      </c>
      <c r="R114" s="133">
        <f t="shared" si="29"/>
        <v>6984.4018493693247</v>
      </c>
      <c r="S114" s="134">
        <f t="shared" si="29"/>
        <v>7581.672709346507</v>
      </c>
      <c r="T114" s="132">
        <f t="shared" si="29"/>
        <v>6913.6591791065521</v>
      </c>
      <c r="U114" s="133">
        <f t="shared" si="29"/>
        <v>6639.3823099570327</v>
      </c>
      <c r="V114" s="133">
        <f t="shared" si="29"/>
        <v>7301.8595471185781</v>
      </c>
      <c r="W114" s="134">
        <f t="shared" si="29"/>
        <v>7404.2650383952205</v>
      </c>
      <c r="X114" s="132">
        <f t="shared" si="29"/>
        <v>7772.4527493356718</v>
      </c>
      <c r="Y114" s="133">
        <f t="shared" si="29"/>
        <v>7577.8125479203136</v>
      </c>
      <c r="Z114" s="133">
        <f t="shared" si="29"/>
        <v>7840.073001177745</v>
      </c>
      <c r="AA114" s="134">
        <f t="shared" si="29"/>
        <v>8074.1424492837359</v>
      </c>
      <c r="AB114" s="132">
        <f t="shared" si="29"/>
        <v>8115.9652874690701</v>
      </c>
      <c r="AC114" s="133">
        <f t="shared" si="29"/>
        <v>7544.4338106658415</v>
      </c>
      <c r="AD114" s="133">
        <f t="shared" si="29"/>
        <v>7742.0834526595891</v>
      </c>
      <c r="AE114" s="134">
        <f t="shared" si="29"/>
        <v>7200.6593085775012</v>
      </c>
      <c r="AF114" s="132">
        <f t="shared" si="29"/>
        <v>6627.3772077918575</v>
      </c>
      <c r="AG114" s="133">
        <f t="shared" si="29"/>
        <v>7143.1109012466231</v>
      </c>
      <c r="AH114" s="133">
        <f t="shared" si="29"/>
        <v>7620.6952023320646</v>
      </c>
      <c r="AI114" s="134">
        <f t="shared" si="29"/>
        <v>5617.433765676662</v>
      </c>
      <c r="AJ114" s="132">
        <f t="shared" si="29"/>
        <v>6328.2256034972734</v>
      </c>
      <c r="AK114" s="133">
        <f t="shared" si="29"/>
        <v>6376.5777085528907</v>
      </c>
      <c r="AL114" s="133">
        <f t="shared" si="29"/>
        <v>4206.1328893339842</v>
      </c>
      <c r="AM114" s="134">
        <f t="shared" si="29"/>
        <v>5243.4740054484755</v>
      </c>
      <c r="AN114" s="132">
        <f t="shared" si="29"/>
        <v>5733.6848380653628</v>
      </c>
      <c r="AO114" s="133">
        <f t="shared" si="29"/>
        <v>5695.7639627494509</v>
      </c>
      <c r="AP114" s="133">
        <f t="shared" si="29"/>
        <v>7571.8767174222767</v>
      </c>
      <c r="AQ114" s="134">
        <f t="shared" si="29"/>
        <v>6153.2168685243669</v>
      </c>
      <c r="AR114" s="132">
        <f t="shared" si="29"/>
        <v>7371.9191270054098</v>
      </c>
      <c r="AS114" s="133">
        <f t="shared" si="29"/>
        <v>9224.1269295445363</v>
      </c>
      <c r="AT114" s="133">
        <f t="shared" si="29"/>
        <v>11671.153370768423</v>
      </c>
      <c r="AU114" s="134">
        <f t="shared" si="29"/>
        <v>6820.4341054623428</v>
      </c>
      <c r="AV114" s="132">
        <f t="shared" si="29"/>
        <v>4671.0825678124766</v>
      </c>
      <c r="AW114" s="133">
        <f t="shared" si="29"/>
        <v>9055.3669656098082</v>
      </c>
      <c r="AX114" s="133">
        <f t="shared" si="29"/>
        <v>7163.806951615612</v>
      </c>
      <c r="AY114" s="134">
        <f t="shared" si="29"/>
        <v>7193.2851737468054</v>
      </c>
      <c r="AZ114" s="132">
        <f t="shared" si="29"/>
        <v>8468.8118965836675</v>
      </c>
      <c r="BA114" s="133">
        <f t="shared" si="29"/>
        <v>8550.5156645261723</v>
      </c>
      <c r="BB114" s="133">
        <f t="shared" si="29"/>
        <v>9194.1206668704908</v>
      </c>
      <c r="BC114" s="134">
        <f t="shared" si="29"/>
        <v>7712.8507072675238</v>
      </c>
      <c r="BD114" s="132">
        <f t="shared" si="29"/>
        <v>8177.4649856795631</v>
      </c>
      <c r="BE114" s="133">
        <f t="shared" si="29"/>
        <v>9685.1029540567124</v>
      </c>
      <c r="BF114" s="133">
        <f t="shared" si="29"/>
        <v>10615.654024435606</v>
      </c>
      <c r="BG114" s="134">
        <f t="shared" si="29"/>
        <v>8652.3665142401496</v>
      </c>
      <c r="BH114" s="132">
        <f t="shared" si="29"/>
        <v>14467.709875456814</v>
      </c>
      <c r="BI114" s="133">
        <f t="shared" si="29"/>
        <v>14085.206818371158</v>
      </c>
      <c r="BJ114" s="133">
        <f t="shared" si="29"/>
        <v>18419.275034759543</v>
      </c>
      <c r="BK114" s="134">
        <f t="shared" si="29"/>
        <v>11008.420705027656</v>
      </c>
      <c r="BL114" s="132">
        <f t="shared" si="29"/>
        <v>9327.6280650643348</v>
      </c>
      <c r="BM114" s="133">
        <f t="shared" si="29"/>
        <v>11536.573095884896</v>
      </c>
      <c r="BN114" s="133">
        <f t="shared" si="29"/>
        <v>12479.285293540153</v>
      </c>
      <c r="BO114" s="134">
        <f t="shared" si="29"/>
        <v>9961.5518845974857</v>
      </c>
      <c r="BP114" s="132">
        <f t="shared" si="29"/>
        <v>9800.1392011992721</v>
      </c>
      <c r="BQ114" s="133">
        <f t="shared" si="29"/>
        <v>10178.522634119683</v>
      </c>
      <c r="BR114" s="133">
        <f t="shared" si="29"/>
        <v>13062.766967252017</v>
      </c>
      <c r="BS114" s="134">
        <f t="shared" si="29"/>
        <v>10067.572062084259</v>
      </c>
      <c r="BT114" s="133">
        <f t="shared" si="29"/>
        <v>9991.0661692519152</v>
      </c>
      <c r="BU114" s="133"/>
      <c r="BV114" s="57"/>
      <c r="BW114" s="58"/>
      <c r="BX114" s="59"/>
      <c r="BY114" s="59"/>
      <c r="BZ114" s="59"/>
      <c r="CA114" s="59"/>
      <c r="CB114" s="59"/>
      <c r="CC114" s="59"/>
      <c r="CD114" s="59"/>
      <c r="CE114" s="59"/>
      <c r="CF114" s="59"/>
      <c r="CG114" s="59"/>
      <c r="CH114" s="59"/>
      <c r="CI114" s="59"/>
      <c r="CJ114" s="59"/>
      <c r="CK114" s="59"/>
      <c r="CL114" s="59"/>
    </row>
    <row r="115" spans="1:90" x14ac:dyDescent="0.25">
      <c r="A115" s="9"/>
      <c r="B115" s="9"/>
      <c r="C115" s="3" t="s">
        <v>20</v>
      </c>
      <c r="D115" s="3"/>
      <c r="E115" s="3"/>
      <c r="F115" s="20"/>
      <c r="G115" s="20"/>
      <c r="H115" s="132">
        <f t="shared" si="28"/>
        <v>5330.4795264684744</v>
      </c>
      <c r="I115" s="133">
        <f t="shared" si="29"/>
        <v>3042.1408977835931</v>
      </c>
      <c r="J115" s="133">
        <f t="shared" si="29"/>
        <v>5868.9262336473148</v>
      </c>
      <c r="K115" s="134">
        <f t="shared" si="29"/>
        <v>6847.5431161307561</v>
      </c>
      <c r="L115" s="132">
        <f t="shared" si="29"/>
        <v>7380.0095508817067</v>
      </c>
      <c r="M115" s="133">
        <f t="shared" si="29"/>
        <v>7199.1621026822768</v>
      </c>
      <c r="N115" s="133">
        <f t="shared" si="29"/>
        <v>7607.4935151334703</v>
      </c>
      <c r="O115" s="134">
        <f t="shared" si="29"/>
        <v>7821.3284744903431</v>
      </c>
      <c r="P115" s="132">
        <f t="shared" si="29"/>
        <v>10274.417173719834</v>
      </c>
      <c r="Q115" s="133">
        <f t="shared" si="29"/>
        <v>8767.4822634592529</v>
      </c>
      <c r="R115" s="133">
        <f t="shared" si="29"/>
        <v>9212.3104844726768</v>
      </c>
      <c r="S115" s="134">
        <f t="shared" si="29"/>
        <v>9279.4684629090716</v>
      </c>
      <c r="T115" s="132">
        <f t="shared" si="29"/>
        <v>8259.1639500155961</v>
      </c>
      <c r="U115" s="133">
        <f t="shared" si="29"/>
        <v>7837.1947303260686</v>
      </c>
      <c r="V115" s="133">
        <f t="shared" si="29"/>
        <v>8726.2738641580181</v>
      </c>
      <c r="W115" s="134">
        <f t="shared" si="29"/>
        <v>9133.2750822368416</v>
      </c>
      <c r="X115" s="132">
        <f t="shared" si="29"/>
        <v>9540.0137637568023</v>
      </c>
      <c r="Y115" s="133">
        <f t="shared" si="29"/>
        <v>9761.8574294934187</v>
      </c>
      <c r="Z115" s="133">
        <f t="shared" si="29"/>
        <v>10068.521764241499</v>
      </c>
      <c r="AA115" s="134">
        <f t="shared" si="29"/>
        <v>10745.216700575189</v>
      </c>
      <c r="AB115" s="132">
        <f t="shared" si="29"/>
        <v>10216.791500528527</v>
      </c>
      <c r="AC115" s="133">
        <f t="shared" si="29"/>
        <v>9252.1835681671073</v>
      </c>
      <c r="AD115" s="133">
        <f t="shared" si="29"/>
        <v>9986.0037799558904</v>
      </c>
      <c r="AE115" s="134">
        <f t="shared" si="29"/>
        <v>9209.225899570687</v>
      </c>
      <c r="AF115" s="132">
        <f t="shared" si="29"/>
        <v>7618.5169549010971</v>
      </c>
      <c r="AG115" s="133">
        <f t="shared" si="29"/>
        <v>7905.668587515429</v>
      </c>
      <c r="AH115" s="133">
        <f t="shared" si="29"/>
        <v>10398.849300649112</v>
      </c>
      <c r="AI115" s="134">
        <f t="shared" si="29"/>
        <v>7809.307515509493</v>
      </c>
      <c r="AJ115" s="132">
        <f t="shared" si="29"/>
        <v>7992.3655509590071</v>
      </c>
      <c r="AK115" s="133">
        <f t="shared" si="29"/>
        <v>7632.9922072565541</v>
      </c>
      <c r="AL115" s="133">
        <f t="shared" si="29"/>
        <v>5480.7663164245569</v>
      </c>
      <c r="AM115" s="134">
        <f t="shared" si="29"/>
        <v>7368.6463470858871</v>
      </c>
      <c r="AN115" s="132">
        <f t="shared" si="29"/>
        <v>7291.5151818635368</v>
      </c>
      <c r="AO115" s="133">
        <f t="shared" si="29"/>
        <v>8459.2751151906541</v>
      </c>
      <c r="AP115" s="133">
        <f t="shared" si="29"/>
        <v>9872.725380612379</v>
      </c>
      <c r="AQ115" s="134">
        <f t="shared" si="29"/>
        <v>7865.3975978211138</v>
      </c>
      <c r="AR115" s="132">
        <f t="shared" si="29"/>
        <v>8766.8720130390338</v>
      </c>
      <c r="AS115" s="133">
        <f t="shared" si="29"/>
        <v>9106.7699753929992</v>
      </c>
      <c r="AT115" s="133">
        <f t="shared" si="29"/>
        <v>14406.653639408687</v>
      </c>
      <c r="AU115" s="134">
        <f t="shared" si="29"/>
        <v>8962.098258649492</v>
      </c>
      <c r="AV115" s="132">
        <f t="shared" si="29"/>
        <v>9374.2741394633667</v>
      </c>
      <c r="AW115" s="133">
        <f t="shared" si="29"/>
        <v>9390.356581160273</v>
      </c>
      <c r="AX115" s="133">
        <f t="shared" si="29"/>
        <v>8244.7965245270243</v>
      </c>
      <c r="AY115" s="134">
        <f t="shared" si="29"/>
        <v>8694.6530003360567</v>
      </c>
      <c r="AZ115" s="132">
        <f t="shared" si="29"/>
        <v>9446.6221516544265</v>
      </c>
      <c r="BA115" s="133">
        <f t="shared" si="29"/>
        <v>8439.4767566903247</v>
      </c>
      <c r="BB115" s="133">
        <f t="shared" si="29"/>
        <v>9368.257085677038</v>
      </c>
      <c r="BC115" s="134">
        <f t="shared" si="29"/>
        <v>8237.5520160711731</v>
      </c>
      <c r="BD115" s="132">
        <f t="shared" si="29"/>
        <v>9165.0168883391871</v>
      </c>
      <c r="BE115" s="133">
        <f t="shared" si="29"/>
        <v>8899.3922507165826</v>
      </c>
      <c r="BF115" s="133">
        <f t="shared" si="29"/>
        <v>9796.5257081687578</v>
      </c>
      <c r="BG115" s="134">
        <f t="shared" si="29"/>
        <v>10079.715745245114</v>
      </c>
      <c r="BH115" s="132">
        <f t="shared" si="29"/>
        <v>14602.059437772172</v>
      </c>
      <c r="BI115" s="133">
        <f t="shared" si="29"/>
        <v>14988.946862891808</v>
      </c>
      <c r="BJ115" s="133">
        <f t="shared" si="29"/>
        <v>17236.238691316321</v>
      </c>
      <c r="BK115" s="134">
        <f t="shared" si="29"/>
        <v>11671.42739205812</v>
      </c>
      <c r="BL115" s="132">
        <f t="shared" si="29"/>
        <v>9396.2733673221646</v>
      </c>
      <c r="BM115" s="133">
        <f t="shared" si="29"/>
        <v>10097.293490290775</v>
      </c>
      <c r="BN115" s="133">
        <f t="shared" si="29"/>
        <v>10431.572746907517</v>
      </c>
      <c r="BO115" s="134">
        <f t="shared" si="29"/>
        <v>10326.721731037691</v>
      </c>
      <c r="BP115" s="132">
        <f t="shared" si="29"/>
        <v>10208.641182139414</v>
      </c>
      <c r="BQ115" s="133">
        <f t="shared" si="29"/>
        <v>9383.459331450953</v>
      </c>
      <c r="BR115" s="133">
        <f t="shared" si="29"/>
        <v>10661.841480778359</v>
      </c>
      <c r="BS115" s="134">
        <f t="shared" si="29"/>
        <v>10649.611973392462</v>
      </c>
      <c r="BT115" s="133">
        <f t="shared" si="29"/>
        <v>10456.410759866485</v>
      </c>
      <c r="BU115" s="133"/>
      <c r="BV115" s="57"/>
      <c r="BW115" s="58"/>
      <c r="BX115" s="59"/>
      <c r="BY115" s="59"/>
      <c r="BZ115" s="59"/>
      <c r="CA115" s="59"/>
      <c r="CB115" s="59"/>
      <c r="CC115" s="59"/>
      <c r="CD115" s="59"/>
      <c r="CE115" s="59"/>
      <c r="CF115" s="59"/>
      <c r="CG115" s="59"/>
      <c r="CH115" s="59"/>
      <c r="CI115" s="59"/>
      <c r="CJ115" s="59"/>
      <c r="CK115" s="59"/>
      <c r="CL115" s="59"/>
    </row>
    <row r="116" spans="1:90" x14ac:dyDescent="0.25">
      <c r="A116" s="9"/>
      <c r="B116" s="9"/>
      <c r="C116" s="3" t="s">
        <v>21</v>
      </c>
      <c r="D116" s="3"/>
      <c r="E116" s="3"/>
      <c r="F116" s="20"/>
      <c r="G116" s="20"/>
      <c r="H116" s="132">
        <f t="shared" si="28"/>
        <v>5217.5638790568273</v>
      </c>
      <c r="I116" s="133">
        <f t="shared" si="29"/>
        <v>2191.9990646797064</v>
      </c>
      <c r="J116" s="133">
        <f t="shared" si="29"/>
        <v>5666.116753135524</v>
      </c>
      <c r="K116" s="134">
        <f t="shared" si="29"/>
        <v>7295.394677784162</v>
      </c>
      <c r="L116" s="132">
        <f t="shared" si="29"/>
        <v>7283.0702162828693</v>
      </c>
      <c r="M116" s="133">
        <f t="shared" si="29"/>
        <v>6885.4917942264865</v>
      </c>
      <c r="N116" s="133">
        <f t="shared" si="29"/>
        <v>7149.621634665803</v>
      </c>
      <c r="O116" s="134">
        <f t="shared" si="29"/>
        <v>7656.8685683306903</v>
      </c>
      <c r="P116" s="132">
        <f t="shared" si="29"/>
        <v>9170.2056617410053</v>
      </c>
      <c r="Q116" s="133">
        <f t="shared" si="29"/>
        <v>7992.183582689132</v>
      </c>
      <c r="R116" s="133">
        <f t="shared" si="29"/>
        <v>9171.1319916753764</v>
      </c>
      <c r="S116" s="134">
        <f t="shared" si="29"/>
        <v>9563.5173287671696</v>
      </c>
      <c r="T116" s="132">
        <f t="shared" si="29"/>
        <v>8589.5126656349858</v>
      </c>
      <c r="U116" s="133">
        <f t="shared" si="29"/>
        <v>7980.4120696639884</v>
      </c>
      <c r="V116" s="133">
        <f t="shared" si="29"/>
        <v>8730.0373031170802</v>
      </c>
      <c r="W116" s="134">
        <f t="shared" si="29"/>
        <v>9029.6052631578932</v>
      </c>
      <c r="X116" s="132">
        <f t="shared" si="29"/>
        <v>9830.5722346813291</v>
      </c>
      <c r="Y116" s="133">
        <f t="shared" si="29"/>
        <v>9867.4538376898981</v>
      </c>
      <c r="Z116" s="133">
        <f t="shared" si="29"/>
        <v>0</v>
      </c>
      <c r="AA116" s="134">
        <f t="shared" si="29"/>
        <v>11538.975962625273</v>
      </c>
      <c r="AB116" s="132">
        <f t="shared" si="29"/>
        <v>8426.9233058160389</v>
      </c>
      <c r="AC116" s="133">
        <f t="shared" si="29"/>
        <v>8478.9540248312205</v>
      </c>
      <c r="AD116" s="133">
        <f t="shared" si="29"/>
        <v>10429.797240327327</v>
      </c>
      <c r="AE116" s="134">
        <f t="shared" si="29"/>
        <v>9392.5791967734694</v>
      </c>
      <c r="AF116" s="132">
        <f t="shared" si="29"/>
        <v>9019.9871846808674</v>
      </c>
      <c r="AG116" s="133">
        <f t="shared" si="29"/>
        <v>7000.5944267035629</v>
      </c>
      <c r="AH116" s="133">
        <f t="shared" si="29"/>
        <v>9634.2336957388488</v>
      </c>
      <c r="AI116" s="134">
        <f t="shared" si="29"/>
        <v>0</v>
      </c>
      <c r="AJ116" s="132">
        <f t="shared" si="29"/>
        <v>0</v>
      </c>
      <c r="AK116" s="133">
        <f t="shared" si="29"/>
        <v>0</v>
      </c>
      <c r="AL116" s="133">
        <f t="shared" si="29"/>
        <v>0</v>
      </c>
      <c r="AM116" s="134">
        <f t="shared" si="29"/>
        <v>0</v>
      </c>
      <c r="AN116" s="132">
        <f t="shared" si="29"/>
        <v>9925.6821212686264</v>
      </c>
      <c r="AO116" s="133">
        <f t="shared" si="29"/>
        <v>0</v>
      </c>
      <c r="AP116" s="133">
        <f t="shared" si="29"/>
        <v>0</v>
      </c>
      <c r="AQ116" s="134">
        <f t="shared" si="29"/>
        <v>0</v>
      </c>
      <c r="AR116" s="132">
        <f t="shared" si="29"/>
        <v>0</v>
      </c>
      <c r="AS116" s="133">
        <f t="shared" si="29"/>
        <v>0</v>
      </c>
      <c r="AT116" s="133">
        <f t="shared" si="29"/>
        <v>0</v>
      </c>
      <c r="AU116" s="134">
        <f t="shared" si="29"/>
        <v>0</v>
      </c>
      <c r="AV116" s="132">
        <f t="shared" si="29"/>
        <v>18859.012522609828</v>
      </c>
      <c r="AW116" s="133">
        <f t="shared" si="29"/>
        <v>9120.5595171528712</v>
      </c>
      <c r="AX116" s="133">
        <f t="shared" si="29"/>
        <v>0</v>
      </c>
      <c r="AY116" s="134">
        <f t="shared" si="29"/>
        <v>8055.5396178782476</v>
      </c>
      <c r="AZ116" s="132">
        <f t="shared" si="29"/>
        <v>9037.6970186079343</v>
      </c>
      <c r="BA116" s="133">
        <f t="shared" si="29"/>
        <v>0</v>
      </c>
      <c r="BB116" s="133">
        <f t="shared" si="29"/>
        <v>0</v>
      </c>
      <c r="BC116" s="134">
        <f t="shared" si="29"/>
        <v>0</v>
      </c>
      <c r="BD116" s="132">
        <f t="shared" si="29"/>
        <v>6232.3592213143547</v>
      </c>
      <c r="BE116" s="133">
        <f t="shared" si="29"/>
        <v>5517.6206910775909</v>
      </c>
      <c r="BF116" s="133">
        <f t="shared" si="29"/>
        <v>8342.4686686314344</v>
      </c>
      <c r="BG116" s="134">
        <f t="shared" si="29"/>
        <v>10295.897337582976</v>
      </c>
      <c r="BH116" s="132">
        <f t="shared" si="29"/>
        <v>47829.552866149723</v>
      </c>
      <c r="BI116" s="133">
        <f t="shared" si="29"/>
        <v>0</v>
      </c>
      <c r="BJ116" s="133">
        <f t="shared" si="29"/>
        <v>17189.248041627783</v>
      </c>
      <c r="BK116" s="134">
        <f t="shared" si="29"/>
        <v>13000.743003384794</v>
      </c>
      <c r="BL116" s="132">
        <f t="shared" si="29"/>
        <v>10603.605243991258</v>
      </c>
      <c r="BM116" s="133">
        <f t="shared" si="29"/>
        <v>11733.474192574704</v>
      </c>
      <c r="BN116" s="133">
        <f t="shared" si="29"/>
        <v>10641.534131814908</v>
      </c>
      <c r="BO116" s="134">
        <f t="shared" si="29"/>
        <v>11357.724523033969</v>
      </c>
      <c r="BP116" s="132">
        <f t="shared" si="29"/>
        <v>11575.168647606808</v>
      </c>
      <c r="BQ116" s="133">
        <f t="shared" si="29"/>
        <v>11233.901083887422</v>
      </c>
      <c r="BR116" s="133">
        <f t="shared" si="29"/>
        <v>11096.879449454198</v>
      </c>
      <c r="BS116" s="134">
        <f t="shared" si="29"/>
        <v>12093.791574279381</v>
      </c>
      <c r="BT116" s="133">
        <f t="shared" si="29"/>
        <v>11437.594083382421</v>
      </c>
      <c r="BU116" s="133"/>
      <c r="BV116" s="57"/>
      <c r="BW116" s="58"/>
      <c r="BX116" s="59"/>
      <c r="BY116" s="59"/>
      <c r="BZ116" s="59"/>
      <c r="CA116" s="59"/>
      <c r="CB116" s="59"/>
      <c r="CC116" s="59"/>
      <c r="CD116" s="59"/>
      <c r="CE116" s="59"/>
      <c r="CF116" s="59"/>
      <c r="CG116" s="59"/>
      <c r="CH116" s="59"/>
      <c r="CI116" s="59"/>
      <c r="CJ116" s="59"/>
      <c r="CK116" s="59"/>
      <c r="CL116" s="59"/>
    </row>
    <row r="117" spans="1:90" x14ac:dyDescent="0.25">
      <c r="A117" s="9"/>
      <c r="B117" s="9"/>
      <c r="C117" s="3" t="s">
        <v>22</v>
      </c>
      <c r="D117" s="3"/>
      <c r="E117" s="3"/>
      <c r="F117" s="20"/>
      <c r="G117" s="20"/>
      <c r="H117" s="132">
        <f t="shared" si="28"/>
        <v>3819.0379151382626</v>
      </c>
      <c r="I117" s="133">
        <f t="shared" si="29"/>
        <v>809.84547819587033</v>
      </c>
      <c r="J117" s="133">
        <f t="shared" si="29"/>
        <v>4186.3017035942812</v>
      </c>
      <c r="K117" s="134">
        <f t="shared" si="29"/>
        <v>7527.6146579381648</v>
      </c>
      <c r="L117" s="132">
        <f t="shared" si="29"/>
        <v>6981.4127884152877</v>
      </c>
      <c r="M117" s="133">
        <f t="shared" si="29"/>
        <v>-18.729026680683162</v>
      </c>
      <c r="N117" s="133">
        <f t="shared" si="29"/>
        <v>4537.150530536268</v>
      </c>
      <c r="O117" s="134">
        <f t="shared" si="29"/>
        <v>6705.0060110051209</v>
      </c>
      <c r="P117" s="132">
        <f t="shared" si="29"/>
        <v>7429.4772361957057</v>
      </c>
      <c r="Q117" s="133">
        <f t="shared" si="29"/>
        <v>4017.6773146363207</v>
      </c>
      <c r="R117" s="133">
        <f t="shared" si="29"/>
        <v>6675.3313326427397</v>
      </c>
      <c r="S117" s="134">
        <f t="shared" si="29"/>
        <v>8490.2661070070135</v>
      </c>
      <c r="T117" s="132">
        <f t="shared" si="29"/>
        <v>7083.2867732561635</v>
      </c>
      <c r="U117" s="133">
        <f t="shared" si="29"/>
        <v>2321.4563292501534</v>
      </c>
      <c r="V117" s="133">
        <f t="shared" si="29"/>
        <v>6706.863883593207</v>
      </c>
      <c r="W117" s="134">
        <f t="shared" si="29"/>
        <v>6943.5492303328647</v>
      </c>
      <c r="X117" s="132">
        <f t="shared" si="29"/>
        <v>5240.0305018298686</v>
      </c>
      <c r="Y117" s="133">
        <f t="shared" si="29"/>
        <v>7803.2920872896939</v>
      </c>
      <c r="Z117" s="133">
        <f t="shared" si="29"/>
        <v>7686.2230518008055</v>
      </c>
      <c r="AA117" s="134">
        <f t="shared" si="29"/>
        <v>8052.1542377280448</v>
      </c>
      <c r="AB117" s="132">
        <f t="shared" si="29"/>
        <v>7268.8202695984019</v>
      </c>
      <c r="AC117" s="133">
        <f t="shared" si="29"/>
        <v>4733.7385504702343</v>
      </c>
      <c r="AD117" s="133">
        <f t="shared" si="29"/>
        <v>7908.6911121806743</v>
      </c>
      <c r="AE117" s="134">
        <f t="shared" si="29"/>
        <v>6331.1449640880919</v>
      </c>
      <c r="AF117" s="132">
        <f t="shared" si="29"/>
        <v>5020.4775345866592</v>
      </c>
      <c r="AG117" s="133">
        <f t="shared" si="29"/>
        <v>615.09050638431654</v>
      </c>
      <c r="AH117" s="133">
        <f t="shared" si="29"/>
        <v>7448.4047414187889</v>
      </c>
      <c r="AI117" s="134">
        <f t="shared" si="29"/>
        <v>5394.0198162766947</v>
      </c>
      <c r="AJ117" s="132">
        <f t="shared" si="29"/>
        <v>4240.7160247365318</v>
      </c>
      <c r="AK117" s="133">
        <f t="shared" si="29"/>
        <v>1681.2340214692563</v>
      </c>
      <c r="AL117" s="133">
        <f t="shared" si="29"/>
        <v>3931.4135002403964</v>
      </c>
      <c r="AM117" s="134">
        <f t="shared" si="29"/>
        <v>6637.6279738779122</v>
      </c>
      <c r="AN117" s="132">
        <f t="shared" si="29"/>
        <v>9445.3166671476301</v>
      </c>
      <c r="AO117" s="133">
        <f t="shared" si="29"/>
        <v>4835.8541930416495</v>
      </c>
      <c r="AP117" s="133">
        <f t="shared" si="29"/>
        <v>7957.6672286678158</v>
      </c>
      <c r="AQ117" s="134">
        <f t="shared" si="29"/>
        <v>6455.0253108619163</v>
      </c>
      <c r="AR117" s="132">
        <f t="shared" si="29"/>
        <v>6566.3272043122597</v>
      </c>
      <c r="AS117" s="133">
        <f t="shared" si="29"/>
        <v>3792.9479554043473</v>
      </c>
      <c r="AT117" s="133">
        <f t="shared" si="29"/>
        <v>5088.0329505711788</v>
      </c>
      <c r="AU117" s="134">
        <f t="shared" si="29"/>
        <v>6021.7666051335145</v>
      </c>
      <c r="AV117" s="132">
        <f t="shared" si="29"/>
        <v>3349.6463732075194</v>
      </c>
      <c r="AW117" s="133">
        <f t="shared" si="29"/>
        <v>7899.9138792766535</v>
      </c>
      <c r="AX117" s="133">
        <f t="shared" si="29"/>
        <v>6591.2189682225471</v>
      </c>
      <c r="AY117" s="134">
        <f t="shared" si="29"/>
        <v>7083.9033725227628</v>
      </c>
      <c r="AZ117" s="132">
        <f t="shared" si="29"/>
        <v>7014.2948190975094</v>
      </c>
      <c r="BA117" s="133">
        <f t="shared" si="29"/>
        <v>5390.0349238537083</v>
      </c>
      <c r="BB117" s="133">
        <f t="shared" si="29"/>
        <v>6749.0485613595929</v>
      </c>
      <c r="BC117" s="134">
        <f t="shared" si="29"/>
        <v>8626.0230861268556</v>
      </c>
      <c r="BD117" s="132">
        <f t="shared" si="29"/>
        <v>8926.2560186885221</v>
      </c>
      <c r="BE117" s="133">
        <f t="shared" si="29"/>
        <v>10200.543759975604</v>
      </c>
      <c r="BF117" s="133">
        <f t="shared" si="29"/>
        <v>9549.9912729977968</v>
      </c>
      <c r="BG117" s="134">
        <f t="shared" si="29"/>
        <v>10965.086684864893</v>
      </c>
      <c r="BH117" s="132">
        <f t="shared" si="29"/>
        <v>25875.777747869932</v>
      </c>
      <c r="BI117" s="133">
        <f t="shared" si="29"/>
        <v>15129.238959723034</v>
      </c>
      <c r="BJ117" s="133">
        <f t="shared" si="29"/>
        <v>16271.59097044159</v>
      </c>
      <c r="BK117" s="134">
        <f t="shared" si="29"/>
        <v>13850.738875588211</v>
      </c>
      <c r="BL117" s="132">
        <f t="shared" si="29"/>
        <v>11499.878611313423</v>
      </c>
      <c r="BM117" s="133">
        <f t="shared" si="29"/>
        <v>8539.7927356876935</v>
      </c>
      <c r="BN117" s="133">
        <f t="shared" si="29"/>
        <v>9070.0968649780752</v>
      </c>
      <c r="BO117" s="134">
        <f t="shared" si="29"/>
        <v>11779.839460214052</v>
      </c>
      <c r="BP117" s="132">
        <f t="shared" si="29"/>
        <v>12329.26491059</v>
      </c>
      <c r="BQ117" s="133">
        <f t="shared" si="29"/>
        <v>7435.6498770379822</v>
      </c>
      <c r="BR117" s="133">
        <f t="shared" si="29"/>
        <v>9500.2972235405796</v>
      </c>
      <c r="BS117" s="134">
        <f t="shared" si="29"/>
        <v>12745.676829268292</v>
      </c>
      <c r="BT117" s="133">
        <f t="shared" ref="I117:BT118" si="30">_xlfn.XLOOKUP($C117,$C$37:$C$55,BT$37:BT$55)/(SUM(_xlfn.XLOOKUP($E$57,$C$7:$C$17,BT$7:BT$17)+_xlfn.XLOOKUP($C117,$C$56:$C$75,BT$56:BT$75)))*1000</f>
        <v>10613.587931147325</v>
      </c>
      <c r="BU117" s="133"/>
      <c r="BV117" s="57"/>
      <c r="BW117" s="58"/>
      <c r="BX117" s="59"/>
      <c r="BY117" s="59"/>
      <c r="BZ117" s="59"/>
      <c r="CA117" s="59"/>
      <c r="CB117" s="59"/>
      <c r="CC117" s="59"/>
      <c r="CD117" s="59"/>
      <c r="CE117" s="59"/>
      <c r="CF117" s="59"/>
      <c r="CG117" s="59"/>
      <c r="CH117" s="59"/>
      <c r="CI117" s="59"/>
      <c r="CJ117" s="59"/>
      <c r="CK117" s="59"/>
      <c r="CL117" s="59"/>
    </row>
    <row r="118" spans="1:90" x14ac:dyDescent="0.25">
      <c r="A118" s="9"/>
      <c r="B118" s="9"/>
      <c r="C118" s="3" t="s">
        <v>23</v>
      </c>
      <c r="D118" s="3"/>
      <c r="E118" s="3"/>
      <c r="F118" s="20"/>
      <c r="G118" s="20"/>
      <c r="H118" s="132">
        <f t="shared" si="28"/>
        <v>4784.8816506074572</v>
      </c>
      <c r="I118" s="133">
        <f t="shared" si="30"/>
        <v>2944.2163025168402</v>
      </c>
      <c r="J118" s="133">
        <f t="shared" si="30"/>
        <v>6329.5194198161771</v>
      </c>
      <c r="K118" s="134">
        <f t="shared" si="30"/>
        <v>4684.7520025727072</v>
      </c>
      <c r="L118" s="132">
        <f t="shared" si="30"/>
        <v>5370.435292734941</v>
      </c>
      <c r="M118" s="133">
        <f t="shared" si="30"/>
        <v>5144.1346067561153</v>
      </c>
      <c r="N118" s="133">
        <f t="shared" si="30"/>
        <v>6437.5714728374951</v>
      </c>
      <c r="O118" s="134">
        <f t="shared" si="30"/>
        <v>5557.617676169597</v>
      </c>
      <c r="P118" s="132">
        <f t="shared" si="30"/>
        <v>5901.3228011390383</v>
      </c>
      <c r="Q118" s="133">
        <f t="shared" si="30"/>
        <v>5834.3734326780923</v>
      </c>
      <c r="R118" s="133">
        <f t="shared" si="30"/>
        <v>6832.249793593468</v>
      </c>
      <c r="S118" s="134">
        <f t="shared" si="30"/>
        <v>6653.6143544021115</v>
      </c>
      <c r="T118" s="132">
        <f t="shared" si="30"/>
        <v>5805.3771522633442</v>
      </c>
      <c r="U118" s="133">
        <f t="shared" si="30"/>
        <v>6632.3849193426868</v>
      </c>
      <c r="V118" s="133">
        <f t="shared" si="30"/>
        <v>6860.1595722436905</v>
      </c>
      <c r="W118" s="134">
        <f t="shared" si="30"/>
        <v>6478.1839061007931</v>
      </c>
      <c r="X118" s="132">
        <f t="shared" si="30"/>
        <v>7441.348345020644</v>
      </c>
      <c r="Y118" s="133">
        <f t="shared" si="30"/>
        <v>7029.3662876853095</v>
      </c>
      <c r="Z118" s="133">
        <f t="shared" si="30"/>
        <v>7226.1944232567084</v>
      </c>
      <c r="AA118" s="134">
        <f t="shared" si="30"/>
        <v>6830.0592437522691</v>
      </c>
      <c r="AB118" s="132">
        <f t="shared" si="30"/>
        <v>6601.8585176765791</v>
      </c>
      <c r="AC118" s="133">
        <f t="shared" si="30"/>
        <v>6275.0870962836198</v>
      </c>
      <c r="AD118" s="133">
        <f t="shared" si="30"/>
        <v>6750.7748741816231</v>
      </c>
      <c r="AE118" s="134">
        <f t="shared" si="30"/>
        <v>5539.1712939878189</v>
      </c>
      <c r="AF118" s="132">
        <f t="shared" si="30"/>
        <v>5066.364062315165</v>
      </c>
      <c r="AG118" s="133">
        <f t="shared" si="30"/>
        <v>6107.92121718824</v>
      </c>
      <c r="AH118" s="133">
        <f t="shared" si="30"/>
        <v>7193.6320503671177</v>
      </c>
      <c r="AI118" s="134">
        <f t="shared" si="30"/>
        <v>6146.9250690261715</v>
      </c>
      <c r="AJ118" s="132">
        <f t="shared" si="30"/>
        <v>7991.2764049697998</v>
      </c>
      <c r="AK118" s="133">
        <f t="shared" si="30"/>
        <v>8197.7482321948628</v>
      </c>
      <c r="AL118" s="133">
        <f t="shared" si="30"/>
        <v>14309.898868709974</v>
      </c>
      <c r="AM118" s="134">
        <f t="shared" si="30"/>
        <v>13326.130826263534</v>
      </c>
      <c r="AN118" s="132">
        <f t="shared" si="30"/>
        <v>13179.31002100453</v>
      </c>
      <c r="AO118" s="133">
        <f t="shared" si="30"/>
        <v>1103985.5186980141</v>
      </c>
      <c r="AP118" s="133">
        <f t="shared" si="30"/>
        <v>21473.429269786062</v>
      </c>
      <c r="AQ118" s="134">
        <f t="shared" si="30"/>
        <v>12778.450529596212</v>
      </c>
      <c r="AR118" s="132">
        <f t="shared" si="30"/>
        <v>25091.538235738099</v>
      </c>
      <c r="AS118" s="133">
        <f t="shared" si="30"/>
        <v>10657.241426590022</v>
      </c>
      <c r="AT118" s="133">
        <f t="shared" si="30"/>
        <v>13501.553710050939</v>
      </c>
      <c r="AU118" s="134">
        <f t="shared" si="30"/>
        <v>8121.2934218029332</v>
      </c>
      <c r="AV118" s="132">
        <f t="shared" si="30"/>
        <v>48231.679542370483</v>
      </c>
      <c r="AW118" s="133">
        <f t="shared" si="30"/>
        <v>7295.9673793752499</v>
      </c>
      <c r="AX118" s="133">
        <f t="shared" si="30"/>
        <v>7363.9580991104185</v>
      </c>
      <c r="AY118" s="134">
        <f t="shared" si="30"/>
        <v>5590.0687529777451</v>
      </c>
      <c r="AZ118" s="132">
        <f t="shared" si="30"/>
        <v>5886.9451237790454</v>
      </c>
      <c r="BA118" s="133">
        <f t="shared" si="30"/>
        <v>7255.2128475285554</v>
      </c>
      <c r="BB118" s="133">
        <f t="shared" si="30"/>
        <v>9435.8769138511361</v>
      </c>
      <c r="BC118" s="134">
        <f t="shared" si="30"/>
        <v>13535.106094495899</v>
      </c>
      <c r="BD118" s="132">
        <f t="shared" si="30"/>
        <v>12482.877429799482</v>
      </c>
      <c r="BE118" s="133">
        <f t="shared" si="30"/>
        <v>14653.932832787195</v>
      </c>
      <c r="BF118" s="133">
        <f t="shared" si="30"/>
        <v>26439.266013402987</v>
      </c>
      <c r="BG118" s="134">
        <f t="shared" si="30"/>
        <v>16674.072858532159</v>
      </c>
      <c r="BH118" s="132">
        <f t="shared" si="30"/>
        <v>26072.63085977934</v>
      </c>
      <c r="BI118" s="133">
        <f t="shared" si="30"/>
        <v>-38271.230416140977</v>
      </c>
      <c r="BJ118" s="133">
        <f t="shared" si="30"/>
        <v>-42251.675038363341</v>
      </c>
      <c r="BK118" s="134">
        <f t="shared" si="30"/>
        <v>22686.584249084244</v>
      </c>
      <c r="BL118" s="132">
        <f t="shared" si="30"/>
        <v>19978.003161222339</v>
      </c>
      <c r="BM118" s="133">
        <f t="shared" si="30"/>
        <v>26815.455007625817</v>
      </c>
      <c r="BN118" s="133">
        <f t="shared" si="30"/>
        <v>21280.448717948715</v>
      </c>
      <c r="BO118" s="134">
        <f t="shared" si="30"/>
        <v>16601.923357132448</v>
      </c>
      <c r="BP118" s="132">
        <f t="shared" si="30"/>
        <v>16420.04748632187</v>
      </c>
      <c r="BQ118" s="133">
        <f t="shared" si="30"/>
        <v>25822.791566586602</v>
      </c>
      <c r="BR118" s="133">
        <f t="shared" si="30"/>
        <v>20119.294753305843</v>
      </c>
      <c r="BS118" s="134">
        <f t="shared" si="30"/>
        <v>12596.153846153846</v>
      </c>
      <c r="BT118" s="133">
        <f t="shared" si="30"/>
        <v>15249.10841654779</v>
      </c>
      <c r="BU118" s="133"/>
      <c r="BV118" s="57"/>
      <c r="BW118" s="58"/>
      <c r="BX118" s="59"/>
      <c r="BY118" s="59"/>
      <c r="BZ118" s="59"/>
      <c r="CA118" s="59"/>
      <c r="CB118" s="59"/>
      <c r="CC118" s="59"/>
      <c r="CD118" s="59"/>
      <c r="CE118" s="59"/>
      <c r="CF118" s="59"/>
      <c r="CG118" s="59"/>
      <c r="CH118" s="59"/>
      <c r="CI118" s="59"/>
      <c r="CJ118" s="59"/>
      <c r="CK118" s="59"/>
      <c r="CL118" s="59"/>
    </row>
    <row r="119" spans="1:90" x14ac:dyDescent="0.25">
      <c r="A119" s="9"/>
      <c r="B119" s="9"/>
      <c r="C119" s="3"/>
      <c r="D119" s="3"/>
      <c r="E119" s="3"/>
      <c r="F119" s="20"/>
      <c r="G119" s="20"/>
      <c r="H119" s="132"/>
      <c r="I119" s="133"/>
      <c r="J119" s="133"/>
      <c r="K119" s="134"/>
      <c r="L119" s="132"/>
      <c r="M119" s="133"/>
      <c r="N119" s="133"/>
      <c r="O119" s="134"/>
      <c r="P119" s="132"/>
      <c r="Q119" s="133"/>
      <c r="R119" s="133"/>
      <c r="S119" s="134"/>
      <c r="T119" s="132"/>
      <c r="U119" s="133"/>
      <c r="V119" s="133"/>
      <c r="W119" s="134"/>
      <c r="X119" s="132"/>
      <c r="Y119" s="133"/>
      <c r="Z119" s="133"/>
      <c r="AA119" s="134"/>
      <c r="AB119" s="132"/>
      <c r="AC119" s="133"/>
      <c r="AD119" s="133"/>
      <c r="AE119" s="134"/>
      <c r="AF119" s="132"/>
      <c r="AG119" s="133"/>
      <c r="AH119" s="133"/>
      <c r="AI119" s="134"/>
      <c r="AJ119" s="132"/>
      <c r="AK119" s="133"/>
      <c r="AL119" s="133"/>
      <c r="AM119" s="134"/>
      <c r="AN119" s="132"/>
      <c r="AO119" s="133"/>
      <c r="AP119" s="133"/>
      <c r="AQ119" s="134"/>
      <c r="AR119" s="132"/>
      <c r="AS119" s="133"/>
      <c r="AT119" s="133"/>
      <c r="AU119" s="134"/>
      <c r="AV119" s="132"/>
      <c r="AW119" s="133"/>
      <c r="AX119" s="133"/>
      <c r="AY119" s="134"/>
      <c r="AZ119" s="132"/>
      <c r="BA119" s="133"/>
      <c r="BB119" s="133"/>
      <c r="BC119" s="134"/>
      <c r="BD119" s="132"/>
      <c r="BE119" s="133"/>
      <c r="BF119" s="133"/>
      <c r="BG119" s="134"/>
      <c r="BH119" s="132"/>
      <c r="BI119" s="133"/>
      <c r="BJ119" s="133"/>
      <c r="BK119" s="134"/>
      <c r="BL119" s="132"/>
      <c r="BM119" s="133"/>
      <c r="BN119" s="133"/>
      <c r="BO119" s="134"/>
      <c r="BP119" s="132"/>
      <c r="BQ119" s="133"/>
      <c r="BR119" s="133"/>
      <c r="BS119" s="134"/>
      <c r="BT119" s="132"/>
      <c r="BU119" s="133"/>
      <c r="BV119" s="57"/>
      <c r="BW119" s="58"/>
      <c r="BX119" s="59"/>
      <c r="BY119" s="59"/>
      <c r="BZ119" s="59"/>
      <c r="CA119" s="59"/>
      <c r="CB119" s="59"/>
      <c r="CC119" s="59"/>
      <c r="CD119" s="59"/>
      <c r="CE119" s="59"/>
      <c r="CF119" s="59"/>
      <c r="CG119" s="59"/>
      <c r="CH119" s="59"/>
      <c r="CI119" s="59"/>
      <c r="CJ119" s="59"/>
      <c r="CK119" s="59"/>
      <c r="CL119" s="59"/>
    </row>
    <row r="120" spans="1:90" x14ac:dyDescent="0.25">
      <c r="A120" s="9"/>
      <c r="B120" s="9"/>
      <c r="C120" s="4" t="s">
        <v>32</v>
      </c>
      <c r="D120" s="46"/>
      <c r="E120" s="46"/>
      <c r="F120" s="46"/>
      <c r="G120" s="46"/>
      <c r="H120" s="30"/>
      <c r="I120" s="31"/>
      <c r="J120" s="31"/>
      <c r="K120" s="32"/>
      <c r="L120" s="30"/>
      <c r="M120" s="31"/>
      <c r="N120" s="31"/>
      <c r="O120" s="34"/>
      <c r="P120" s="61"/>
      <c r="Q120" s="33"/>
      <c r="R120" s="33"/>
      <c r="S120" s="34"/>
      <c r="T120" s="33"/>
      <c r="U120" s="33"/>
      <c r="V120" s="33"/>
      <c r="W120" s="36"/>
      <c r="X120" s="35"/>
      <c r="Y120" s="35"/>
      <c r="Z120" s="35"/>
      <c r="AA120" s="36"/>
      <c r="AB120" s="35"/>
      <c r="AC120" s="35"/>
      <c r="AD120" s="35"/>
      <c r="AE120" s="36"/>
      <c r="AF120" s="35"/>
      <c r="AG120" s="35"/>
      <c r="AH120" s="35"/>
      <c r="AI120" s="36"/>
      <c r="AJ120" s="35"/>
      <c r="AK120" s="35"/>
      <c r="AL120" s="35"/>
      <c r="AM120" s="36"/>
      <c r="AN120" s="35"/>
      <c r="AO120" s="35"/>
      <c r="AP120" s="35"/>
      <c r="AQ120" s="36"/>
      <c r="AR120" s="35"/>
      <c r="AS120" s="35"/>
      <c r="AT120" s="35"/>
      <c r="AU120" s="36"/>
      <c r="AV120" s="35"/>
      <c r="AW120" s="35"/>
      <c r="AX120" s="35"/>
      <c r="AY120" s="36"/>
      <c r="AZ120" s="35"/>
      <c r="BA120" s="35"/>
      <c r="BB120" s="35"/>
      <c r="BC120" s="36"/>
      <c r="BD120" s="35"/>
      <c r="BE120" s="35"/>
      <c r="BF120" s="35"/>
      <c r="BG120" s="36"/>
      <c r="BH120" s="35"/>
      <c r="BI120" s="35"/>
      <c r="BJ120" s="35"/>
      <c r="BK120" s="36"/>
      <c r="BL120" s="35"/>
      <c r="BM120" s="35"/>
      <c r="BN120" s="35"/>
      <c r="BO120" s="36"/>
      <c r="BP120" s="35"/>
      <c r="BQ120" s="35"/>
      <c r="BR120" s="35"/>
      <c r="BS120" s="36"/>
      <c r="BT120" s="35"/>
      <c r="BU120" s="35"/>
      <c r="BV120" s="35"/>
      <c r="BW120" s="36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</row>
    <row r="121" spans="1:90" x14ac:dyDescent="0.25">
      <c r="A121" s="9"/>
      <c r="B121" s="9"/>
      <c r="C121" s="3" t="s">
        <v>33</v>
      </c>
      <c r="D121" s="3"/>
      <c r="E121" s="3"/>
      <c r="F121" s="20"/>
      <c r="G121" s="20"/>
      <c r="H121" s="52"/>
      <c r="I121" s="31"/>
      <c r="J121" s="31"/>
      <c r="K121" s="32"/>
      <c r="L121" s="62">
        <v>102.54</v>
      </c>
      <c r="M121" s="63">
        <v>95.373333333333335</v>
      </c>
      <c r="N121" s="63">
        <v>81.040000000000006</v>
      </c>
      <c r="O121" s="64">
        <v>81.040000000000006</v>
      </c>
      <c r="P121" s="62">
        <v>81.040000000000006</v>
      </c>
      <c r="Q121" s="63">
        <v>79.626666666666665</v>
      </c>
      <c r="R121" s="63">
        <v>76.8</v>
      </c>
      <c r="S121" s="64">
        <v>76.8</v>
      </c>
      <c r="T121" s="63">
        <v>76.8</v>
      </c>
      <c r="U121" s="63">
        <v>82.486666666666665</v>
      </c>
      <c r="V121" s="63">
        <v>93.86</v>
      </c>
      <c r="W121" s="64">
        <v>93.86</v>
      </c>
      <c r="X121" s="63">
        <v>93.86</v>
      </c>
      <c r="Y121" s="63">
        <v>96.874703196347028</v>
      </c>
      <c r="Z121" s="63">
        <v>102.9041095890411</v>
      </c>
      <c r="AA121" s="64">
        <v>102.9041095890411</v>
      </c>
      <c r="AB121" s="63">
        <v>103</v>
      </c>
      <c r="AC121" s="63"/>
      <c r="AD121" s="63">
        <v>90.21</v>
      </c>
      <c r="AE121" s="64">
        <v>90.21</v>
      </c>
      <c r="AF121" s="65">
        <v>90.21</v>
      </c>
      <c r="AG121" s="65">
        <v>137.126301369863</v>
      </c>
      <c r="AH121" s="65">
        <v>230.95890410958907</v>
      </c>
      <c r="AI121" s="66">
        <v>230.95890410958907</v>
      </c>
      <c r="AJ121" s="65">
        <v>230.95890410958907</v>
      </c>
      <c r="AK121" s="67">
        <v>258.63013698630141</v>
      </c>
      <c r="AL121" s="65">
        <v>313.97260273972609</v>
      </c>
      <c r="AM121" s="68">
        <v>313.97260273972609</v>
      </c>
      <c r="AN121" s="67">
        <v>313.97260273972609</v>
      </c>
      <c r="AO121" s="67">
        <v>286.35616438356169</v>
      </c>
      <c r="AP121" s="65">
        <v>231.12328767123287</v>
      </c>
      <c r="AQ121" s="68">
        <v>231.12328767123287</v>
      </c>
      <c r="AR121" s="67">
        <v>231.12328767123287</v>
      </c>
      <c r="AS121" s="67">
        <v>212.16438356164383</v>
      </c>
      <c r="AT121" s="65">
        <v>174.24657534246575</v>
      </c>
      <c r="AU121" s="68">
        <v>174.24657534246575</v>
      </c>
      <c r="AV121" s="67">
        <v>174.24657534246575</v>
      </c>
      <c r="AW121" s="67">
        <v>166.90410958904107</v>
      </c>
      <c r="AX121" s="65">
        <v>152.21917808219177</v>
      </c>
      <c r="AY121" s="68">
        <v>152.21917808219177</v>
      </c>
      <c r="AZ121" s="67">
        <v>152.21917808219177</v>
      </c>
      <c r="BA121" s="67">
        <v>143.12328767123284</v>
      </c>
      <c r="BB121" s="65">
        <v>124.93150684931504</v>
      </c>
      <c r="BC121" s="68">
        <v>124.93150684931504</v>
      </c>
      <c r="BD121" s="67">
        <v>124.93150684931504</v>
      </c>
      <c r="BE121" s="67">
        <v>124.93150684931504</v>
      </c>
      <c r="BF121" s="65">
        <v>124.93150684931504</v>
      </c>
      <c r="BG121" s="68">
        <v>124.93150684931504</v>
      </c>
      <c r="BH121" s="67">
        <v>124.93150684931504</v>
      </c>
      <c r="BI121" s="67">
        <v>124.93150684931504</v>
      </c>
      <c r="BJ121" s="65">
        <v>124.93150684931504</v>
      </c>
      <c r="BK121" s="68">
        <v>124.93150684931504</v>
      </c>
      <c r="BL121" s="67">
        <v>124.93150684931504</v>
      </c>
      <c r="BM121" s="67">
        <v>124.93150684931504</v>
      </c>
      <c r="BN121" s="65">
        <v>124.93150684931504</v>
      </c>
      <c r="BO121" s="68">
        <v>124.93150684931504</v>
      </c>
      <c r="BP121" s="67">
        <v>124.93150684931504</v>
      </c>
      <c r="BQ121" s="67">
        <v>124.93150684931504</v>
      </c>
      <c r="BR121" s="65"/>
      <c r="BS121" s="68"/>
      <c r="BT121" s="67"/>
      <c r="BU121" s="67"/>
      <c r="BV121" s="65"/>
      <c r="BW121" s="68"/>
      <c r="BX121" s="59"/>
      <c r="BY121" s="59"/>
      <c r="BZ121" s="59"/>
      <c r="CA121" s="59"/>
      <c r="CB121" s="59"/>
      <c r="CC121" s="59"/>
      <c r="CD121" s="59"/>
      <c r="CE121" s="59"/>
      <c r="CF121" s="59"/>
      <c r="CG121" s="59"/>
      <c r="CH121" s="59"/>
      <c r="CI121" s="59"/>
      <c r="CJ121" s="59"/>
      <c r="CK121" s="59"/>
      <c r="CL121" s="59"/>
    </row>
    <row r="122" spans="1:90" x14ac:dyDescent="0.25">
      <c r="A122" s="9"/>
      <c r="B122" s="9"/>
      <c r="C122" s="3" t="s">
        <v>34</v>
      </c>
      <c r="D122" s="3"/>
      <c r="E122" s="3"/>
      <c r="F122" s="20"/>
      <c r="G122" s="20"/>
      <c r="H122" s="52"/>
      <c r="I122" s="53"/>
      <c r="J122" s="53"/>
      <c r="K122" s="54"/>
      <c r="L122" s="62">
        <v>102.54</v>
      </c>
      <c r="M122" s="63">
        <v>96.14</v>
      </c>
      <c r="N122" s="63">
        <v>83.34</v>
      </c>
      <c r="O122" s="64">
        <v>83.34</v>
      </c>
      <c r="P122" s="62">
        <v>83.34</v>
      </c>
      <c r="Q122" s="63">
        <v>83.13333333333334</v>
      </c>
      <c r="R122" s="63">
        <v>82.72</v>
      </c>
      <c r="S122" s="64">
        <v>82.72</v>
      </c>
      <c r="T122" s="63">
        <v>82.72</v>
      </c>
      <c r="U122" s="63">
        <v>86.433333333333337</v>
      </c>
      <c r="V122" s="63">
        <v>93.86</v>
      </c>
      <c r="W122" s="64">
        <v>93.86</v>
      </c>
      <c r="X122" s="63">
        <v>93.86</v>
      </c>
      <c r="Y122" s="63">
        <v>96.874703196347028</v>
      </c>
      <c r="Z122" s="63">
        <v>102.9041095890411</v>
      </c>
      <c r="AA122" s="64">
        <v>102.9041095890411</v>
      </c>
      <c r="AB122" s="63">
        <v>103</v>
      </c>
      <c r="AC122" s="63"/>
      <c r="AD122" s="63">
        <v>90.21</v>
      </c>
      <c r="AE122" s="64">
        <v>90.21</v>
      </c>
      <c r="AF122" s="65">
        <v>90.21</v>
      </c>
      <c r="AG122" s="65">
        <v>137.126301369863</v>
      </c>
      <c r="AH122" s="65">
        <v>230.95890410958907</v>
      </c>
      <c r="AI122" s="66">
        <v>230.95890410958907</v>
      </c>
      <c r="AJ122" s="65">
        <v>230.95890410958907</v>
      </c>
      <c r="AK122" s="67">
        <v>258.63013698630141</v>
      </c>
      <c r="AL122" s="65">
        <v>313.97260273972609</v>
      </c>
      <c r="AM122" s="68">
        <v>313.97260273972609</v>
      </c>
      <c r="AN122" s="67">
        <v>313.97260273972609</v>
      </c>
      <c r="AO122" s="67">
        <v>286.35616438356169</v>
      </c>
      <c r="AP122" s="65">
        <v>231.12328767123287</v>
      </c>
      <c r="AQ122" s="68">
        <v>231.12328767123287</v>
      </c>
      <c r="AR122" s="67">
        <v>231.12328767123287</v>
      </c>
      <c r="AS122" s="67">
        <v>212.16438356164383</v>
      </c>
      <c r="AT122" s="65">
        <v>174.24657534246575</v>
      </c>
      <c r="AU122" s="68">
        <v>174.24657534246575</v>
      </c>
      <c r="AV122" s="67">
        <v>174.24657534246575</v>
      </c>
      <c r="AW122" s="67">
        <v>166.90410958904107</v>
      </c>
      <c r="AX122" s="65">
        <v>152.21917808219177</v>
      </c>
      <c r="AY122" s="68">
        <v>152.21917808219177</v>
      </c>
      <c r="AZ122" s="67">
        <v>152.21917808219177</v>
      </c>
      <c r="BA122" s="67">
        <v>143.12328767123284</v>
      </c>
      <c r="BB122" s="65">
        <v>124.93150684931504</v>
      </c>
      <c r="BC122" s="68">
        <v>124.93150684931504</v>
      </c>
      <c r="BD122" s="67">
        <v>124.93150684931504</v>
      </c>
      <c r="BE122" s="67">
        <v>124.93150684931504</v>
      </c>
      <c r="BF122" s="65">
        <v>124.93150684931504</v>
      </c>
      <c r="BG122" s="68">
        <v>124.93150684931504</v>
      </c>
      <c r="BH122" s="67">
        <v>124.93150684931504</v>
      </c>
      <c r="BI122" s="67">
        <v>124.93150684931504</v>
      </c>
      <c r="BJ122" s="65">
        <v>124.93150684931504</v>
      </c>
      <c r="BK122" s="68">
        <v>124.93150684931504</v>
      </c>
      <c r="BL122" s="67">
        <v>124.93150684931504</v>
      </c>
      <c r="BM122" s="67">
        <v>124.93150684931504</v>
      </c>
      <c r="BN122" s="65">
        <v>124.93150684931504</v>
      </c>
      <c r="BO122" s="68">
        <v>124.93150684931504</v>
      </c>
      <c r="BP122" s="67">
        <v>124.93150684931504</v>
      </c>
      <c r="BQ122" s="67">
        <v>124.93150684931504</v>
      </c>
      <c r="BR122" s="65"/>
      <c r="BS122" s="68"/>
      <c r="BT122" s="67"/>
      <c r="BU122" s="67"/>
      <c r="BV122" s="65"/>
      <c r="BW122" s="68"/>
      <c r="BX122" s="59"/>
      <c r="BY122" s="59"/>
      <c r="BZ122" s="59"/>
      <c r="CA122" s="59"/>
      <c r="CB122" s="59"/>
      <c r="CC122" s="59"/>
      <c r="CD122" s="59"/>
      <c r="CE122" s="59"/>
      <c r="CF122" s="59"/>
      <c r="CG122" s="59"/>
      <c r="CH122" s="59"/>
      <c r="CI122" s="59"/>
      <c r="CJ122" s="59"/>
      <c r="CK122" s="59"/>
      <c r="CL122" s="59"/>
    </row>
    <row r="123" spans="1:90" x14ac:dyDescent="0.25">
      <c r="A123" s="9"/>
      <c r="B123" s="9"/>
      <c r="C123" s="3" t="s">
        <v>35</v>
      </c>
      <c r="D123" s="3"/>
      <c r="E123" s="3"/>
      <c r="F123" s="20"/>
      <c r="G123" s="20"/>
      <c r="H123" s="52"/>
      <c r="I123" s="53"/>
      <c r="J123" s="53"/>
      <c r="K123" s="54"/>
      <c r="L123" s="62">
        <v>110</v>
      </c>
      <c r="M123" s="63">
        <v>78.819999999999993</v>
      </c>
      <c r="N123" s="63">
        <v>16.46</v>
      </c>
      <c r="O123" s="64">
        <v>16.46</v>
      </c>
      <c r="P123" s="62">
        <v>16.46</v>
      </c>
      <c r="Q123" s="63">
        <v>20.216666666666669</v>
      </c>
      <c r="R123" s="63">
        <v>27.73</v>
      </c>
      <c r="S123" s="64">
        <v>27.73</v>
      </c>
      <c r="T123" s="63">
        <v>27.73</v>
      </c>
      <c r="U123" s="63">
        <v>60.483333333333327</v>
      </c>
      <c r="V123" s="63">
        <v>125.99</v>
      </c>
      <c r="W123" s="64">
        <v>125.99</v>
      </c>
      <c r="X123" s="63">
        <v>125.99</v>
      </c>
      <c r="Y123" s="63">
        <v>129.32666666666668</v>
      </c>
      <c r="Z123" s="63">
        <v>136</v>
      </c>
      <c r="AA123" s="64">
        <v>136</v>
      </c>
      <c r="AB123" s="63">
        <v>136</v>
      </c>
      <c r="AC123" s="63"/>
      <c r="AD123" s="63">
        <v>59.37</v>
      </c>
      <c r="AE123" s="64">
        <v>59.37</v>
      </c>
      <c r="AF123" s="65">
        <v>59.37</v>
      </c>
      <c r="AG123" s="65">
        <v>79.58</v>
      </c>
      <c r="AH123" s="65">
        <v>120</v>
      </c>
      <c r="AI123" s="66">
        <v>120</v>
      </c>
      <c r="AJ123" s="65">
        <v>120</v>
      </c>
      <c r="AK123" s="67">
        <v>134.92333333333335</v>
      </c>
      <c r="AL123" s="69">
        <v>164.77</v>
      </c>
      <c r="AM123" s="68">
        <v>164.77</v>
      </c>
      <c r="AN123" s="67">
        <v>164.77</v>
      </c>
      <c r="AO123" s="67">
        <v>143.18</v>
      </c>
      <c r="AP123" s="69">
        <v>100</v>
      </c>
      <c r="AQ123" s="68">
        <v>100</v>
      </c>
      <c r="AR123" s="67">
        <v>100</v>
      </c>
      <c r="AS123" s="67">
        <v>92.176666666666648</v>
      </c>
      <c r="AT123" s="69">
        <v>76.53</v>
      </c>
      <c r="AU123" s="68">
        <v>76.53</v>
      </c>
      <c r="AV123" s="67">
        <v>76.53</v>
      </c>
      <c r="AW123" s="67">
        <v>97.686666666666667</v>
      </c>
      <c r="AX123" s="69">
        <v>140</v>
      </c>
      <c r="AY123" s="68">
        <v>140</v>
      </c>
      <c r="AZ123" s="67">
        <v>140</v>
      </c>
      <c r="BA123" s="67">
        <v>110</v>
      </c>
      <c r="BB123" s="65">
        <v>50</v>
      </c>
      <c r="BC123" s="68">
        <v>50</v>
      </c>
      <c r="BD123" s="67">
        <v>50</v>
      </c>
      <c r="BE123" s="67">
        <v>44.709999999999994</v>
      </c>
      <c r="BF123" s="65">
        <v>34.130000000000003</v>
      </c>
      <c r="BG123" s="68">
        <v>34.130000000000003</v>
      </c>
      <c r="BH123" s="67">
        <v>34.130000000000003</v>
      </c>
      <c r="BI123" s="67">
        <v>34.130000000000003</v>
      </c>
      <c r="BJ123" s="67">
        <v>34.130000000000003</v>
      </c>
      <c r="BK123" s="68">
        <v>34.130000000000003</v>
      </c>
      <c r="BL123" s="67">
        <v>34.130000000000003</v>
      </c>
      <c r="BM123" s="67">
        <v>34.130000000000003</v>
      </c>
      <c r="BN123" s="67">
        <v>34.130000000000003</v>
      </c>
      <c r="BO123" s="68">
        <v>34.130000000000003</v>
      </c>
      <c r="BP123" s="67">
        <v>34.130000000000003</v>
      </c>
      <c r="BQ123" s="67">
        <v>34.130000000000003</v>
      </c>
      <c r="BR123" s="67"/>
      <c r="BS123" s="68"/>
      <c r="BT123" s="67"/>
      <c r="BU123" s="67"/>
      <c r="BV123" s="67"/>
      <c r="BW123" s="68"/>
      <c r="BX123" s="59"/>
      <c r="BY123" s="59"/>
      <c r="BZ123" s="59"/>
      <c r="CA123" s="59"/>
      <c r="CB123" s="59"/>
      <c r="CC123" s="59"/>
      <c r="CD123" s="59"/>
      <c r="CE123" s="59"/>
      <c r="CF123" s="59"/>
      <c r="CG123" s="59"/>
      <c r="CH123" s="59"/>
      <c r="CI123" s="59"/>
      <c r="CJ123" s="59"/>
      <c r="CK123" s="59"/>
      <c r="CL123" s="59"/>
    </row>
    <row r="124" spans="1:90" x14ac:dyDescent="0.25">
      <c r="A124" s="9"/>
      <c r="B124" s="9"/>
      <c r="C124" s="3" t="s">
        <v>36</v>
      </c>
      <c r="D124" s="3"/>
      <c r="E124" s="3"/>
      <c r="F124" s="20"/>
      <c r="G124" s="20"/>
      <c r="H124" s="52"/>
      <c r="I124" s="53"/>
      <c r="J124" s="53"/>
      <c r="K124" s="54"/>
      <c r="L124" s="62">
        <v>110</v>
      </c>
      <c r="M124" s="63">
        <v>117.79</v>
      </c>
      <c r="N124" s="63">
        <v>133.37</v>
      </c>
      <c r="O124" s="64">
        <v>133.37</v>
      </c>
      <c r="P124" s="62">
        <v>133.37</v>
      </c>
      <c r="Q124" s="63">
        <v>164.29666666666665</v>
      </c>
      <c r="R124" s="63">
        <v>226.15</v>
      </c>
      <c r="S124" s="64">
        <v>226.15</v>
      </c>
      <c r="T124" s="63">
        <v>226.15</v>
      </c>
      <c r="U124" s="63">
        <v>196.26666666666665</v>
      </c>
      <c r="V124" s="63">
        <v>136.5</v>
      </c>
      <c r="W124" s="64">
        <v>136.5</v>
      </c>
      <c r="X124" s="63">
        <v>136.5</v>
      </c>
      <c r="Y124" s="63">
        <v>146.82</v>
      </c>
      <c r="Z124" s="63">
        <v>167.46</v>
      </c>
      <c r="AA124" s="64">
        <v>167.46</v>
      </c>
      <c r="AB124" s="63">
        <v>167.46</v>
      </c>
      <c r="AC124" s="63"/>
      <c r="AD124" s="63">
        <v>119.13</v>
      </c>
      <c r="AE124" s="64">
        <v>119.13</v>
      </c>
      <c r="AF124" s="65">
        <v>119.13</v>
      </c>
      <c r="AG124" s="65">
        <v>119.41999999999999</v>
      </c>
      <c r="AH124" s="65">
        <v>120</v>
      </c>
      <c r="AI124" s="66">
        <v>120</v>
      </c>
      <c r="AJ124" s="65">
        <v>120</v>
      </c>
      <c r="AK124" s="67">
        <v>134.92333333333335</v>
      </c>
      <c r="AL124" s="69">
        <v>164.77</v>
      </c>
      <c r="AM124" s="68">
        <v>164.77</v>
      </c>
      <c r="AN124" s="67">
        <v>164.77</v>
      </c>
      <c r="AO124" s="67">
        <v>143.18</v>
      </c>
      <c r="AP124" s="69">
        <v>100</v>
      </c>
      <c r="AQ124" s="68">
        <v>100</v>
      </c>
      <c r="AR124" s="67">
        <v>100</v>
      </c>
      <c r="AS124" s="67">
        <v>95.346666666666664</v>
      </c>
      <c r="AT124" s="69">
        <v>86.04</v>
      </c>
      <c r="AU124" s="68">
        <v>86.04</v>
      </c>
      <c r="AV124" s="67">
        <v>86.04</v>
      </c>
      <c r="AW124" s="67">
        <v>104.02666666666667</v>
      </c>
      <c r="AX124" s="69">
        <v>140</v>
      </c>
      <c r="AY124" s="68">
        <v>140</v>
      </c>
      <c r="AZ124" s="67">
        <v>140</v>
      </c>
      <c r="BA124" s="67">
        <v>125.26333333333332</v>
      </c>
      <c r="BB124" s="65">
        <v>95.79</v>
      </c>
      <c r="BC124" s="68">
        <v>95.79</v>
      </c>
      <c r="BD124" s="67">
        <v>95.79</v>
      </c>
      <c r="BE124" s="67">
        <v>80.356666666666669</v>
      </c>
      <c r="BF124" s="65">
        <v>49.49</v>
      </c>
      <c r="BG124" s="68">
        <v>49.49</v>
      </c>
      <c r="BH124" s="67">
        <v>49.49</v>
      </c>
      <c r="BI124" s="67">
        <v>49.49</v>
      </c>
      <c r="BJ124" s="67">
        <v>49.49</v>
      </c>
      <c r="BK124" s="68">
        <v>49.49</v>
      </c>
      <c r="BL124" s="67">
        <v>49.49</v>
      </c>
      <c r="BM124" s="67">
        <v>49.49</v>
      </c>
      <c r="BN124" s="67">
        <v>49.49</v>
      </c>
      <c r="BO124" s="68">
        <v>49.49</v>
      </c>
      <c r="BP124" s="67">
        <v>49.49</v>
      </c>
      <c r="BQ124" s="67">
        <v>49.49</v>
      </c>
      <c r="BR124" s="67"/>
      <c r="BS124" s="68"/>
      <c r="BT124" s="67"/>
      <c r="BU124" s="67"/>
      <c r="BV124" s="67"/>
      <c r="BW124" s="68"/>
      <c r="BX124" s="59"/>
      <c r="BY124" s="59"/>
      <c r="BZ124" s="59"/>
      <c r="CA124" s="59"/>
      <c r="CB124" s="59"/>
      <c r="CC124" s="59"/>
      <c r="CD124" s="59"/>
      <c r="CE124" s="59"/>
      <c r="CF124" s="59"/>
      <c r="CG124" s="59"/>
      <c r="CH124" s="59"/>
      <c r="CI124" s="59"/>
      <c r="CJ124" s="59"/>
      <c r="CK124" s="59"/>
      <c r="CL124" s="59"/>
    </row>
    <row r="125" spans="1:90" x14ac:dyDescent="0.25">
      <c r="A125" s="9"/>
      <c r="B125" s="9"/>
      <c r="C125" s="3" t="s">
        <v>37</v>
      </c>
      <c r="D125" s="3"/>
      <c r="E125" s="3"/>
      <c r="F125" s="20"/>
      <c r="G125" s="20"/>
      <c r="H125" s="52"/>
      <c r="I125" s="53"/>
      <c r="J125" s="53"/>
      <c r="K125" s="54"/>
      <c r="L125" s="62">
        <v>110</v>
      </c>
      <c r="M125" s="63">
        <v>117.79</v>
      </c>
      <c r="N125" s="63">
        <v>133.37</v>
      </c>
      <c r="O125" s="64">
        <v>133.37</v>
      </c>
      <c r="P125" s="62">
        <v>133.37</v>
      </c>
      <c r="Q125" s="63">
        <v>164.29666666666665</v>
      </c>
      <c r="R125" s="63">
        <v>226.15</v>
      </c>
      <c r="S125" s="64">
        <v>226.15</v>
      </c>
      <c r="T125" s="63">
        <v>226.15</v>
      </c>
      <c r="U125" s="63">
        <v>196.26666666666665</v>
      </c>
      <c r="V125" s="63">
        <v>136.5</v>
      </c>
      <c r="W125" s="64">
        <v>136.5</v>
      </c>
      <c r="X125" s="63">
        <v>136.5</v>
      </c>
      <c r="Y125" s="63">
        <v>146.82</v>
      </c>
      <c r="Z125" s="63">
        <v>167.46</v>
      </c>
      <c r="AA125" s="64">
        <v>167.46</v>
      </c>
      <c r="AB125" s="63">
        <v>167.46</v>
      </c>
      <c r="AC125" s="63"/>
      <c r="AD125" s="63">
        <v>119.13</v>
      </c>
      <c r="AE125" s="64">
        <v>119.13</v>
      </c>
      <c r="AF125" s="65">
        <v>119.13</v>
      </c>
      <c r="AG125" s="65">
        <v>119.41999999999999</v>
      </c>
      <c r="AH125" s="65">
        <v>120</v>
      </c>
      <c r="AI125" s="66">
        <v>120</v>
      </c>
      <c r="AJ125" s="65">
        <v>120</v>
      </c>
      <c r="AK125" s="67">
        <v>134.92333333333335</v>
      </c>
      <c r="AL125" s="69">
        <v>164.77</v>
      </c>
      <c r="AM125" s="68">
        <v>164.77</v>
      </c>
      <c r="AN125" s="67">
        <v>164.77</v>
      </c>
      <c r="AO125" s="67">
        <v>143.18</v>
      </c>
      <c r="AP125" s="69">
        <v>100</v>
      </c>
      <c r="AQ125" s="68">
        <v>100</v>
      </c>
      <c r="AR125" s="67">
        <v>100</v>
      </c>
      <c r="AS125" s="67">
        <v>95.346666666666664</v>
      </c>
      <c r="AT125" s="69">
        <v>86.04</v>
      </c>
      <c r="AU125" s="68">
        <v>86.04</v>
      </c>
      <c r="AV125" s="67">
        <v>86.04</v>
      </c>
      <c r="AW125" s="67">
        <v>104.02666666666667</v>
      </c>
      <c r="AX125" s="69">
        <v>140</v>
      </c>
      <c r="AY125" s="68">
        <v>140</v>
      </c>
      <c r="AZ125" s="67">
        <v>140</v>
      </c>
      <c r="BA125" s="67">
        <v>125.26333333333332</v>
      </c>
      <c r="BB125" s="65">
        <v>95.79</v>
      </c>
      <c r="BC125" s="68">
        <v>95.79</v>
      </c>
      <c r="BD125" s="67">
        <v>95.79</v>
      </c>
      <c r="BE125" s="67">
        <v>80.356666666666669</v>
      </c>
      <c r="BF125" s="65">
        <v>49.49</v>
      </c>
      <c r="BG125" s="68">
        <v>49.49</v>
      </c>
      <c r="BH125" s="67">
        <v>49.49</v>
      </c>
      <c r="BI125" s="67">
        <v>49.49</v>
      </c>
      <c r="BJ125" s="67">
        <v>49.49</v>
      </c>
      <c r="BK125" s="68">
        <v>49.49</v>
      </c>
      <c r="BL125" s="67">
        <v>49.49</v>
      </c>
      <c r="BM125" s="67">
        <v>49.49</v>
      </c>
      <c r="BN125" s="67">
        <v>49.49</v>
      </c>
      <c r="BO125" s="68">
        <v>49.49</v>
      </c>
      <c r="BP125" s="67">
        <v>49.49</v>
      </c>
      <c r="BQ125" s="67">
        <v>49.49</v>
      </c>
      <c r="BR125" s="67"/>
      <c r="BS125" s="68"/>
      <c r="BT125" s="67"/>
      <c r="BU125" s="67"/>
      <c r="BV125" s="67"/>
      <c r="BW125" s="68"/>
      <c r="BX125" s="59"/>
      <c r="BY125" s="59"/>
      <c r="BZ125" s="59"/>
      <c r="CA125" s="59"/>
      <c r="CB125" s="59"/>
      <c r="CC125" s="59"/>
      <c r="CD125" s="59"/>
      <c r="CE125" s="59"/>
      <c r="CF125" s="59"/>
      <c r="CG125" s="59"/>
      <c r="CH125" s="59"/>
      <c r="CI125" s="59"/>
      <c r="CJ125" s="59"/>
      <c r="CK125" s="59"/>
      <c r="CL125" s="59"/>
    </row>
    <row r="126" spans="1:90" x14ac:dyDescent="0.25">
      <c r="A126" s="9"/>
      <c r="B126" s="9"/>
      <c r="C126" s="3" t="s">
        <v>38</v>
      </c>
      <c r="D126" s="3"/>
      <c r="E126" s="3"/>
      <c r="F126" s="20"/>
      <c r="G126" s="20"/>
      <c r="H126" s="52"/>
      <c r="I126" s="53"/>
      <c r="J126" s="53"/>
      <c r="K126" s="54"/>
      <c r="L126" s="62">
        <v>110</v>
      </c>
      <c r="M126" s="63">
        <v>119.91</v>
      </c>
      <c r="N126" s="63">
        <v>139.72999999999999</v>
      </c>
      <c r="O126" s="64">
        <v>139.72999999999999</v>
      </c>
      <c r="P126" s="62">
        <v>139.72999999999999</v>
      </c>
      <c r="Q126" s="63">
        <v>174.82</v>
      </c>
      <c r="R126" s="63">
        <v>245</v>
      </c>
      <c r="S126" s="64">
        <v>245</v>
      </c>
      <c r="T126" s="63">
        <v>245</v>
      </c>
      <c r="U126" s="63">
        <v>208.83333333333334</v>
      </c>
      <c r="V126" s="63">
        <v>136.5</v>
      </c>
      <c r="W126" s="64">
        <v>136.5</v>
      </c>
      <c r="X126" s="63">
        <v>136.5</v>
      </c>
      <c r="Y126" s="63">
        <v>146.82</v>
      </c>
      <c r="Z126" s="63">
        <v>167.46</v>
      </c>
      <c r="AA126" s="64">
        <v>167.46</v>
      </c>
      <c r="AB126" s="63">
        <v>167.46</v>
      </c>
      <c r="AC126" s="63"/>
      <c r="AD126" s="63">
        <v>119.13</v>
      </c>
      <c r="AE126" s="64">
        <v>119.13</v>
      </c>
      <c r="AF126" s="65">
        <v>119.13</v>
      </c>
      <c r="AG126" s="65">
        <v>119.41999999999999</v>
      </c>
      <c r="AH126" s="65">
        <v>120</v>
      </c>
      <c r="AI126" s="66">
        <v>120</v>
      </c>
      <c r="AJ126" s="65">
        <v>120</v>
      </c>
      <c r="AK126" s="67">
        <v>155.13999999999999</v>
      </c>
      <c r="AL126" s="69">
        <v>225.42</v>
      </c>
      <c r="AM126" s="68">
        <v>225.42</v>
      </c>
      <c r="AN126" s="67">
        <v>225.42</v>
      </c>
      <c r="AO126" s="67">
        <v>190.27999999999997</v>
      </c>
      <c r="AP126" s="69">
        <v>120</v>
      </c>
      <c r="AQ126" s="68">
        <v>120</v>
      </c>
      <c r="AR126" s="67">
        <v>120</v>
      </c>
      <c r="AS126" s="67">
        <v>142.62333333333333</v>
      </c>
      <c r="AT126" s="69">
        <v>187.87</v>
      </c>
      <c r="AU126" s="68">
        <v>187.87</v>
      </c>
      <c r="AV126" s="67">
        <v>187.87</v>
      </c>
      <c r="AW126" s="67">
        <v>180.49</v>
      </c>
      <c r="AX126" s="69">
        <v>165.73</v>
      </c>
      <c r="AY126" s="68">
        <v>165.73</v>
      </c>
      <c r="AZ126" s="67">
        <v>165.73</v>
      </c>
      <c r="BA126" s="67">
        <v>143.10666666666665</v>
      </c>
      <c r="BB126" s="65">
        <v>97.86</v>
      </c>
      <c r="BC126" s="68">
        <v>97.86</v>
      </c>
      <c r="BD126" s="67">
        <v>97.86</v>
      </c>
      <c r="BE126" s="67">
        <v>81.736666666666665</v>
      </c>
      <c r="BF126" s="65">
        <v>49.49</v>
      </c>
      <c r="BG126" s="68">
        <v>49.49</v>
      </c>
      <c r="BH126" s="67">
        <v>49.49</v>
      </c>
      <c r="BI126" s="67">
        <v>49.49</v>
      </c>
      <c r="BJ126" s="67">
        <v>49.49</v>
      </c>
      <c r="BK126" s="68">
        <v>49.49</v>
      </c>
      <c r="BL126" s="67">
        <v>49.49</v>
      </c>
      <c r="BM126" s="67">
        <v>49.49</v>
      </c>
      <c r="BN126" s="67">
        <v>49.49</v>
      </c>
      <c r="BO126" s="68">
        <v>49.49</v>
      </c>
      <c r="BP126" s="67">
        <v>49.49</v>
      </c>
      <c r="BQ126" s="67">
        <v>49.49</v>
      </c>
      <c r="BR126" s="67"/>
      <c r="BS126" s="68"/>
      <c r="BT126" s="67"/>
      <c r="BU126" s="67"/>
      <c r="BV126" s="67"/>
      <c r="BW126" s="68"/>
      <c r="BX126" s="59"/>
      <c r="BY126" s="59"/>
      <c r="BZ126" s="59"/>
      <c r="CA126" s="59"/>
      <c r="CB126" s="59"/>
      <c r="CC126" s="59"/>
      <c r="CD126" s="59"/>
      <c r="CE126" s="59"/>
      <c r="CF126" s="59"/>
      <c r="CG126" s="59"/>
      <c r="CH126" s="59"/>
      <c r="CI126" s="59"/>
      <c r="CJ126" s="59"/>
      <c r="CK126" s="59"/>
      <c r="CL126" s="59"/>
    </row>
    <row r="127" spans="1:90" x14ac:dyDescent="0.25">
      <c r="A127" s="9"/>
      <c r="B127" s="9"/>
      <c r="C127" s="3" t="s">
        <v>39</v>
      </c>
      <c r="D127" s="3"/>
      <c r="E127" s="3"/>
      <c r="F127" s="20"/>
      <c r="G127" s="20"/>
      <c r="H127" s="52"/>
      <c r="I127" s="53"/>
      <c r="J127" s="53"/>
      <c r="K127" s="54"/>
      <c r="L127" s="62">
        <v>110</v>
      </c>
      <c r="M127" s="63">
        <v>119.91</v>
      </c>
      <c r="N127" s="63">
        <v>139.72999999999999</v>
      </c>
      <c r="O127" s="64">
        <v>139.72999999999999</v>
      </c>
      <c r="P127" s="62">
        <v>139.72999999999999</v>
      </c>
      <c r="Q127" s="63">
        <v>174.82</v>
      </c>
      <c r="R127" s="63">
        <v>245</v>
      </c>
      <c r="S127" s="64">
        <v>245</v>
      </c>
      <c r="T127" s="63">
        <v>245</v>
      </c>
      <c r="U127" s="63">
        <v>208.83333333333334</v>
      </c>
      <c r="V127" s="63">
        <v>136.5</v>
      </c>
      <c r="W127" s="64">
        <v>136.5</v>
      </c>
      <c r="X127" s="63">
        <v>136.5</v>
      </c>
      <c r="Y127" s="63">
        <v>146.82</v>
      </c>
      <c r="Z127" s="63">
        <v>167.46</v>
      </c>
      <c r="AA127" s="64">
        <v>167.46</v>
      </c>
      <c r="AB127" s="63">
        <v>167.46</v>
      </c>
      <c r="AC127" s="63"/>
      <c r="AD127" s="63">
        <v>119.13</v>
      </c>
      <c r="AE127" s="64">
        <v>119.13</v>
      </c>
      <c r="AF127" s="65">
        <v>119.13</v>
      </c>
      <c r="AG127" s="65">
        <v>119.41999999999999</v>
      </c>
      <c r="AH127" s="65">
        <v>120</v>
      </c>
      <c r="AI127" s="66">
        <v>120</v>
      </c>
      <c r="AJ127" s="65">
        <v>120</v>
      </c>
      <c r="AK127" s="67">
        <v>155.13999999999999</v>
      </c>
      <c r="AL127" s="69">
        <v>225.42</v>
      </c>
      <c r="AM127" s="68">
        <v>225.42</v>
      </c>
      <c r="AN127" s="67">
        <v>225.42</v>
      </c>
      <c r="AO127" s="67">
        <v>190.20333333333332</v>
      </c>
      <c r="AP127" s="69">
        <v>119.77</v>
      </c>
      <c r="AQ127" s="68">
        <v>119.77</v>
      </c>
      <c r="AR127" s="67">
        <v>119.77</v>
      </c>
      <c r="AS127" s="67">
        <v>142.47</v>
      </c>
      <c r="AT127" s="69">
        <v>187.87</v>
      </c>
      <c r="AU127" s="68">
        <v>187.87</v>
      </c>
      <c r="AV127" s="67">
        <v>187.87</v>
      </c>
      <c r="AW127" s="67">
        <v>180.49</v>
      </c>
      <c r="AX127" s="69">
        <v>165.73</v>
      </c>
      <c r="AY127" s="68">
        <v>165.73</v>
      </c>
      <c r="AZ127" s="67">
        <v>165.73</v>
      </c>
      <c r="BA127" s="67">
        <v>143.10666666666665</v>
      </c>
      <c r="BB127" s="65">
        <v>97.86</v>
      </c>
      <c r="BC127" s="68">
        <v>97.86</v>
      </c>
      <c r="BD127" s="67">
        <v>97.86</v>
      </c>
      <c r="BE127" s="67">
        <v>88.559999999999988</v>
      </c>
      <c r="BF127" s="65">
        <v>69.959999999999994</v>
      </c>
      <c r="BG127" s="68">
        <v>69.959999999999994</v>
      </c>
      <c r="BH127" s="67">
        <v>69.959999999999994</v>
      </c>
      <c r="BI127" s="67">
        <v>69.959999999999994</v>
      </c>
      <c r="BJ127" s="67">
        <v>69.959999999999994</v>
      </c>
      <c r="BK127" s="68">
        <v>69.959999999999994</v>
      </c>
      <c r="BL127" s="67">
        <v>69.959999999999994</v>
      </c>
      <c r="BM127" s="67">
        <v>69.959999999999994</v>
      </c>
      <c r="BN127" s="67">
        <v>69.959999999999994</v>
      </c>
      <c r="BO127" s="68">
        <v>69.959999999999994</v>
      </c>
      <c r="BP127" s="67">
        <v>69.959999999999994</v>
      </c>
      <c r="BQ127" s="67">
        <v>69.959999999999994</v>
      </c>
      <c r="BR127" s="67"/>
      <c r="BS127" s="68"/>
      <c r="BT127" s="67"/>
      <c r="BU127" s="67"/>
      <c r="BV127" s="67"/>
      <c r="BW127" s="68"/>
      <c r="BX127" s="59"/>
      <c r="BY127" s="59"/>
      <c r="BZ127" s="59"/>
      <c r="CA127" s="59"/>
      <c r="CB127" s="59"/>
      <c r="CC127" s="59"/>
      <c r="CD127" s="59"/>
      <c r="CE127" s="59"/>
      <c r="CF127" s="59"/>
      <c r="CG127" s="59"/>
      <c r="CH127" s="59"/>
      <c r="CI127" s="59"/>
      <c r="CJ127" s="59"/>
      <c r="CK127" s="59"/>
      <c r="CL127" s="59"/>
    </row>
    <row r="128" spans="1:90" x14ac:dyDescent="0.25">
      <c r="A128" s="9"/>
      <c r="B128" s="9"/>
      <c r="C128" s="3" t="s">
        <v>40</v>
      </c>
      <c r="D128" s="3"/>
      <c r="E128" s="3"/>
      <c r="F128" s="20"/>
      <c r="G128" s="20"/>
      <c r="H128" s="52"/>
      <c r="I128" s="53"/>
      <c r="J128" s="53"/>
      <c r="K128" s="54"/>
      <c r="L128" s="62">
        <v>110</v>
      </c>
      <c r="M128" s="63">
        <v>78.819999999999993</v>
      </c>
      <c r="N128" s="63">
        <v>16.46</v>
      </c>
      <c r="O128" s="64">
        <v>16.46</v>
      </c>
      <c r="P128" s="62">
        <v>16.46</v>
      </c>
      <c r="Q128" s="63">
        <v>20.216666666666669</v>
      </c>
      <c r="R128" s="63">
        <v>27.73</v>
      </c>
      <c r="S128" s="64">
        <v>27.73</v>
      </c>
      <c r="T128" s="63">
        <v>27.73</v>
      </c>
      <c r="U128" s="63">
        <v>60.483333333333327</v>
      </c>
      <c r="V128" s="63">
        <v>125.99</v>
      </c>
      <c r="W128" s="64">
        <v>125.99</v>
      </c>
      <c r="X128" s="63">
        <v>125.99</v>
      </c>
      <c r="Y128" s="63">
        <v>129.32666666666668</v>
      </c>
      <c r="Z128" s="63">
        <v>136</v>
      </c>
      <c r="AA128" s="64">
        <v>136</v>
      </c>
      <c r="AB128" s="63">
        <v>136</v>
      </c>
      <c r="AC128" s="63"/>
      <c r="AD128" s="63">
        <v>59.37</v>
      </c>
      <c r="AE128" s="64">
        <v>59.37</v>
      </c>
      <c r="AF128" s="65">
        <v>59.37</v>
      </c>
      <c r="AG128" s="65">
        <v>79.58</v>
      </c>
      <c r="AH128" s="65">
        <v>120</v>
      </c>
      <c r="AI128" s="66">
        <v>120</v>
      </c>
      <c r="AJ128" s="65">
        <v>120</v>
      </c>
      <c r="AK128" s="67">
        <v>151.66666666666666</v>
      </c>
      <c r="AL128" s="69">
        <v>215</v>
      </c>
      <c r="AM128" s="68">
        <v>215</v>
      </c>
      <c r="AN128" s="67">
        <v>215</v>
      </c>
      <c r="AO128" s="67">
        <v>210.92333333333332</v>
      </c>
      <c r="AP128" s="69">
        <v>202.77</v>
      </c>
      <c r="AQ128" s="68">
        <v>202.77</v>
      </c>
      <c r="AR128" s="67">
        <v>202.77</v>
      </c>
      <c r="AS128" s="67">
        <v>197.88666666666666</v>
      </c>
      <c r="AT128" s="69">
        <v>188.12</v>
      </c>
      <c r="AU128" s="68">
        <v>188.12</v>
      </c>
      <c r="AV128" s="67">
        <v>188.12</v>
      </c>
      <c r="AW128" s="67">
        <v>190.59666666666666</v>
      </c>
      <c r="AX128" s="69">
        <v>195.55</v>
      </c>
      <c r="AY128" s="68">
        <v>195.55</v>
      </c>
      <c r="AZ128" s="67">
        <v>195.55</v>
      </c>
      <c r="BA128" s="67">
        <v>153.35333333333335</v>
      </c>
      <c r="BB128" s="65">
        <v>68.959999999999994</v>
      </c>
      <c r="BC128" s="68">
        <v>68.959999999999994</v>
      </c>
      <c r="BD128" s="67">
        <v>68.959999999999994</v>
      </c>
      <c r="BE128" s="67">
        <v>57.349999999999994</v>
      </c>
      <c r="BF128" s="65">
        <v>34.130000000000003</v>
      </c>
      <c r="BG128" s="68">
        <v>34.130000000000003</v>
      </c>
      <c r="BH128" s="67">
        <v>34.130000000000003</v>
      </c>
      <c r="BI128" s="67">
        <v>34.130000000000003</v>
      </c>
      <c r="BJ128" s="67">
        <v>34.130000000000003</v>
      </c>
      <c r="BK128" s="68">
        <v>34.130000000000003</v>
      </c>
      <c r="BL128" s="67">
        <v>34.130000000000003</v>
      </c>
      <c r="BM128" s="67">
        <v>34.130000000000003</v>
      </c>
      <c r="BN128" s="67">
        <v>34.130000000000003</v>
      </c>
      <c r="BO128" s="68">
        <v>34.130000000000003</v>
      </c>
      <c r="BP128" s="67">
        <v>34.130000000000003</v>
      </c>
      <c r="BQ128" s="67">
        <v>34.130000000000003</v>
      </c>
      <c r="BR128" s="67"/>
      <c r="BS128" s="68"/>
      <c r="BT128" s="67"/>
      <c r="BU128" s="67"/>
      <c r="BV128" s="67"/>
      <c r="BW128" s="68"/>
      <c r="BX128" s="59"/>
      <c r="BY128" s="59"/>
      <c r="BZ128" s="59"/>
      <c r="CA128" s="59"/>
      <c r="CB128" s="59"/>
      <c r="CC128" s="59"/>
      <c r="CD128" s="59"/>
      <c r="CE128" s="59"/>
      <c r="CF128" s="59"/>
      <c r="CG128" s="59"/>
      <c r="CH128" s="59"/>
      <c r="CI128" s="59"/>
      <c r="CJ128" s="59"/>
      <c r="CK128" s="59"/>
      <c r="CL128" s="59"/>
    </row>
    <row r="129" spans="1:90" x14ac:dyDescent="0.25">
      <c r="A129" s="9"/>
      <c r="B129" s="9"/>
      <c r="C129" s="3" t="s">
        <v>41</v>
      </c>
      <c r="D129" s="3"/>
      <c r="E129" s="3"/>
      <c r="F129" s="20"/>
      <c r="G129" s="20"/>
      <c r="H129" s="52"/>
      <c r="I129" s="53"/>
      <c r="J129" s="53"/>
      <c r="K129" s="54"/>
      <c r="L129" s="62">
        <v>110</v>
      </c>
      <c r="M129" s="63">
        <v>135</v>
      </c>
      <c r="N129" s="63">
        <v>185</v>
      </c>
      <c r="O129" s="64">
        <v>185</v>
      </c>
      <c r="P129" s="62">
        <v>185</v>
      </c>
      <c r="Q129" s="63">
        <v>205</v>
      </c>
      <c r="R129" s="63">
        <v>245</v>
      </c>
      <c r="S129" s="64">
        <v>245</v>
      </c>
      <c r="T129" s="63">
        <v>245</v>
      </c>
      <c r="U129" s="63">
        <v>238.33333333333334</v>
      </c>
      <c r="V129" s="63">
        <v>225</v>
      </c>
      <c r="W129" s="64">
        <v>225</v>
      </c>
      <c r="X129" s="63">
        <v>225</v>
      </c>
      <c r="Y129" s="63">
        <v>205.82</v>
      </c>
      <c r="Z129" s="63">
        <v>167.46</v>
      </c>
      <c r="AA129" s="64">
        <v>167.46</v>
      </c>
      <c r="AB129" s="63">
        <v>167.46</v>
      </c>
      <c r="AC129" s="63"/>
      <c r="AD129" s="63">
        <v>219</v>
      </c>
      <c r="AE129" s="64">
        <v>219</v>
      </c>
      <c r="AF129" s="65">
        <v>219</v>
      </c>
      <c r="AG129" s="65">
        <v>217.66666666666666</v>
      </c>
      <c r="AH129" s="65">
        <v>215</v>
      </c>
      <c r="AI129" s="66">
        <v>215</v>
      </c>
      <c r="AJ129" s="65">
        <v>215</v>
      </c>
      <c r="AK129" s="67">
        <v>218.4733333333333</v>
      </c>
      <c r="AL129" s="69">
        <v>225.42</v>
      </c>
      <c r="AM129" s="68">
        <v>225.42</v>
      </c>
      <c r="AN129" s="67">
        <v>225.42</v>
      </c>
      <c r="AO129" s="67">
        <v>190.27999999999997</v>
      </c>
      <c r="AP129" s="69">
        <v>120</v>
      </c>
      <c r="AQ129" s="68">
        <v>120</v>
      </c>
      <c r="AR129" s="67">
        <v>120</v>
      </c>
      <c r="AS129" s="67">
        <v>142.62333333333333</v>
      </c>
      <c r="AT129" s="69">
        <v>187.87</v>
      </c>
      <c r="AU129" s="68">
        <v>187.87</v>
      </c>
      <c r="AV129" s="67">
        <v>187.87</v>
      </c>
      <c r="AW129" s="67">
        <v>193.34333333333333</v>
      </c>
      <c r="AX129" s="69">
        <v>204.29</v>
      </c>
      <c r="AY129" s="68">
        <v>204.29</v>
      </c>
      <c r="AZ129" s="67">
        <v>204.29</v>
      </c>
      <c r="BA129" s="67">
        <v>168.81333333333333</v>
      </c>
      <c r="BB129" s="65">
        <v>97.86</v>
      </c>
      <c r="BC129" s="68">
        <v>97.86</v>
      </c>
      <c r="BD129" s="67">
        <v>97.86</v>
      </c>
      <c r="BE129" s="67">
        <v>81.736666666666665</v>
      </c>
      <c r="BF129" s="65">
        <v>49.49</v>
      </c>
      <c r="BG129" s="68">
        <v>49.49</v>
      </c>
      <c r="BH129" s="67">
        <v>49.49</v>
      </c>
      <c r="BI129" s="67">
        <v>49.49</v>
      </c>
      <c r="BJ129" s="67">
        <v>49.49</v>
      </c>
      <c r="BK129" s="68">
        <v>49.49</v>
      </c>
      <c r="BL129" s="67">
        <v>49.49</v>
      </c>
      <c r="BM129" s="67">
        <v>49.49</v>
      </c>
      <c r="BN129" s="67">
        <v>49.49</v>
      </c>
      <c r="BO129" s="68">
        <v>49.49</v>
      </c>
      <c r="BP129" s="67">
        <v>49.49</v>
      </c>
      <c r="BQ129" s="67">
        <v>49.49</v>
      </c>
      <c r="BR129" s="67"/>
      <c r="BS129" s="68"/>
      <c r="BT129" s="67"/>
      <c r="BU129" s="67"/>
      <c r="BV129" s="67"/>
      <c r="BW129" s="68"/>
      <c r="BX129" s="59"/>
      <c r="BY129" s="59"/>
      <c r="BZ129" s="59"/>
      <c r="CA129" s="59"/>
      <c r="CB129" s="59"/>
      <c r="CC129" s="59"/>
      <c r="CD129" s="59"/>
      <c r="CE129" s="59"/>
      <c r="CF129" s="59"/>
      <c r="CG129" s="59"/>
      <c r="CH129" s="59"/>
      <c r="CI129" s="59"/>
      <c r="CJ129" s="59"/>
      <c r="CK129" s="59"/>
      <c r="CL129" s="59"/>
    </row>
    <row r="130" spans="1:90" x14ac:dyDescent="0.25">
      <c r="A130" s="9"/>
      <c r="B130" s="9"/>
      <c r="C130" s="3" t="s">
        <v>42</v>
      </c>
      <c r="D130" s="3"/>
      <c r="E130" s="3"/>
      <c r="F130" s="20"/>
      <c r="G130" s="20"/>
      <c r="H130" s="52"/>
      <c r="I130" s="53"/>
      <c r="J130" s="53"/>
      <c r="K130" s="54"/>
      <c r="L130" s="62">
        <v>5</v>
      </c>
      <c r="M130" s="63">
        <v>29</v>
      </c>
      <c r="N130" s="63">
        <v>41</v>
      </c>
      <c r="O130" s="64">
        <v>31.666666666666668</v>
      </c>
      <c r="P130" s="62">
        <v>27</v>
      </c>
      <c r="Q130" s="63">
        <v>101</v>
      </c>
      <c r="R130" s="63">
        <v>138</v>
      </c>
      <c r="S130" s="64">
        <v>108.66666666666667</v>
      </c>
      <c r="T130" s="63">
        <v>94</v>
      </c>
      <c r="U130" s="70">
        <v>144</v>
      </c>
      <c r="V130" s="70">
        <v>169</v>
      </c>
      <c r="W130" s="58">
        <v>108.38812785388127</v>
      </c>
      <c r="X130" s="57">
        <v>78.082191780821915</v>
      </c>
      <c r="Y130" s="57">
        <v>103.83561643835614</v>
      </c>
      <c r="Z130" s="57">
        <v>116.71232876712327</v>
      </c>
      <c r="AA130" s="58">
        <v>63.452054794520535</v>
      </c>
      <c r="AB130" s="57">
        <v>36.821917808219183</v>
      </c>
      <c r="AC130" s="57"/>
      <c r="AD130" s="57">
        <v>119.01369863013699</v>
      </c>
      <c r="AE130" s="58">
        <v>56.109589041095887</v>
      </c>
      <c r="AF130" s="57">
        <v>24.657534246575342</v>
      </c>
      <c r="AG130" s="57">
        <v>101.36986301369862</v>
      </c>
      <c r="AH130" s="57">
        <v>139.72602739726028</v>
      </c>
      <c r="AI130" s="58">
        <v>75.06849315068493</v>
      </c>
      <c r="AJ130" s="57">
        <v>42.739726027397268</v>
      </c>
      <c r="AK130" s="53">
        <v>123.83561643835615</v>
      </c>
      <c r="AL130" s="57">
        <v>164.38356164383561</v>
      </c>
      <c r="AM130" s="54">
        <v>83.287671232876704</v>
      </c>
      <c r="AN130" s="53">
        <v>42.739726027397268</v>
      </c>
      <c r="AO130" s="53">
        <v>123.83561643835615</v>
      </c>
      <c r="AP130" s="67">
        <v>164.38356164383561</v>
      </c>
      <c r="AQ130" s="54">
        <v>83.287671232876704</v>
      </c>
      <c r="AR130" s="53">
        <v>42.739726027397268</v>
      </c>
      <c r="AS130" s="53">
        <v>123.83561643835615</v>
      </c>
      <c r="AT130" s="67">
        <v>164.38356164383561</v>
      </c>
      <c r="AU130" s="54">
        <v>83.287671232876704</v>
      </c>
      <c r="AV130" s="53">
        <v>42.739726027397268</v>
      </c>
      <c r="AW130" s="53">
        <v>123.83561643835615</v>
      </c>
      <c r="AX130" s="67">
        <v>164.38356164383561</v>
      </c>
      <c r="AY130" s="68">
        <v>83.287671232876704</v>
      </c>
      <c r="AZ130" s="53">
        <v>42.739726027397268</v>
      </c>
      <c r="BA130" s="53">
        <v>123.83561643835615</v>
      </c>
      <c r="BB130" s="67">
        <v>164.38356164383561</v>
      </c>
      <c r="BC130" s="68">
        <v>83.287671232876704</v>
      </c>
      <c r="BD130" s="53">
        <v>42.739726027397268</v>
      </c>
      <c r="BE130" s="53">
        <v>123.83561643835615</v>
      </c>
      <c r="BF130" s="67">
        <v>164.38356164383561</v>
      </c>
      <c r="BG130" s="68">
        <v>83.287671232876704</v>
      </c>
      <c r="BH130" s="53">
        <v>42.739726027397268</v>
      </c>
      <c r="BI130" s="53">
        <v>123.83561643835615</v>
      </c>
      <c r="BJ130" s="67">
        <v>164.38356164383561</v>
      </c>
      <c r="BK130" s="68">
        <v>83.287671232876704</v>
      </c>
      <c r="BL130" s="53">
        <v>42.739726027397268</v>
      </c>
      <c r="BM130" s="53">
        <v>123.83561643835615</v>
      </c>
      <c r="BN130" s="67">
        <v>164.38356164383561</v>
      </c>
      <c r="BO130" s="68">
        <v>83.287671232876704</v>
      </c>
      <c r="BP130" s="53">
        <v>42.739726027397268</v>
      </c>
      <c r="BQ130" s="53">
        <v>123.83561643835615</v>
      </c>
      <c r="BR130" s="67"/>
      <c r="BS130" s="68"/>
      <c r="BT130" s="53"/>
      <c r="BU130" s="53"/>
      <c r="BV130" s="67"/>
      <c r="BW130" s="68"/>
      <c r="BX130" s="59"/>
      <c r="BY130" s="59"/>
      <c r="BZ130" s="59"/>
      <c r="CA130" s="59"/>
      <c r="CB130" s="59"/>
      <c r="CC130" s="59"/>
      <c r="CD130" s="59"/>
      <c r="CE130" s="59"/>
      <c r="CF130" s="59"/>
      <c r="CG130" s="59"/>
      <c r="CH130" s="59"/>
      <c r="CI130" s="59"/>
      <c r="CJ130" s="59"/>
      <c r="CK130" s="59"/>
      <c r="CL130" s="59"/>
    </row>
    <row r="131" spans="1:90" x14ac:dyDescent="0.25">
      <c r="A131" s="9"/>
      <c r="B131" s="9"/>
      <c r="C131" s="3" t="s">
        <v>43</v>
      </c>
      <c r="D131" s="3"/>
      <c r="E131" s="3"/>
      <c r="F131" s="20"/>
      <c r="G131" s="20"/>
      <c r="H131" s="52"/>
      <c r="I131" s="53"/>
      <c r="J131" s="53"/>
      <c r="K131" s="54"/>
      <c r="L131" s="62">
        <v>89</v>
      </c>
      <c r="M131" s="63">
        <v>286.33333333333331</v>
      </c>
      <c r="N131" s="63">
        <v>385</v>
      </c>
      <c r="O131" s="64">
        <v>227</v>
      </c>
      <c r="P131" s="62">
        <v>148</v>
      </c>
      <c r="Q131" s="63">
        <v>374</v>
      </c>
      <c r="R131" s="63">
        <v>487</v>
      </c>
      <c r="S131" s="64">
        <v>326.33333333333331</v>
      </c>
      <c r="T131" s="63">
        <v>246</v>
      </c>
      <c r="U131" s="70">
        <v>437.33333333333331</v>
      </c>
      <c r="V131" s="70">
        <v>533</v>
      </c>
      <c r="W131" s="58">
        <v>374.05022831050229</v>
      </c>
      <c r="X131" s="57">
        <v>294.57534246575347</v>
      </c>
      <c r="Y131" s="57">
        <v>441.20547945205482</v>
      </c>
      <c r="Z131" s="57">
        <v>514.52054794520552</v>
      </c>
      <c r="AA131" s="58">
        <v>299.28767123287673</v>
      </c>
      <c r="AB131" s="57">
        <v>191.67123287671237</v>
      </c>
      <c r="AC131" s="57"/>
      <c r="AD131" s="57">
        <v>361.3150684931507</v>
      </c>
      <c r="AE131" s="58">
        <v>197.15068493150685</v>
      </c>
      <c r="AF131" s="57">
        <v>115.06849315068493</v>
      </c>
      <c r="AG131" s="57">
        <v>306.84931506849313</v>
      </c>
      <c r="AH131" s="57">
        <v>402.73972602739724</v>
      </c>
      <c r="AI131" s="58">
        <v>240.10958904109589</v>
      </c>
      <c r="AJ131" s="57">
        <v>158.79452054794521</v>
      </c>
      <c r="AK131" s="53">
        <v>321.42465753424653</v>
      </c>
      <c r="AL131" s="53">
        <v>402.73972602739724</v>
      </c>
      <c r="AM131" s="54">
        <v>240.10958904109589</v>
      </c>
      <c r="AN131" s="53">
        <v>158.79452054794521</v>
      </c>
      <c r="AO131" s="53">
        <v>321.42465753424653</v>
      </c>
      <c r="AP131" s="67">
        <v>402.73972602739724</v>
      </c>
      <c r="AQ131" s="54">
        <v>240.10958904109589</v>
      </c>
      <c r="AR131" s="53">
        <v>158.79452054794521</v>
      </c>
      <c r="AS131" s="53">
        <v>321.42465753424653</v>
      </c>
      <c r="AT131" s="67">
        <v>402.73972602739724</v>
      </c>
      <c r="AU131" s="54">
        <v>240.10958904109589</v>
      </c>
      <c r="AV131" s="53">
        <v>158.79452054794521</v>
      </c>
      <c r="AW131" s="53">
        <v>321.42465753424653</v>
      </c>
      <c r="AX131" s="67">
        <v>402.73972602739724</v>
      </c>
      <c r="AY131" s="68">
        <v>240.10958904109589</v>
      </c>
      <c r="AZ131" s="53">
        <v>158.79452054794521</v>
      </c>
      <c r="BA131" s="53">
        <v>321.42465753424653</v>
      </c>
      <c r="BB131" s="67">
        <v>402.73972602739724</v>
      </c>
      <c r="BC131" s="68">
        <v>240.10958904109589</v>
      </c>
      <c r="BD131" s="53">
        <v>158.79452054794521</v>
      </c>
      <c r="BE131" s="53">
        <v>321.42465753424653</v>
      </c>
      <c r="BF131" s="67">
        <v>402.73972602739724</v>
      </c>
      <c r="BG131" s="68">
        <v>240.10958904109589</v>
      </c>
      <c r="BH131" s="53">
        <v>158.79452054794521</v>
      </c>
      <c r="BI131" s="53">
        <v>321.42465753424653</v>
      </c>
      <c r="BJ131" s="67">
        <v>402.73972602739724</v>
      </c>
      <c r="BK131" s="68">
        <v>240.10958904109589</v>
      </c>
      <c r="BL131" s="53">
        <v>158.79452054794521</v>
      </c>
      <c r="BM131" s="53">
        <v>321.42465753424653</v>
      </c>
      <c r="BN131" s="67">
        <v>402.73972602739724</v>
      </c>
      <c r="BO131" s="68">
        <v>240.10958904109589</v>
      </c>
      <c r="BP131" s="53">
        <v>158.79452054794521</v>
      </c>
      <c r="BQ131" s="53">
        <v>321.42465753424653</v>
      </c>
      <c r="BR131" s="67"/>
      <c r="BS131" s="68"/>
      <c r="BT131" s="53"/>
      <c r="BU131" s="53"/>
      <c r="BV131" s="67"/>
      <c r="BW131" s="68"/>
      <c r="BX131" s="59"/>
      <c r="BY131" s="59"/>
      <c r="BZ131" s="59"/>
      <c r="CA131" s="59"/>
      <c r="CB131" s="59"/>
      <c r="CC131" s="59"/>
      <c r="CD131" s="59"/>
      <c r="CE131" s="59"/>
      <c r="CF131" s="59"/>
      <c r="CG131" s="59"/>
      <c r="CH131" s="59"/>
      <c r="CI131" s="59"/>
      <c r="CJ131" s="59"/>
      <c r="CK131" s="59"/>
      <c r="CL131" s="59"/>
    </row>
    <row r="132" spans="1:90" x14ac:dyDescent="0.25">
      <c r="A132" s="9"/>
      <c r="B132" s="9"/>
      <c r="C132" s="3" t="s">
        <v>44</v>
      </c>
      <c r="D132" s="3"/>
      <c r="E132" s="3"/>
      <c r="F132" s="20"/>
      <c r="G132" s="20"/>
      <c r="H132" s="52"/>
      <c r="I132" s="53"/>
      <c r="J132" s="53"/>
      <c r="K132" s="54"/>
      <c r="L132" s="62">
        <v>110</v>
      </c>
      <c r="M132" s="63">
        <v>78.819999999999993</v>
      </c>
      <c r="N132" s="63">
        <v>16.46</v>
      </c>
      <c r="O132" s="64">
        <v>16.46</v>
      </c>
      <c r="P132" s="62">
        <v>16.46</v>
      </c>
      <c r="Q132" s="63">
        <v>20.216666666666669</v>
      </c>
      <c r="R132" s="63">
        <v>27.73</v>
      </c>
      <c r="S132" s="64">
        <v>27.73</v>
      </c>
      <c r="T132" s="63">
        <v>27.73</v>
      </c>
      <c r="U132" s="63">
        <v>60.483333333333327</v>
      </c>
      <c r="V132" s="63">
        <v>125.99</v>
      </c>
      <c r="W132" s="64">
        <v>125.99</v>
      </c>
      <c r="X132" s="63">
        <v>125.99</v>
      </c>
      <c r="Y132" s="63">
        <v>129.32666666666668</v>
      </c>
      <c r="Z132" s="63">
        <v>357</v>
      </c>
      <c r="AA132" s="64">
        <v>357</v>
      </c>
      <c r="AB132" s="63">
        <v>357</v>
      </c>
      <c r="AC132" s="63"/>
      <c r="AD132" s="63">
        <v>114.23</v>
      </c>
      <c r="AE132" s="64">
        <v>114.23</v>
      </c>
      <c r="AF132" s="65">
        <v>114.23</v>
      </c>
      <c r="AG132" s="65">
        <v>116.15333333333334</v>
      </c>
      <c r="AH132" s="65">
        <v>120</v>
      </c>
      <c r="AI132" s="66">
        <v>120</v>
      </c>
      <c r="AJ132" s="65">
        <v>120</v>
      </c>
      <c r="AK132" s="67">
        <v>134.92333333333335</v>
      </c>
      <c r="AL132" s="69">
        <v>164.77</v>
      </c>
      <c r="AM132" s="68">
        <v>164.77</v>
      </c>
      <c r="AN132" s="67">
        <v>164.77</v>
      </c>
      <c r="AO132" s="67">
        <v>143.18</v>
      </c>
      <c r="AP132" s="69">
        <v>100</v>
      </c>
      <c r="AQ132" s="68">
        <v>100</v>
      </c>
      <c r="AR132" s="67">
        <v>100</v>
      </c>
      <c r="AS132" s="67">
        <v>92.176666666666648</v>
      </c>
      <c r="AT132" s="69">
        <v>76.53</v>
      </c>
      <c r="AU132" s="68">
        <v>76.53</v>
      </c>
      <c r="AV132" s="67">
        <v>76.53</v>
      </c>
      <c r="AW132" s="67">
        <v>108.13</v>
      </c>
      <c r="AX132" s="69">
        <v>171.33</v>
      </c>
      <c r="AY132" s="68">
        <v>171.33</v>
      </c>
      <c r="AZ132" s="67">
        <v>171.33</v>
      </c>
      <c r="BA132" s="67">
        <v>130.88666666666666</v>
      </c>
      <c r="BB132" s="65">
        <v>50</v>
      </c>
      <c r="BC132" s="68">
        <v>50</v>
      </c>
      <c r="BD132" s="67">
        <v>50</v>
      </c>
      <c r="BE132" s="67">
        <v>44.709999999999994</v>
      </c>
      <c r="BF132" s="65">
        <v>34.130000000000003</v>
      </c>
      <c r="BG132" s="68">
        <v>34.130000000000003</v>
      </c>
      <c r="BH132" s="67">
        <v>34.130000000000003</v>
      </c>
      <c r="BI132" s="67">
        <v>34.130000000000003</v>
      </c>
      <c r="BJ132" s="67">
        <v>34.130000000000003</v>
      </c>
      <c r="BK132" s="68">
        <v>34.130000000000003</v>
      </c>
      <c r="BL132" s="67">
        <v>34.130000000000003</v>
      </c>
      <c r="BM132" s="67">
        <v>34.130000000000003</v>
      </c>
      <c r="BN132" s="67">
        <v>34.130000000000003</v>
      </c>
      <c r="BO132" s="68">
        <v>34.130000000000003</v>
      </c>
      <c r="BP132" s="67">
        <v>34.130000000000003</v>
      </c>
      <c r="BQ132" s="67">
        <v>34.130000000000003</v>
      </c>
      <c r="BR132" s="67"/>
      <c r="BS132" s="68"/>
      <c r="BT132" s="67"/>
      <c r="BU132" s="67"/>
      <c r="BV132" s="67"/>
      <c r="BW132" s="68"/>
      <c r="BX132" s="59"/>
      <c r="BY132" s="59"/>
      <c r="BZ132" s="59"/>
      <c r="CA132" s="59"/>
      <c r="CB132" s="59"/>
      <c r="CC132" s="59"/>
      <c r="CD132" s="59"/>
      <c r="CE132" s="59"/>
      <c r="CF132" s="59"/>
      <c r="CG132" s="59"/>
      <c r="CH132" s="59"/>
      <c r="CI132" s="59"/>
      <c r="CJ132" s="59"/>
      <c r="CK132" s="59"/>
      <c r="CL132" s="59"/>
    </row>
    <row r="133" spans="1:90" x14ac:dyDescent="0.25">
      <c r="A133" s="9"/>
      <c r="B133" s="9"/>
      <c r="C133" s="3" t="s">
        <v>45</v>
      </c>
      <c r="D133" s="3"/>
      <c r="E133" s="3"/>
      <c r="F133" s="20"/>
      <c r="G133" s="20"/>
      <c r="H133" s="52"/>
      <c r="I133" s="53"/>
      <c r="J133" s="53"/>
      <c r="K133" s="54"/>
      <c r="L133" s="62">
        <v>0</v>
      </c>
      <c r="M133" s="63">
        <v>0</v>
      </c>
      <c r="N133" s="63">
        <v>0</v>
      </c>
      <c r="O133" s="64">
        <v>0</v>
      </c>
      <c r="P133" s="62">
        <v>0.1</v>
      </c>
      <c r="Q133" s="63">
        <v>0.41666666666666669</v>
      </c>
      <c r="R133" s="63">
        <v>1.05</v>
      </c>
      <c r="S133" s="64">
        <v>1.05</v>
      </c>
      <c r="T133" s="63">
        <v>1.05</v>
      </c>
      <c r="U133" s="63">
        <v>11.516666666666666</v>
      </c>
      <c r="V133" s="63">
        <v>16.75</v>
      </c>
      <c r="W133" s="64">
        <v>16.75</v>
      </c>
      <c r="X133" s="63">
        <v>16.75</v>
      </c>
      <c r="Y133" s="53">
        <v>105.58333333333333</v>
      </c>
      <c r="Z133" s="63">
        <v>150</v>
      </c>
      <c r="AA133" s="64">
        <v>150</v>
      </c>
      <c r="AB133" s="63">
        <v>150</v>
      </c>
      <c r="AC133" s="53"/>
      <c r="AD133" s="63">
        <v>72</v>
      </c>
      <c r="AE133" s="64">
        <v>72</v>
      </c>
      <c r="AF133" s="63">
        <v>72</v>
      </c>
      <c r="AG133" s="53">
        <v>25</v>
      </c>
      <c r="AH133" s="63">
        <v>1.5</v>
      </c>
      <c r="AI133" s="64">
        <v>1.5</v>
      </c>
      <c r="AJ133" s="63">
        <v>1.5</v>
      </c>
      <c r="AK133" s="53">
        <v>7.1666666666666661</v>
      </c>
      <c r="AL133" s="63">
        <v>10</v>
      </c>
      <c r="AM133" s="64">
        <v>10</v>
      </c>
      <c r="AN133" s="63">
        <v>10</v>
      </c>
      <c r="AO133" s="53">
        <v>5.3266666666666662</v>
      </c>
      <c r="AP133" s="63">
        <v>2.99</v>
      </c>
      <c r="AQ133" s="64">
        <v>2.99</v>
      </c>
      <c r="AR133" s="63">
        <v>2.99</v>
      </c>
      <c r="AS133" s="53">
        <v>4.33</v>
      </c>
      <c r="AT133" s="69">
        <v>5</v>
      </c>
      <c r="AU133" s="64">
        <v>5</v>
      </c>
      <c r="AV133" s="53">
        <v>5</v>
      </c>
      <c r="AW133" s="53">
        <v>5</v>
      </c>
      <c r="AX133" s="67">
        <v>5</v>
      </c>
      <c r="AY133" s="68">
        <v>5</v>
      </c>
      <c r="AZ133" s="53">
        <v>5</v>
      </c>
      <c r="BA133" s="53">
        <v>5</v>
      </c>
      <c r="BB133" s="67">
        <v>5</v>
      </c>
      <c r="BC133" s="68">
        <v>5</v>
      </c>
      <c r="BD133" s="53">
        <v>5</v>
      </c>
      <c r="BE133" s="53">
        <v>5</v>
      </c>
      <c r="BF133" s="67">
        <v>5</v>
      </c>
      <c r="BG133" s="68">
        <v>5</v>
      </c>
      <c r="BH133" s="53">
        <v>5</v>
      </c>
      <c r="BI133" s="53">
        <v>5</v>
      </c>
      <c r="BJ133" s="67">
        <v>5</v>
      </c>
      <c r="BK133" s="68">
        <v>5</v>
      </c>
      <c r="BL133" s="53">
        <v>5</v>
      </c>
      <c r="BM133" s="53">
        <v>5</v>
      </c>
      <c r="BN133" s="67">
        <v>5</v>
      </c>
      <c r="BO133" s="68">
        <v>5</v>
      </c>
      <c r="BP133" s="53">
        <v>5</v>
      </c>
      <c r="BQ133" s="53">
        <v>5</v>
      </c>
      <c r="BR133" s="67"/>
      <c r="BS133" s="68"/>
      <c r="BT133" s="53"/>
      <c r="BU133" s="53"/>
      <c r="BV133" s="67"/>
      <c r="BW133" s="68"/>
      <c r="BX133" s="59"/>
      <c r="BY133" s="59"/>
      <c r="BZ133" s="59"/>
      <c r="CA133" s="59"/>
      <c r="CB133" s="59"/>
      <c r="CC133" s="59"/>
      <c r="CD133" s="59"/>
      <c r="CE133" s="59"/>
      <c r="CF133" s="59"/>
      <c r="CG133" s="59"/>
      <c r="CH133" s="59"/>
      <c r="CI133" s="59"/>
      <c r="CJ133" s="59"/>
      <c r="CK133" s="59"/>
      <c r="CL133" s="59"/>
    </row>
    <row r="134" spans="1:90" x14ac:dyDescent="0.25">
      <c r="A134" s="9"/>
      <c r="B134" s="9"/>
      <c r="C134" s="3" t="s">
        <v>46</v>
      </c>
      <c r="D134" s="3"/>
      <c r="E134" s="3"/>
      <c r="F134" s="20"/>
      <c r="G134" s="20"/>
      <c r="H134" s="52"/>
      <c r="I134" s="53"/>
      <c r="J134" s="53"/>
      <c r="K134" s="54"/>
      <c r="L134" s="62">
        <v>102.54</v>
      </c>
      <c r="M134" s="63">
        <v>96.14</v>
      </c>
      <c r="N134" s="63">
        <v>83.34</v>
      </c>
      <c r="O134" s="64">
        <v>83.34</v>
      </c>
      <c r="P134" s="62">
        <v>83.34</v>
      </c>
      <c r="Q134" s="63">
        <v>83.13333333333334</v>
      </c>
      <c r="R134" s="63">
        <v>82.72</v>
      </c>
      <c r="S134" s="64">
        <v>82.72</v>
      </c>
      <c r="T134" s="63">
        <v>82.72</v>
      </c>
      <c r="U134" s="63">
        <v>86.433333333333337</v>
      </c>
      <c r="V134" s="63">
        <v>93.86</v>
      </c>
      <c r="W134" s="64">
        <v>93.86</v>
      </c>
      <c r="X134" s="63">
        <v>93.86</v>
      </c>
      <c r="Y134" s="63">
        <v>96.874703196347028</v>
      </c>
      <c r="Z134" s="63">
        <v>102.9041095890411</v>
      </c>
      <c r="AA134" s="64">
        <v>102.9041095890411</v>
      </c>
      <c r="AB134" s="63">
        <v>103</v>
      </c>
      <c r="AC134" s="63"/>
      <c r="AD134" s="63">
        <v>94.78</v>
      </c>
      <c r="AE134" s="64">
        <v>94.78</v>
      </c>
      <c r="AF134" s="65">
        <v>94.78</v>
      </c>
      <c r="AG134" s="65">
        <v>140.17296803652968</v>
      </c>
      <c r="AH134" s="65">
        <v>230.95890410958907</v>
      </c>
      <c r="AI134" s="66">
        <v>230.95890410958907</v>
      </c>
      <c r="AJ134" s="65">
        <v>230.95890410958907</v>
      </c>
      <c r="AK134" s="67">
        <v>258.63013698630141</v>
      </c>
      <c r="AL134" s="65">
        <v>313.97260273972609</v>
      </c>
      <c r="AM134" s="68">
        <v>313.97260273972609</v>
      </c>
      <c r="AN134" s="67">
        <v>313.97260273972609</v>
      </c>
      <c r="AO134" s="67">
        <v>286.35616438356169</v>
      </c>
      <c r="AP134" s="65">
        <v>231.12328767123287</v>
      </c>
      <c r="AQ134" s="68">
        <v>231.12328767123287</v>
      </c>
      <c r="AR134" s="67">
        <v>231.12328767123287</v>
      </c>
      <c r="AS134" s="67">
        <v>212.13150684931506</v>
      </c>
      <c r="AT134" s="65">
        <v>174.14794520547943</v>
      </c>
      <c r="AU134" s="68">
        <v>174.14794520547943</v>
      </c>
      <c r="AV134" s="67">
        <v>174.14794520547943</v>
      </c>
      <c r="AW134" s="67">
        <v>166.83835616438353</v>
      </c>
      <c r="AX134" s="65">
        <v>152.21917808219177</v>
      </c>
      <c r="AY134" s="68">
        <v>152.21917808219177</v>
      </c>
      <c r="AZ134" s="67">
        <v>152.21917808219177</v>
      </c>
      <c r="BA134" s="67">
        <v>143.12328767123284</v>
      </c>
      <c r="BB134" s="65">
        <v>124.93150684931504</v>
      </c>
      <c r="BC134" s="68">
        <v>124.93150684931504</v>
      </c>
      <c r="BD134" s="67">
        <v>124.93150684931504</v>
      </c>
      <c r="BE134" s="67">
        <v>105.20547945205477</v>
      </c>
      <c r="BF134" s="65">
        <v>65.753424657534254</v>
      </c>
      <c r="BG134" s="68">
        <v>65.753424657534254</v>
      </c>
      <c r="BH134" s="67">
        <v>65.753424657534254</v>
      </c>
      <c r="BI134" s="67">
        <v>72.438356164383563</v>
      </c>
      <c r="BJ134" s="65">
        <v>85.808219178082197</v>
      </c>
      <c r="BK134" s="68">
        <v>85.808219178082197</v>
      </c>
      <c r="BL134" s="67">
        <v>85.808219178082197</v>
      </c>
      <c r="BM134" s="67">
        <v>85.808219178082197</v>
      </c>
      <c r="BN134" s="65">
        <v>85.808219178082197</v>
      </c>
      <c r="BO134" s="68">
        <v>85.808219178082197</v>
      </c>
      <c r="BP134" s="67">
        <v>85.808219178082197</v>
      </c>
      <c r="BQ134" s="67">
        <v>85.808219178082197</v>
      </c>
      <c r="BR134" s="65"/>
      <c r="BS134" s="68"/>
      <c r="BT134" s="67"/>
      <c r="BU134" s="67"/>
      <c r="BV134" s="65"/>
      <c r="BW134" s="68"/>
      <c r="BX134" s="59"/>
      <c r="BY134" s="59"/>
      <c r="BZ134" s="59"/>
      <c r="CA134" s="59"/>
      <c r="CB134" s="59"/>
      <c r="CC134" s="59"/>
      <c r="CD134" s="59"/>
      <c r="CE134" s="59"/>
      <c r="CF134" s="59"/>
      <c r="CG134" s="59"/>
      <c r="CH134" s="59"/>
      <c r="CI134" s="59"/>
      <c r="CJ134" s="59"/>
      <c r="CK134" s="59"/>
      <c r="CL134" s="59"/>
    </row>
    <row r="135" spans="1:90" x14ac:dyDescent="0.25">
      <c r="A135" s="9"/>
      <c r="B135" s="9"/>
      <c r="C135" s="3" t="s">
        <v>47</v>
      </c>
      <c r="D135" s="3"/>
      <c r="E135" s="3"/>
      <c r="F135" s="20"/>
      <c r="G135" s="20"/>
      <c r="H135" s="52"/>
      <c r="I135" s="53"/>
      <c r="J135" s="53"/>
      <c r="K135" s="54"/>
      <c r="L135" s="62">
        <v>102.54</v>
      </c>
      <c r="M135" s="63">
        <v>96.14</v>
      </c>
      <c r="N135" s="63">
        <v>83.34</v>
      </c>
      <c r="O135" s="64">
        <v>83.34</v>
      </c>
      <c r="P135" s="62">
        <v>83.34</v>
      </c>
      <c r="Q135" s="63">
        <v>83.13333333333334</v>
      </c>
      <c r="R135" s="63">
        <v>82.72</v>
      </c>
      <c r="S135" s="64">
        <v>82.72</v>
      </c>
      <c r="T135" s="63">
        <v>82.72</v>
      </c>
      <c r="U135" s="63">
        <v>86.433333333333337</v>
      </c>
      <c r="V135" s="63">
        <v>93.86</v>
      </c>
      <c r="W135" s="64">
        <v>93.86</v>
      </c>
      <c r="X135" s="63">
        <v>93.86</v>
      </c>
      <c r="Y135" s="63">
        <v>96.874703196347028</v>
      </c>
      <c r="Z135" s="63">
        <v>102.9041095890411</v>
      </c>
      <c r="AA135" s="64">
        <v>102.9041095890411</v>
      </c>
      <c r="AB135" s="63">
        <v>103</v>
      </c>
      <c r="AC135" s="63"/>
      <c r="AD135" s="63">
        <v>219</v>
      </c>
      <c r="AE135" s="64">
        <v>219</v>
      </c>
      <c r="AF135" s="65">
        <v>219</v>
      </c>
      <c r="AG135" s="65">
        <v>310.38356164383561</v>
      </c>
      <c r="AH135" s="65">
        <v>493.15068493150687</v>
      </c>
      <c r="AI135" s="66">
        <v>493.15068493150687</v>
      </c>
      <c r="AJ135" s="65">
        <v>493.15068493150687</v>
      </c>
      <c r="AK135" s="67">
        <v>433.42465753424653</v>
      </c>
      <c r="AL135" s="65">
        <v>313.97260273972609</v>
      </c>
      <c r="AM135" s="68">
        <v>313.97260273972609</v>
      </c>
      <c r="AN135" s="67">
        <v>313.97260273972609</v>
      </c>
      <c r="AO135" s="67">
        <v>286.35616438356169</v>
      </c>
      <c r="AP135" s="65">
        <v>231.12328767123287</v>
      </c>
      <c r="AQ135" s="68">
        <v>231.12328767123287</v>
      </c>
      <c r="AR135" s="67">
        <v>231.12328767123287</v>
      </c>
      <c r="AS135" s="67">
        <v>212.13150684931506</v>
      </c>
      <c r="AT135" s="65">
        <v>174.14794520547943</v>
      </c>
      <c r="AU135" s="68">
        <v>174.14794520547943</v>
      </c>
      <c r="AV135" s="67">
        <v>174.14794520547943</v>
      </c>
      <c r="AW135" s="67">
        <v>166.83835616438353</v>
      </c>
      <c r="AX135" s="65">
        <v>152.21917808219177</v>
      </c>
      <c r="AY135" s="68">
        <v>152.21917808219177</v>
      </c>
      <c r="AZ135" s="67">
        <v>152.21917808219177</v>
      </c>
      <c r="BA135" s="67">
        <v>143.12328767123284</v>
      </c>
      <c r="BB135" s="65">
        <v>124.93150684931504</v>
      </c>
      <c r="BC135" s="68">
        <v>124.93150684931504</v>
      </c>
      <c r="BD135" s="67">
        <v>124.93150684931504</v>
      </c>
      <c r="BE135" s="67">
        <v>105.20547945205477</v>
      </c>
      <c r="BF135" s="65">
        <v>65.753424657534254</v>
      </c>
      <c r="BG135" s="68">
        <v>65.753424657534254</v>
      </c>
      <c r="BH135" s="67">
        <v>65.753424657534254</v>
      </c>
      <c r="BI135" s="67">
        <v>71.013698630136986</v>
      </c>
      <c r="BJ135" s="65">
        <v>81.534246575342451</v>
      </c>
      <c r="BK135" s="68">
        <v>81.534246575342451</v>
      </c>
      <c r="BL135" s="67">
        <v>81.534246575342451</v>
      </c>
      <c r="BM135" s="67">
        <v>81.534246575342451</v>
      </c>
      <c r="BN135" s="65">
        <v>81.534246575342451</v>
      </c>
      <c r="BO135" s="68">
        <v>81.534246575342451</v>
      </c>
      <c r="BP135" s="67">
        <v>81.534246575342451</v>
      </c>
      <c r="BQ135" s="67">
        <v>81.534246575342451</v>
      </c>
      <c r="BR135" s="65"/>
      <c r="BS135" s="68"/>
      <c r="BT135" s="67"/>
      <c r="BU135" s="67"/>
      <c r="BV135" s="65"/>
      <c r="BW135" s="68"/>
      <c r="BX135" s="59"/>
      <c r="BY135" s="59"/>
      <c r="BZ135" s="59"/>
      <c r="CA135" s="59"/>
      <c r="CB135" s="59"/>
      <c r="CC135" s="59"/>
      <c r="CD135" s="59"/>
      <c r="CE135" s="59"/>
      <c r="CF135" s="59"/>
      <c r="CG135" s="59"/>
      <c r="CH135" s="59"/>
      <c r="CI135" s="59"/>
      <c r="CJ135" s="59"/>
      <c r="CK135" s="59"/>
      <c r="CL135" s="59"/>
    </row>
    <row r="136" spans="1:90" x14ac:dyDescent="0.25">
      <c r="A136" s="9"/>
      <c r="B136" s="9"/>
      <c r="C136" s="3" t="s">
        <v>48</v>
      </c>
      <c r="D136" s="3"/>
      <c r="E136" s="3"/>
      <c r="F136" s="20"/>
      <c r="G136" s="20"/>
      <c r="H136" s="30"/>
      <c r="I136" s="53"/>
      <c r="J136" s="53"/>
      <c r="K136" s="54"/>
      <c r="L136" s="62">
        <v>5</v>
      </c>
      <c r="M136" s="63">
        <v>29</v>
      </c>
      <c r="N136" s="63">
        <v>41</v>
      </c>
      <c r="O136" s="64">
        <v>31.666666666666668</v>
      </c>
      <c r="P136" s="62">
        <v>27</v>
      </c>
      <c r="Q136" s="63">
        <v>101</v>
      </c>
      <c r="R136" s="63">
        <v>138</v>
      </c>
      <c r="S136" s="64">
        <v>108.66666666666667</v>
      </c>
      <c r="T136" s="63">
        <v>246</v>
      </c>
      <c r="U136" s="70">
        <v>300.30136986301369</v>
      </c>
      <c r="V136" s="70">
        <v>327.45205479452056</v>
      </c>
      <c r="W136" s="58">
        <v>238.46575342465755</v>
      </c>
      <c r="X136" s="57">
        <v>193.97260273972606</v>
      </c>
      <c r="Y136" s="57">
        <v>250.95890410958904</v>
      </c>
      <c r="Z136" s="57">
        <v>279.45205479452056</v>
      </c>
      <c r="AA136" s="58">
        <v>174.90410958904107</v>
      </c>
      <c r="AB136" s="57">
        <v>122.63013698630137</v>
      </c>
      <c r="AC136" s="57"/>
      <c r="AD136" s="57">
        <v>271.23287671232879</v>
      </c>
      <c r="AE136" s="58">
        <v>167.12328767123287</v>
      </c>
      <c r="AF136" s="57">
        <v>115.06849315068493</v>
      </c>
      <c r="AG136" s="57">
        <v>219.17808219178082</v>
      </c>
      <c r="AH136" s="57">
        <v>271.23287671232879</v>
      </c>
      <c r="AI136" s="58">
        <v>167.12328767123287</v>
      </c>
      <c r="AJ136" s="57">
        <v>115.06849315068493</v>
      </c>
      <c r="AK136" s="67">
        <v>219.17808219178082</v>
      </c>
      <c r="AL136" s="67">
        <v>271.23287671232879</v>
      </c>
      <c r="AM136" s="54">
        <v>167.12328767123287</v>
      </c>
      <c r="AN136" s="53">
        <v>115.06849315068493</v>
      </c>
      <c r="AO136" s="67">
        <v>219.17808219178082</v>
      </c>
      <c r="AP136" s="67">
        <v>271.23287671232879</v>
      </c>
      <c r="AQ136" s="54">
        <v>167.12328767123287</v>
      </c>
      <c r="AR136" s="53">
        <v>115.06849315068493</v>
      </c>
      <c r="AS136" s="67">
        <v>219.17808219178082</v>
      </c>
      <c r="AT136" s="67">
        <v>271.23287671232879</v>
      </c>
      <c r="AU136" s="54">
        <v>167.12328767123287</v>
      </c>
      <c r="AV136" s="53">
        <v>115.06849315068493</v>
      </c>
      <c r="AW136" s="67">
        <v>219.17808219178082</v>
      </c>
      <c r="AX136" s="67">
        <v>271.23287671232879</v>
      </c>
      <c r="AY136" s="68">
        <v>167.12328767123287</v>
      </c>
      <c r="AZ136" s="53">
        <v>115.06849315068493</v>
      </c>
      <c r="BA136" s="67">
        <v>219.17808219178082</v>
      </c>
      <c r="BB136" s="67">
        <v>271.23287671232879</v>
      </c>
      <c r="BC136" s="68">
        <v>167.12328767123287</v>
      </c>
      <c r="BD136" s="53">
        <v>115.06849315068493</v>
      </c>
      <c r="BE136" s="67">
        <v>219.17808219178082</v>
      </c>
      <c r="BF136" s="67">
        <v>271.23287671232879</v>
      </c>
      <c r="BG136" s="68">
        <v>167.12328767123287</v>
      </c>
      <c r="BH136" s="53">
        <v>115.06849315068493</v>
      </c>
      <c r="BI136" s="67">
        <v>219.17808219178082</v>
      </c>
      <c r="BJ136" s="67">
        <v>271.23287671232879</v>
      </c>
      <c r="BK136" s="68">
        <v>167.12328767123287</v>
      </c>
      <c r="BL136" s="53">
        <v>115.06849315068493</v>
      </c>
      <c r="BM136" s="67">
        <v>219.17808219178082</v>
      </c>
      <c r="BN136" s="67">
        <v>271.23287671232879</v>
      </c>
      <c r="BO136" s="68">
        <v>167.12328767123287</v>
      </c>
      <c r="BP136" s="53">
        <v>115.06849315068493</v>
      </c>
      <c r="BQ136" s="67">
        <v>219.17808219178082</v>
      </c>
      <c r="BR136" s="67"/>
      <c r="BS136" s="68"/>
      <c r="BT136" s="53"/>
      <c r="BU136" s="67"/>
      <c r="BV136" s="67"/>
      <c r="BW136" s="68"/>
      <c r="BX136" s="59"/>
      <c r="BY136" s="59"/>
      <c r="BZ136" s="59"/>
      <c r="CA136" s="59"/>
      <c r="CB136" s="59"/>
      <c r="CC136" s="59"/>
      <c r="CD136" s="59"/>
      <c r="CE136" s="59"/>
      <c r="CF136" s="59"/>
      <c r="CG136" s="59"/>
      <c r="CH136" s="59"/>
      <c r="CI136" s="59"/>
      <c r="CJ136" s="59"/>
      <c r="CK136" s="59"/>
      <c r="CL136" s="59"/>
    </row>
    <row r="137" spans="1:90" x14ac:dyDescent="0.25">
      <c r="A137" s="9"/>
      <c r="B137" s="9"/>
      <c r="C137" s="3" t="s">
        <v>49</v>
      </c>
      <c r="D137" s="3"/>
      <c r="E137" s="3"/>
      <c r="F137" s="20"/>
      <c r="G137" s="20"/>
      <c r="H137" s="52"/>
      <c r="I137" s="31"/>
      <c r="J137" s="31"/>
      <c r="K137" s="32"/>
      <c r="L137" s="62">
        <v>102.54</v>
      </c>
      <c r="M137" s="63">
        <v>96.14</v>
      </c>
      <c r="N137" s="63">
        <v>83.34</v>
      </c>
      <c r="O137" s="64">
        <v>83.34</v>
      </c>
      <c r="P137" s="62">
        <v>83.34</v>
      </c>
      <c r="Q137" s="63">
        <v>83.13333333333334</v>
      </c>
      <c r="R137" s="63">
        <v>82.72</v>
      </c>
      <c r="S137" s="64">
        <v>82.72</v>
      </c>
      <c r="T137" s="63">
        <v>82.72</v>
      </c>
      <c r="U137" s="63">
        <v>86.433333333333337</v>
      </c>
      <c r="V137" s="63">
        <v>93.86</v>
      </c>
      <c r="W137" s="64">
        <v>93.86</v>
      </c>
      <c r="X137" s="63">
        <v>93.86</v>
      </c>
      <c r="Y137" s="63">
        <v>96.874703196347028</v>
      </c>
      <c r="Z137" s="63">
        <v>102.9041095890411</v>
      </c>
      <c r="AA137" s="64">
        <v>102.9041095890411</v>
      </c>
      <c r="AB137" s="63">
        <v>103</v>
      </c>
      <c r="AC137" s="63"/>
      <c r="AD137" s="63">
        <v>90.21</v>
      </c>
      <c r="AE137" s="64">
        <v>90.21</v>
      </c>
      <c r="AF137" s="65">
        <v>90.21</v>
      </c>
      <c r="AG137" s="65">
        <v>137.126301369863</v>
      </c>
      <c r="AH137" s="65">
        <v>230.95890410958907</v>
      </c>
      <c r="AI137" s="66">
        <v>230.95890410958907</v>
      </c>
      <c r="AJ137" s="65">
        <v>230.95890410958907</v>
      </c>
      <c r="AK137" s="67">
        <v>275.39726027397262</v>
      </c>
      <c r="AL137" s="65">
        <v>364.27397260273972</v>
      </c>
      <c r="AM137" s="68">
        <v>364.27397260273972</v>
      </c>
      <c r="AN137" s="67">
        <v>364.27397260273972</v>
      </c>
      <c r="AO137" s="67">
        <v>319.89041095890411</v>
      </c>
      <c r="AP137" s="65">
        <v>231.12328767123287</v>
      </c>
      <c r="AQ137" s="68">
        <v>231.12328767123287</v>
      </c>
      <c r="AR137" s="67">
        <v>231.12328767123287</v>
      </c>
      <c r="AS137" s="67">
        <v>212.13150684931506</v>
      </c>
      <c r="AT137" s="65">
        <v>174.14794520547943</v>
      </c>
      <c r="AU137" s="68">
        <v>174.14794520547943</v>
      </c>
      <c r="AV137" s="67">
        <v>174.14794520547943</v>
      </c>
      <c r="AW137" s="67">
        <v>166.83835616438353</v>
      </c>
      <c r="AX137" s="65">
        <v>152.21917808219177</v>
      </c>
      <c r="AY137" s="68">
        <v>152.21917808219177</v>
      </c>
      <c r="AZ137" s="67">
        <v>152.21917808219177</v>
      </c>
      <c r="BA137" s="67">
        <v>143.12328767123284</v>
      </c>
      <c r="BB137" s="65">
        <v>124.93150684931504</v>
      </c>
      <c r="BC137" s="68">
        <v>124.93150684931504</v>
      </c>
      <c r="BD137" s="67">
        <v>124.93150684931504</v>
      </c>
      <c r="BE137" s="67">
        <v>105.20547945205477</v>
      </c>
      <c r="BF137" s="65">
        <v>65.753424657534254</v>
      </c>
      <c r="BG137" s="68">
        <v>65.753424657534254</v>
      </c>
      <c r="BH137" s="67">
        <v>65.753424657534254</v>
      </c>
      <c r="BI137" s="67">
        <v>87.452054794520549</v>
      </c>
      <c r="BJ137" s="65">
        <v>130.84931506849315</v>
      </c>
      <c r="BK137" s="68">
        <v>130.84931506849315</v>
      </c>
      <c r="BL137" s="67">
        <v>130.84931506849315</v>
      </c>
      <c r="BM137" s="67">
        <v>130.84931506849313</v>
      </c>
      <c r="BN137" s="65">
        <v>130.84931506849315</v>
      </c>
      <c r="BO137" s="68">
        <v>130.84931506849315</v>
      </c>
      <c r="BP137" s="67">
        <v>130.84931506849315</v>
      </c>
      <c r="BQ137" s="67">
        <v>130.84931506849313</v>
      </c>
      <c r="BR137" s="65"/>
      <c r="BS137" s="68"/>
      <c r="BT137" s="67"/>
      <c r="BU137" s="67"/>
      <c r="BV137" s="65"/>
      <c r="BW137" s="68"/>
      <c r="BX137" s="59"/>
      <c r="BY137" s="59"/>
      <c r="BZ137" s="59"/>
      <c r="CA137" s="59"/>
      <c r="CB137" s="59"/>
      <c r="CC137" s="59"/>
      <c r="CD137" s="59"/>
      <c r="CE137" s="59"/>
      <c r="CF137" s="59"/>
      <c r="CG137" s="59"/>
      <c r="CH137" s="59"/>
      <c r="CI137" s="59"/>
      <c r="CJ137" s="59"/>
      <c r="CK137" s="59"/>
      <c r="CL137" s="59"/>
    </row>
    <row r="138" spans="1:90" x14ac:dyDescent="0.25">
      <c r="A138" s="9"/>
      <c r="B138" s="9"/>
      <c r="C138" s="3"/>
      <c r="D138" s="3"/>
      <c r="E138" s="3"/>
      <c r="F138" s="20"/>
      <c r="G138" s="20"/>
      <c r="H138" s="52"/>
      <c r="I138" s="31"/>
      <c r="J138" s="31"/>
      <c r="K138" s="32"/>
      <c r="L138" s="62"/>
      <c r="M138" s="63"/>
      <c r="N138" s="63"/>
      <c r="O138" s="64"/>
      <c r="P138" s="62"/>
      <c r="Q138" s="63"/>
      <c r="R138" s="63"/>
      <c r="S138" s="64"/>
      <c r="T138" s="63"/>
      <c r="U138" s="63"/>
      <c r="V138" s="63"/>
      <c r="W138" s="64"/>
      <c r="X138" s="63"/>
      <c r="Y138" s="63"/>
      <c r="Z138" s="63"/>
      <c r="AA138" s="64"/>
      <c r="AB138" s="63"/>
      <c r="AC138" s="63"/>
      <c r="AD138" s="63"/>
      <c r="AE138" s="64"/>
      <c r="AF138" s="65"/>
      <c r="AG138" s="65"/>
      <c r="AH138" s="65"/>
      <c r="AI138" s="66"/>
      <c r="AJ138" s="65"/>
      <c r="AK138" s="67"/>
      <c r="AL138" s="65"/>
      <c r="AM138" s="68"/>
      <c r="AN138" s="67"/>
      <c r="AO138" s="67"/>
      <c r="AP138" s="65"/>
      <c r="AQ138" s="68"/>
      <c r="AR138" s="67"/>
      <c r="AS138" s="67"/>
      <c r="AT138" s="65"/>
      <c r="AU138" s="68"/>
      <c r="AV138" s="67"/>
      <c r="AW138" s="67"/>
      <c r="AX138" s="65"/>
      <c r="AY138" s="68"/>
      <c r="AZ138" s="67"/>
      <c r="BA138" s="67"/>
      <c r="BB138" s="65"/>
      <c r="BC138" s="68"/>
      <c r="BD138" s="67"/>
      <c r="BE138" s="67"/>
      <c r="BF138" s="65"/>
      <c r="BG138" s="68"/>
      <c r="BH138" s="67"/>
      <c r="BI138" s="67"/>
      <c r="BJ138" s="65"/>
      <c r="BK138" s="68"/>
      <c r="BL138" s="67"/>
      <c r="BM138" s="67"/>
      <c r="BN138" s="65"/>
      <c r="BO138" s="68"/>
      <c r="BP138" s="67"/>
      <c r="BQ138" s="67"/>
      <c r="BR138" s="65"/>
      <c r="BS138" s="68"/>
      <c r="BT138" s="67"/>
      <c r="BU138" s="67"/>
      <c r="BV138" s="65"/>
      <c r="BW138" s="68"/>
      <c r="BX138" s="59"/>
      <c r="BY138" s="59"/>
      <c r="BZ138" s="59"/>
      <c r="CA138" s="59"/>
      <c r="CB138" s="59"/>
      <c r="CC138" s="59"/>
      <c r="CD138" s="59"/>
      <c r="CE138" s="59"/>
      <c r="CF138" s="59"/>
      <c r="CG138" s="59"/>
      <c r="CH138" s="59"/>
      <c r="CI138" s="59"/>
      <c r="CJ138" s="59"/>
      <c r="CK138" s="59"/>
      <c r="CL138" s="59"/>
    </row>
    <row r="139" spans="1:90" x14ac:dyDescent="0.25">
      <c r="A139" s="9"/>
      <c r="B139" s="9"/>
      <c r="C139" s="1" t="s">
        <v>50</v>
      </c>
      <c r="D139" s="46"/>
      <c r="E139" s="78"/>
      <c r="F139" s="78"/>
      <c r="G139" s="78"/>
      <c r="H139" s="52"/>
      <c r="I139" s="53"/>
      <c r="J139" s="53"/>
      <c r="K139" s="54"/>
      <c r="L139" s="52"/>
      <c r="M139" s="53"/>
      <c r="N139" s="53"/>
      <c r="O139" s="58"/>
      <c r="P139" s="71"/>
      <c r="Q139" s="57"/>
      <c r="R139" s="57"/>
      <c r="S139" s="58"/>
      <c r="T139" s="57"/>
      <c r="U139" s="57"/>
      <c r="V139" s="57"/>
      <c r="W139" s="58"/>
      <c r="X139" s="57"/>
      <c r="Y139" s="57"/>
      <c r="Z139" s="57"/>
      <c r="AA139" s="58"/>
      <c r="AB139" s="57"/>
      <c r="AC139" s="57"/>
      <c r="AD139" s="57"/>
      <c r="AE139" s="58"/>
      <c r="AF139" s="70"/>
      <c r="AG139" s="70"/>
      <c r="AH139" s="70"/>
      <c r="AI139" s="72"/>
      <c r="AJ139" s="70"/>
      <c r="AK139" s="53"/>
      <c r="AL139" s="53"/>
      <c r="AM139" s="72"/>
      <c r="AN139" s="70"/>
      <c r="AO139" s="53"/>
      <c r="AP139" s="53"/>
      <c r="AQ139" s="72"/>
      <c r="AR139" s="53"/>
      <c r="AS139" s="53"/>
      <c r="AT139" s="53"/>
      <c r="AU139" s="72"/>
      <c r="AV139" s="53"/>
      <c r="AW139" s="53"/>
      <c r="AX139" s="53"/>
      <c r="AY139" s="54"/>
      <c r="AZ139" s="53"/>
      <c r="BA139" s="53"/>
      <c r="BB139" s="53"/>
      <c r="BC139" s="54"/>
      <c r="BD139" s="53"/>
      <c r="BE139" s="53"/>
      <c r="BF139" s="53"/>
      <c r="BG139" s="54"/>
      <c r="BH139" s="53"/>
      <c r="BI139" s="53"/>
      <c r="BJ139" s="53"/>
      <c r="BK139" s="54"/>
      <c r="BL139" s="53"/>
      <c r="BM139" s="53"/>
      <c r="BN139" s="53"/>
      <c r="BO139" s="54"/>
      <c r="BP139" s="53"/>
      <c r="BQ139" s="53"/>
      <c r="BR139" s="53"/>
      <c r="BS139" s="54"/>
      <c r="BT139" s="53"/>
      <c r="BU139" s="53"/>
      <c r="BV139" s="53"/>
      <c r="BW139" s="54"/>
      <c r="BX139" s="59"/>
      <c r="BY139" s="59"/>
      <c r="BZ139" s="59"/>
      <c r="CA139" s="59"/>
      <c r="CB139" s="59"/>
      <c r="CC139" s="59"/>
      <c r="CD139" s="59"/>
      <c r="CE139" s="59"/>
      <c r="CF139" s="59"/>
      <c r="CG139" s="59"/>
      <c r="CH139" s="59"/>
      <c r="CI139" s="59"/>
      <c r="CJ139" s="59"/>
      <c r="CK139" s="59"/>
      <c r="CL139" s="59"/>
    </row>
    <row r="140" spans="1:90" x14ac:dyDescent="0.25">
      <c r="A140" s="9"/>
      <c r="B140" s="9"/>
      <c r="C140" s="3" t="s">
        <v>51</v>
      </c>
      <c r="D140" s="3"/>
      <c r="E140" s="3"/>
      <c r="F140" s="20"/>
      <c r="G140" s="20"/>
      <c r="H140" s="52"/>
      <c r="I140" s="57"/>
      <c r="J140" s="57"/>
      <c r="K140" s="58"/>
      <c r="L140" s="71"/>
      <c r="M140" s="57"/>
      <c r="N140" s="57"/>
      <c r="O140" s="58"/>
      <c r="P140" s="71">
        <v>0</v>
      </c>
      <c r="Q140" s="57">
        <v>0</v>
      </c>
      <c r="R140" s="57">
        <v>0</v>
      </c>
      <c r="S140" s="58">
        <v>0</v>
      </c>
      <c r="T140" s="57">
        <v>0</v>
      </c>
      <c r="U140" s="57">
        <v>0</v>
      </c>
      <c r="V140" s="57">
        <v>0</v>
      </c>
      <c r="W140" s="58">
        <v>0</v>
      </c>
      <c r="X140" s="57">
        <v>0</v>
      </c>
      <c r="Y140" s="57">
        <v>0</v>
      </c>
      <c r="Z140" s="57">
        <v>0</v>
      </c>
      <c r="AA140" s="58">
        <v>0</v>
      </c>
      <c r="AB140" s="57">
        <v>0</v>
      </c>
      <c r="AC140" s="57"/>
      <c r="AD140" s="57">
        <v>0</v>
      </c>
      <c r="AE140" s="58">
        <v>0</v>
      </c>
      <c r="AF140" s="57">
        <v>0</v>
      </c>
      <c r="AG140" s="57">
        <v>0</v>
      </c>
      <c r="AH140" s="57">
        <v>0</v>
      </c>
      <c r="AI140" s="58">
        <v>0</v>
      </c>
      <c r="AJ140" s="57">
        <v>0</v>
      </c>
      <c r="AK140" s="53">
        <v>0</v>
      </c>
      <c r="AL140" s="53">
        <v>0</v>
      </c>
      <c r="AM140" s="58">
        <v>0</v>
      </c>
      <c r="AN140" s="57">
        <v>0</v>
      </c>
      <c r="AO140" s="53">
        <v>0</v>
      </c>
      <c r="AP140" s="53">
        <v>0</v>
      </c>
      <c r="AQ140" s="58">
        <v>0</v>
      </c>
      <c r="AR140" s="53">
        <v>0</v>
      </c>
      <c r="AS140" s="53">
        <v>0</v>
      </c>
      <c r="AT140" s="53">
        <v>0</v>
      </c>
      <c r="AU140" s="58">
        <v>0</v>
      </c>
      <c r="AV140" s="53">
        <v>0</v>
      </c>
      <c r="AW140" s="53">
        <v>0</v>
      </c>
      <c r="AX140" s="53">
        <v>0</v>
      </c>
      <c r="AY140" s="54">
        <v>0</v>
      </c>
      <c r="AZ140" s="53">
        <v>0</v>
      </c>
      <c r="BA140" s="53">
        <v>0</v>
      </c>
      <c r="BB140" s="53">
        <v>0</v>
      </c>
      <c r="BC140" s="54">
        <v>0</v>
      </c>
      <c r="BD140" s="53">
        <v>0</v>
      </c>
      <c r="BE140" s="53">
        <v>0</v>
      </c>
      <c r="BF140" s="53">
        <v>0</v>
      </c>
      <c r="BG140" s="54">
        <v>0</v>
      </c>
      <c r="BH140" s="53">
        <v>0</v>
      </c>
      <c r="BI140" s="53">
        <v>0</v>
      </c>
      <c r="BJ140" s="53">
        <v>0</v>
      </c>
      <c r="BK140" s="54">
        <v>0</v>
      </c>
      <c r="BL140" s="53">
        <v>0</v>
      </c>
      <c r="BM140" s="53">
        <v>0</v>
      </c>
      <c r="BN140" s="53">
        <v>0</v>
      </c>
      <c r="BO140" s="54">
        <v>0</v>
      </c>
      <c r="BP140" s="53">
        <v>0</v>
      </c>
      <c r="BQ140" s="53">
        <v>0</v>
      </c>
      <c r="BR140" s="53"/>
      <c r="BS140" s="54"/>
      <c r="BT140" s="53"/>
      <c r="BU140" s="53"/>
      <c r="BV140" s="53"/>
      <c r="BW140" s="54"/>
      <c r="BX140" s="59"/>
      <c r="BY140" s="59"/>
      <c r="BZ140" s="59"/>
      <c r="CA140" s="59"/>
      <c r="CB140" s="59"/>
      <c r="CC140" s="59"/>
      <c r="CD140" s="59"/>
      <c r="CE140" s="59"/>
      <c r="CF140" s="59"/>
      <c r="CG140" s="59"/>
      <c r="CH140" s="59"/>
      <c r="CI140" s="59"/>
      <c r="CJ140" s="59"/>
      <c r="CK140" s="59"/>
      <c r="CL140" s="59"/>
    </row>
    <row r="141" spans="1:90" x14ac:dyDescent="0.25">
      <c r="A141" s="9"/>
      <c r="B141" s="9"/>
      <c r="C141" s="3" t="s">
        <v>52</v>
      </c>
      <c r="D141" s="3"/>
      <c r="E141" s="3"/>
      <c r="F141" s="20"/>
      <c r="G141" s="20"/>
      <c r="H141" s="52"/>
      <c r="I141" s="57"/>
      <c r="J141" s="57"/>
      <c r="K141" s="58"/>
      <c r="L141" s="71"/>
      <c r="M141" s="57"/>
      <c r="N141" s="57"/>
      <c r="O141" s="58"/>
      <c r="P141" s="71">
        <v>1.97</v>
      </c>
      <c r="Q141" s="57">
        <v>1.97</v>
      </c>
      <c r="R141" s="57">
        <v>1.97</v>
      </c>
      <c r="S141" s="58">
        <v>1.97</v>
      </c>
      <c r="T141" s="57">
        <v>4</v>
      </c>
      <c r="U141" s="57">
        <v>4</v>
      </c>
      <c r="V141" s="57">
        <v>4</v>
      </c>
      <c r="W141" s="58">
        <v>4</v>
      </c>
      <c r="X141" s="57">
        <v>6</v>
      </c>
      <c r="Y141" s="57">
        <v>6</v>
      </c>
      <c r="Z141" s="57">
        <v>6</v>
      </c>
      <c r="AA141" s="58">
        <v>6</v>
      </c>
      <c r="AB141" s="57">
        <v>8</v>
      </c>
      <c r="AC141" s="57"/>
      <c r="AD141" s="57">
        <v>8</v>
      </c>
      <c r="AE141" s="58">
        <v>8</v>
      </c>
      <c r="AF141" s="57">
        <v>10</v>
      </c>
      <c r="AG141" s="57">
        <v>10</v>
      </c>
      <c r="AH141" s="57">
        <v>10</v>
      </c>
      <c r="AI141" s="58">
        <v>10</v>
      </c>
      <c r="AJ141" s="57">
        <v>10</v>
      </c>
      <c r="AK141" s="53">
        <v>10</v>
      </c>
      <c r="AL141" s="53">
        <v>10</v>
      </c>
      <c r="AM141" s="58">
        <v>10</v>
      </c>
      <c r="AN141" s="57">
        <v>10</v>
      </c>
      <c r="AO141" s="53">
        <v>10</v>
      </c>
      <c r="AP141" s="53">
        <v>10</v>
      </c>
      <c r="AQ141" s="58">
        <v>10</v>
      </c>
      <c r="AR141" s="53">
        <v>10</v>
      </c>
      <c r="AS141" s="53">
        <v>10</v>
      </c>
      <c r="AT141" s="53">
        <v>10</v>
      </c>
      <c r="AU141" s="58">
        <v>10</v>
      </c>
      <c r="AV141" s="53">
        <v>10</v>
      </c>
      <c r="AW141" s="53">
        <v>10</v>
      </c>
      <c r="AX141" s="53">
        <v>10</v>
      </c>
      <c r="AY141" s="54">
        <v>10</v>
      </c>
      <c r="AZ141" s="53">
        <v>10</v>
      </c>
      <c r="BA141" s="53">
        <v>10</v>
      </c>
      <c r="BB141" s="53">
        <v>10</v>
      </c>
      <c r="BC141" s="54">
        <v>10</v>
      </c>
      <c r="BD141" s="53">
        <v>10</v>
      </c>
      <c r="BE141" s="53">
        <v>10</v>
      </c>
      <c r="BF141" s="53">
        <v>10</v>
      </c>
      <c r="BG141" s="54">
        <v>10</v>
      </c>
      <c r="BH141" s="53">
        <v>10</v>
      </c>
      <c r="BI141" s="53">
        <v>10</v>
      </c>
      <c r="BJ141" s="53">
        <v>10</v>
      </c>
      <c r="BK141" s="54">
        <v>10</v>
      </c>
      <c r="BL141" s="53">
        <v>10</v>
      </c>
      <c r="BM141" s="53">
        <v>10</v>
      </c>
      <c r="BN141" s="53">
        <v>10</v>
      </c>
      <c r="BO141" s="54">
        <v>10</v>
      </c>
      <c r="BP141" s="53">
        <v>10</v>
      </c>
      <c r="BQ141" s="53">
        <v>10</v>
      </c>
      <c r="BR141" s="53"/>
      <c r="BS141" s="54"/>
      <c r="BT141" s="53"/>
      <c r="BU141" s="53"/>
      <c r="BV141" s="53"/>
      <c r="BW141" s="54"/>
      <c r="BX141" s="59"/>
      <c r="BY141" s="59"/>
      <c r="BZ141" s="59"/>
      <c r="CA141" s="59"/>
      <c r="CB141" s="59"/>
      <c r="CC141" s="59"/>
      <c r="CD141" s="59"/>
      <c r="CE141" s="59"/>
      <c r="CF141" s="59"/>
      <c r="CG141" s="59"/>
      <c r="CH141" s="59"/>
      <c r="CI141" s="59"/>
      <c r="CJ141" s="59"/>
      <c r="CK141" s="59"/>
      <c r="CL141" s="59"/>
    </row>
    <row r="142" spans="1:90" x14ac:dyDescent="0.25">
      <c r="A142" s="9"/>
      <c r="B142" s="9"/>
      <c r="C142" s="3" t="s">
        <v>53</v>
      </c>
      <c r="D142" s="3"/>
      <c r="E142" s="3"/>
      <c r="F142" s="20"/>
      <c r="G142" s="20"/>
      <c r="H142" s="52"/>
      <c r="I142" s="57"/>
      <c r="J142" s="57"/>
      <c r="K142" s="58"/>
      <c r="L142" s="71"/>
      <c r="M142" s="57"/>
      <c r="N142" s="57"/>
      <c r="O142" s="58"/>
      <c r="P142" s="71">
        <v>0</v>
      </c>
      <c r="Q142" s="57">
        <v>0</v>
      </c>
      <c r="R142" s="57">
        <v>0</v>
      </c>
      <c r="S142" s="58">
        <v>0</v>
      </c>
      <c r="T142" s="57">
        <v>0</v>
      </c>
      <c r="U142" s="57">
        <v>0</v>
      </c>
      <c r="V142" s="57">
        <v>0</v>
      </c>
      <c r="W142" s="58">
        <v>0</v>
      </c>
      <c r="X142" s="57">
        <v>0</v>
      </c>
      <c r="Y142" s="57">
        <v>0</v>
      </c>
      <c r="Z142" s="57">
        <v>0</v>
      </c>
      <c r="AA142" s="58">
        <v>0</v>
      </c>
      <c r="AB142" s="57">
        <v>0</v>
      </c>
      <c r="AC142" s="57"/>
      <c r="AD142" s="57">
        <v>0</v>
      </c>
      <c r="AE142" s="58">
        <v>0</v>
      </c>
      <c r="AF142" s="57">
        <v>0</v>
      </c>
      <c r="AG142" s="57">
        <v>0</v>
      </c>
      <c r="AH142" s="57">
        <v>0</v>
      </c>
      <c r="AI142" s="58">
        <v>0</v>
      </c>
      <c r="AJ142" s="57">
        <v>0</v>
      </c>
      <c r="AK142" s="53">
        <v>0</v>
      </c>
      <c r="AL142" s="53">
        <v>0</v>
      </c>
      <c r="AM142" s="58">
        <v>0</v>
      </c>
      <c r="AN142" s="57">
        <v>0</v>
      </c>
      <c r="AO142" s="53">
        <v>0</v>
      </c>
      <c r="AP142" s="53">
        <v>0</v>
      </c>
      <c r="AQ142" s="58">
        <v>0</v>
      </c>
      <c r="AR142" s="53">
        <v>0</v>
      </c>
      <c r="AS142" s="53">
        <v>0</v>
      </c>
      <c r="AT142" s="53">
        <v>0</v>
      </c>
      <c r="AU142" s="58">
        <v>0</v>
      </c>
      <c r="AV142" s="53">
        <v>0</v>
      </c>
      <c r="AW142" s="53">
        <v>0</v>
      </c>
      <c r="AX142" s="53">
        <v>0</v>
      </c>
      <c r="AY142" s="54">
        <v>0</v>
      </c>
      <c r="AZ142" s="53">
        <v>0</v>
      </c>
      <c r="BA142" s="53">
        <v>0</v>
      </c>
      <c r="BB142" s="53">
        <v>0</v>
      </c>
      <c r="BC142" s="54">
        <v>0</v>
      </c>
      <c r="BD142" s="53">
        <v>0</v>
      </c>
      <c r="BE142" s="53">
        <v>0</v>
      </c>
      <c r="BF142" s="53">
        <v>0</v>
      </c>
      <c r="BG142" s="54">
        <v>0</v>
      </c>
      <c r="BH142" s="53">
        <v>0</v>
      </c>
      <c r="BI142" s="53">
        <v>0</v>
      </c>
      <c r="BJ142" s="53">
        <v>0</v>
      </c>
      <c r="BK142" s="54">
        <v>0</v>
      </c>
      <c r="BL142" s="53">
        <v>0</v>
      </c>
      <c r="BM142" s="53">
        <v>0</v>
      </c>
      <c r="BN142" s="53">
        <v>0</v>
      </c>
      <c r="BO142" s="54">
        <v>0</v>
      </c>
      <c r="BP142" s="53">
        <v>0</v>
      </c>
      <c r="BQ142" s="53">
        <v>0</v>
      </c>
      <c r="BR142" s="53"/>
      <c r="BS142" s="54"/>
      <c r="BT142" s="53"/>
      <c r="BU142" s="53"/>
      <c r="BV142" s="53"/>
      <c r="BW142" s="54"/>
      <c r="BX142" s="59"/>
      <c r="BY142" s="59"/>
      <c r="BZ142" s="59"/>
      <c r="CA142" s="59"/>
      <c r="CB142" s="59"/>
      <c r="CC142" s="59"/>
      <c r="CD142" s="59"/>
      <c r="CE142" s="59"/>
      <c r="CF142" s="59"/>
      <c r="CG142" s="59"/>
      <c r="CH142" s="59"/>
      <c r="CI142" s="59"/>
      <c r="CJ142" s="59"/>
      <c r="CK142" s="59"/>
      <c r="CL142" s="59"/>
    </row>
    <row r="143" spans="1:90" x14ac:dyDescent="0.25">
      <c r="A143" s="9"/>
      <c r="B143" s="9"/>
      <c r="C143" s="3" t="s">
        <v>54</v>
      </c>
      <c r="D143" s="3"/>
      <c r="E143" s="3"/>
      <c r="F143" s="20"/>
      <c r="G143" s="20"/>
      <c r="H143" s="52"/>
      <c r="I143" s="57"/>
      <c r="J143" s="57"/>
      <c r="K143" s="58"/>
      <c r="L143" s="71"/>
      <c r="M143" s="57"/>
      <c r="N143" s="57"/>
      <c r="O143" s="58"/>
      <c r="P143" s="71">
        <v>0</v>
      </c>
      <c r="Q143" s="57">
        <v>0</v>
      </c>
      <c r="R143" s="57">
        <v>0</v>
      </c>
      <c r="S143" s="58">
        <v>0</v>
      </c>
      <c r="T143" s="57">
        <v>0</v>
      </c>
      <c r="U143" s="57">
        <v>0</v>
      </c>
      <c r="V143" s="57">
        <v>0</v>
      </c>
      <c r="W143" s="58">
        <v>0</v>
      </c>
      <c r="X143" s="57">
        <v>0</v>
      </c>
      <c r="Y143" s="57">
        <v>0</v>
      </c>
      <c r="Z143" s="57">
        <v>0</v>
      </c>
      <c r="AA143" s="58">
        <v>0</v>
      </c>
      <c r="AB143" s="57">
        <v>0</v>
      </c>
      <c r="AC143" s="57"/>
      <c r="AD143" s="57">
        <v>0</v>
      </c>
      <c r="AE143" s="58">
        <v>0</v>
      </c>
      <c r="AF143" s="57">
        <v>0</v>
      </c>
      <c r="AG143" s="57">
        <v>0</v>
      </c>
      <c r="AH143" s="57">
        <v>0</v>
      </c>
      <c r="AI143" s="58">
        <v>0</v>
      </c>
      <c r="AJ143" s="57">
        <v>0</v>
      </c>
      <c r="AK143" s="53">
        <v>0</v>
      </c>
      <c r="AL143" s="53">
        <v>0</v>
      </c>
      <c r="AM143" s="58">
        <v>0</v>
      </c>
      <c r="AN143" s="57">
        <v>0</v>
      </c>
      <c r="AO143" s="53">
        <v>0</v>
      </c>
      <c r="AP143" s="53">
        <v>0</v>
      </c>
      <c r="AQ143" s="58">
        <v>0</v>
      </c>
      <c r="AR143" s="53">
        <v>0</v>
      </c>
      <c r="AS143" s="53">
        <v>0</v>
      </c>
      <c r="AT143" s="53">
        <v>0</v>
      </c>
      <c r="AU143" s="58">
        <v>0</v>
      </c>
      <c r="AV143" s="53">
        <v>0</v>
      </c>
      <c r="AW143" s="53">
        <v>0</v>
      </c>
      <c r="AX143" s="53">
        <v>0</v>
      </c>
      <c r="AY143" s="54">
        <v>0</v>
      </c>
      <c r="AZ143" s="53">
        <v>0</v>
      </c>
      <c r="BA143" s="53">
        <v>0</v>
      </c>
      <c r="BB143" s="53">
        <v>0</v>
      </c>
      <c r="BC143" s="54">
        <v>0</v>
      </c>
      <c r="BD143" s="53">
        <v>0</v>
      </c>
      <c r="BE143" s="53">
        <v>0</v>
      </c>
      <c r="BF143" s="53">
        <v>0</v>
      </c>
      <c r="BG143" s="54">
        <v>0</v>
      </c>
      <c r="BH143" s="53">
        <v>0</v>
      </c>
      <c r="BI143" s="53">
        <v>0</v>
      </c>
      <c r="BJ143" s="53">
        <v>0</v>
      </c>
      <c r="BK143" s="54">
        <v>0</v>
      </c>
      <c r="BL143" s="53">
        <v>0</v>
      </c>
      <c r="BM143" s="53">
        <v>0</v>
      </c>
      <c r="BN143" s="53">
        <v>0</v>
      </c>
      <c r="BO143" s="54">
        <v>0</v>
      </c>
      <c r="BP143" s="53">
        <v>0</v>
      </c>
      <c r="BQ143" s="53">
        <v>0</v>
      </c>
      <c r="BR143" s="53"/>
      <c r="BS143" s="54"/>
      <c r="BT143" s="53"/>
      <c r="BU143" s="53"/>
      <c r="BV143" s="53"/>
      <c r="BW143" s="54"/>
      <c r="BX143" s="59"/>
      <c r="BY143" s="59"/>
      <c r="BZ143" s="59"/>
      <c r="CA143" s="59"/>
      <c r="CB143" s="59"/>
      <c r="CC143" s="59"/>
      <c r="CD143" s="59"/>
      <c r="CE143" s="59"/>
      <c r="CF143" s="59"/>
      <c r="CG143" s="59"/>
      <c r="CH143" s="59"/>
      <c r="CI143" s="59"/>
      <c r="CJ143" s="59"/>
      <c r="CK143" s="59"/>
      <c r="CL143" s="59"/>
    </row>
    <row r="144" spans="1:90" x14ac:dyDescent="0.25">
      <c r="A144" s="9"/>
      <c r="B144" s="9"/>
      <c r="C144" s="3" t="s">
        <v>55</v>
      </c>
      <c r="D144" s="3"/>
      <c r="E144" s="3"/>
      <c r="F144" s="20"/>
      <c r="G144" s="20"/>
      <c r="H144" s="52"/>
      <c r="I144" s="57"/>
      <c r="J144" s="57"/>
      <c r="K144" s="58"/>
      <c r="L144" s="71"/>
      <c r="M144" s="57"/>
      <c r="N144" s="57"/>
      <c r="O144" s="58"/>
      <c r="P144" s="71">
        <v>0</v>
      </c>
      <c r="Q144" s="57">
        <v>0</v>
      </c>
      <c r="R144" s="57">
        <v>0</v>
      </c>
      <c r="S144" s="58">
        <v>0</v>
      </c>
      <c r="T144" s="57">
        <v>0</v>
      </c>
      <c r="U144" s="57">
        <v>0</v>
      </c>
      <c r="V144" s="57">
        <v>0</v>
      </c>
      <c r="W144" s="58">
        <v>0</v>
      </c>
      <c r="X144" s="57">
        <v>0</v>
      </c>
      <c r="Y144" s="57">
        <v>0</v>
      </c>
      <c r="Z144" s="57">
        <v>0</v>
      </c>
      <c r="AA144" s="58">
        <v>0</v>
      </c>
      <c r="AB144" s="57">
        <v>0</v>
      </c>
      <c r="AC144" s="57"/>
      <c r="AD144" s="57">
        <v>0</v>
      </c>
      <c r="AE144" s="58">
        <v>0</v>
      </c>
      <c r="AF144" s="57">
        <v>0</v>
      </c>
      <c r="AG144" s="57">
        <v>0</v>
      </c>
      <c r="AH144" s="57">
        <v>0</v>
      </c>
      <c r="AI144" s="58">
        <v>0</v>
      </c>
      <c r="AJ144" s="57">
        <v>0</v>
      </c>
      <c r="AK144" s="53">
        <v>0</v>
      </c>
      <c r="AL144" s="53">
        <v>0</v>
      </c>
      <c r="AM144" s="58">
        <v>0</v>
      </c>
      <c r="AN144" s="57">
        <v>0</v>
      </c>
      <c r="AO144" s="53">
        <v>0</v>
      </c>
      <c r="AP144" s="53">
        <v>0</v>
      </c>
      <c r="AQ144" s="58">
        <v>0</v>
      </c>
      <c r="AR144" s="53">
        <v>0</v>
      </c>
      <c r="AS144" s="53">
        <v>0</v>
      </c>
      <c r="AT144" s="53">
        <v>0</v>
      </c>
      <c r="AU144" s="58">
        <v>0</v>
      </c>
      <c r="AV144" s="53">
        <v>0</v>
      </c>
      <c r="AW144" s="53">
        <v>0</v>
      </c>
      <c r="AX144" s="53">
        <v>0</v>
      </c>
      <c r="AY144" s="54">
        <v>0</v>
      </c>
      <c r="AZ144" s="53">
        <v>0</v>
      </c>
      <c r="BA144" s="53">
        <v>0</v>
      </c>
      <c r="BB144" s="53">
        <v>0</v>
      </c>
      <c r="BC144" s="54">
        <v>0</v>
      </c>
      <c r="BD144" s="53">
        <v>0</v>
      </c>
      <c r="BE144" s="53">
        <v>0</v>
      </c>
      <c r="BF144" s="53">
        <v>0</v>
      </c>
      <c r="BG144" s="54">
        <v>0</v>
      </c>
      <c r="BH144" s="53">
        <v>0</v>
      </c>
      <c r="BI144" s="53">
        <v>0</v>
      </c>
      <c r="BJ144" s="53">
        <v>0</v>
      </c>
      <c r="BK144" s="54">
        <v>0</v>
      </c>
      <c r="BL144" s="53">
        <v>0</v>
      </c>
      <c r="BM144" s="53">
        <v>0</v>
      </c>
      <c r="BN144" s="53">
        <v>0</v>
      </c>
      <c r="BO144" s="54">
        <v>0</v>
      </c>
      <c r="BP144" s="53">
        <v>0</v>
      </c>
      <c r="BQ144" s="53">
        <v>0</v>
      </c>
      <c r="BR144" s="53"/>
      <c r="BS144" s="54"/>
      <c r="BT144" s="53"/>
      <c r="BU144" s="53"/>
      <c r="BV144" s="53"/>
      <c r="BW144" s="54"/>
      <c r="BX144" s="59"/>
      <c r="BY144" s="59"/>
      <c r="BZ144" s="59"/>
      <c r="CA144" s="59"/>
      <c r="CB144" s="59"/>
      <c r="CC144" s="59"/>
      <c r="CD144" s="59"/>
      <c r="CE144" s="59"/>
      <c r="CF144" s="59"/>
      <c r="CG144" s="59"/>
      <c r="CH144" s="59"/>
      <c r="CI144" s="59"/>
      <c r="CJ144" s="59"/>
      <c r="CK144" s="59"/>
      <c r="CL144" s="59"/>
    </row>
    <row r="145" spans="1:90" x14ac:dyDescent="0.25">
      <c r="A145" s="9"/>
      <c r="B145" s="9"/>
      <c r="C145" s="3" t="s">
        <v>56</v>
      </c>
      <c r="D145" s="3"/>
      <c r="E145" s="3"/>
      <c r="F145" s="20"/>
      <c r="G145" s="20"/>
      <c r="H145" s="52"/>
      <c r="I145" s="57"/>
      <c r="J145" s="57"/>
      <c r="K145" s="58"/>
      <c r="L145" s="71"/>
      <c r="M145" s="57"/>
      <c r="N145" s="57"/>
      <c r="O145" s="58"/>
      <c r="P145" s="71">
        <v>0</v>
      </c>
      <c r="Q145" s="57">
        <v>0</v>
      </c>
      <c r="R145" s="57">
        <v>0</v>
      </c>
      <c r="S145" s="58">
        <v>0</v>
      </c>
      <c r="T145" s="57">
        <v>0</v>
      </c>
      <c r="U145" s="57">
        <v>0</v>
      </c>
      <c r="V145" s="57">
        <v>0</v>
      </c>
      <c r="W145" s="58">
        <v>0</v>
      </c>
      <c r="X145" s="57">
        <v>0</v>
      </c>
      <c r="Y145" s="57">
        <v>0</v>
      </c>
      <c r="Z145" s="57">
        <v>0</v>
      </c>
      <c r="AA145" s="58">
        <v>0</v>
      </c>
      <c r="AB145" s="57">
        <v>0</v>
      </c>
      <c r="AC145" s="57"/>
      <c r="AD145" s="57">
        <v>0</v>
      </c>
      <c r="AE145" s="58">
        <v>0</v>
      </c>
      <c r="AF145" s="57">
        <v>0</v>
      </c>
      <c r="AG145" s="57">
        <v>0</v>
      </c>
      <c r="AH145" s="57">
        <v>0</v>
      </c>
      <c r="AI145" s="58">
        <v>0</v>
      </c>
      <c r="AJ145" s="57">
        <v>0</v>
      </c>
      <c r="AK145" s="53">
        <v>0</v>
      </c>
      <c r="AL145" s="53">
        <v>0</v>
      </c>
      <c r="AM145" s="58">
        <v>0</v>
      </c>
      <c r="AN145" s="57">
        <v>0</v>
      </c>
      <c r="AO145" s="53">
        <v>0</v>
      </c>
      <c r="AP145" s="53">
        <v>0</v>
      </c>
      <c r="AQ145" s="58">
        <v>0</v>
      </c>
      <c r="AR145" s="53">
        <v>0</v>
      </c>
      <c r="AS145" s="53">
        <v>0</v>
      </c>
      <c r="AT145" s="53">
        <v>0</v>
      </c>
      <c r="AU145" s="58">
        <v>0</v>
      </c>
      <c r="AV145" s="53">
        <v>0</v>
      </c>
      <c r="AW145" s="53">
        <v>0</v>
      </c>
      <c r="AX145" s="53">
        <v>0</v>
      </c>
      <c r="AY145" s="54">
        <v>0</v>
      </c>
      <c r="AZ145" s="53">
        <v>0</v>
      </c>
      <c r="BA145" s="53">
        <v>0</v>
      </c>
      <c r="BB145" s="53">
        <v>0</v>
      </c>
      <c r="BC145" s="54">
        <v>0</v>
      </c>
      <c r="BD145" s="53">
        <v>0</v>
      </c>
      <c r="BE145" s="53">
        <v>0</v>
      </c>
      <c r="BF145" s="53">
        <v>0</v>
      </c>
      <c r="BG145" s="54">
        <v>0</v>
      </c>
      <c r="BH145" s="53">
        <v>0</v>
      </c>
      <c r="BI145" s="53">
        <v>0</v>
      </c>
      <c r="BJ145" s="53">
        <v>0</v>
      </c>
      <c r="BK145" s="54">
        <v>0</v>
      </c>
      <c r="BL145" s="53">
        <v>0</v>
      </c>
      <c r="BM145" s="53">
        <v>0</v>
      </c>
      <c r="BN145" s="53">
        <v>0</v>
      </c>
      <c r="BO145" s="54">
        <v>0</v>
      </c>
      <c r="BP145" s="53">
        <v>0</v>
      </c>
      <c r="BQ145" s="53">
        <v>0</v>
      </c>
      <c r="BR145" s="53"/>
      <c r="BS145" s="54"/>
      <c r="BT145" s="53"/>
      <c r="BU145" s="53"/>
      <c r="BV145" s="53"/>
      <c r="BW145" s="54"/>
      <c r="BX145" s="59"/>
      <c r="BY145" s="59"/>
      <c r="BZ145" s="59"/>
      <c r="CA145" s="59"/>
      <c r="CB145" s="59"/>
      <c r="CC145" s="59"/>
      <c r="CD145" s="59"/>
      <c r="CE145" s="59"/>
      <c r="CF145" s="59"/>
      <c r="CG145" s="59"/>
      <c r="CH145" s="59"/>
      <c r="CI145" s="59"/>
      <c r="CJ145" s="59"/>
      <c r="CK145" s="59"/>
      <c r="CL145" s="59"/>
    </row>
    <row r="146" spans="1:90" x14ac:dyDescent="0.25">
      <c r="A146" s="9"/>
      <c r="B146" s="9"/>
      <c r="C146" s="3" t="s">
        <v>57</v>
      </c>
      <c r="D146" s="3"/>
      <c r="E146" s="3"/>
      <c r="F146" s="20"/>
      <c r="G146" s="20"/>
      <c r="H146" s="52"/>
      <c r="I146" s="57"/>
      <c r="J146" s="57"/>
      <c r="K146" s="58"/>
      <c r="L146" s="71"/>
      <c r="M146" s="57"/>
      <c r="N146" s="57"/>
      <c r="O146" s="58"/>
      <c r="P146" s="71">
        <v>0</v>
      </c>
      <c r="Q146" s="57">
        <v>0</v>
      </c>
      <c r="R146" s="57">
        <v>0</v>
      </c>
      <c r="S146" s="58">
        <v>0</v>
      </c>
      <c r="T146" s="57">
        <v>0</v>
      </c>
      <c r="U146" s="57">
        <v>0</v>
      </c>
      <c r="V146" s="57">
        <v>0</v>
      </c>
      <c r="W146" s="58">
        <v>0</v>
      </c>
      <c r="X146" s="57">
        <v>0</v>
      </c>
      <c r="Y146" s="57">
        <v>0</v>
      </c>
      <c r="Z146" s="57">
        <v>0</v>
      </c>
      <c r="AA146" s="58">
        <v>0</v>
      </c>
      <c r="AB146" s="57">
        <v>0</v>
      </c>
      <c r="AC146" s="57"/>
      <c r="AD146" s="57">
        <v>0</v>
      </c>
      <c r="AE146" s="58">
        <v>0</v>
      </c>
      <c r="AF146" s="57">
        <v>0</v>
      </c>
      <c r="AG146" s="57">
        <v>0</v>
      </c>
      <c r="AH146" s="57">
        <v>0</v>
      </c>
      <c r="AI146" s="58">
        <v>0</v>
      </c>
      <c r="AJ146" s="57">
        <v>0</v>
      </c>
      <c r="AK146" s="53">
        <v>0</v>
      </c>
      <c r="AL146" s="53">
        <v>0</v>
      </c>
      <c r="AM146" s="58">
        <v>0</v>
      </c>
      <c r="AN146" s="57">
        <v>0</v>
      </c>
      <c r="AO146" s="53">
        <v>0</v>
      </c>
      <c r="AP146" s="53">
        <v>0</v>
      </c>
      <c r="AQ146" s="58">
        <v>0</v>
      </c>
      <c r="AR146" s="53">
        <v>0</v>
      </c>
      <c r="AS146" s="53">
        <v>0</v>
      </c>
      <c r="AT146" s="53">
        <v>0</v>
      </c>
      <c r="AU146" s="58">
        <v>0</v>
      </c>
      <c r="AV146" s="53">
        <v>0</v>
      </c>
      <c r="AW146" s="53">
        <v>0</v>
      </c>
      <c r="AX146" s="53">
        <v>0</v>
      </c>
      <c r="AY146" s="54">
        <v>0</v>
      </c>
      <c r="AZ146" s="53">
        <v>0</v>
      </c>
      <c r="BA146" s="53">
        <v>0</v>
      </c>
      <c r="BB146" s="53">
        <v>0</v>
      </c>
      <c r="BC146" s="54">
        <v>0</v>
      </c>
      <c r="BD146" s="53">
        <v>0</v>
      </c>
      <c r="BE146" s="53">
        <v>0</v>
      </c>
      <c r="BF146" s="53">
        <v>0</v>
      </c>
      <c r="BG146" s="54">
        <v>0</v>
      </c>
      <c r="BH146" s="53">
        <v>0</v>
      </c>
      <c r="BI146" s="53">
        <v>0</v>
      </c>
      <c r="BJ146" s="53">
        <v>0</v>
      </c>
      <c r="BK146" s="54">
        <v>0</v>
      </c>
      <c r="BL146" s="53">
        <v>0</v>
      </c>
      <c r="BM146" s="53">
        <v>0</v>
      </c>
      <c r="BN146" s="53">
        <v>0</v>
      </c>
      <c r="BO146" s="54">
        <v>0</v>
      </c>
      <c r="BP146" s="53">
        <v>0</v>
      </c>
      <c r="BQ146" s="53">
        <v>0</v>
      </c>
      <c r="BR146" s="53"/>
      <c r="BS146" s="54"/>
      <c r="BT146" s="53"/>
      <c r="BU146" s="53"/>
      <c r="BV146" s="53"/>
      <c r="BW146" s="54"/>
      <c r="BX146" s="59"/>
      <c r="BY146" s="59"/>
      <c r="BZ146" s="59"/>
      <c r="CA146" s="59"/>
      <c r="CB146" s="59"/>
      <c r="CC146" s="59"/>
      <c r="CD146" s="59"/>
      <c r="CE146" s="59"/>
      <c r="CF146" s="59"/>
      <c r="CG146" s="59"/>
      <c r="CH146" s="59"/>
      <c r="CI146" s="59"/>
      <c r="CJ146" s="59"/>
      <c r="CK146" s="59"/>
      <c r="CL146" s="59"/>
    </row>
    <row r="147" spans="1:90" x14ac:dyDescent="0.25">
      <c r="A147" s="9"/>
      <c r="B147" s="9"/>
      <c r="C147" s="3"/>
      <c r="D147" s="3"/>
      <c r="E147" s="3"/>
      <c r="F147" s="20"/>
      <c r="G147" s="20"/>
      <c r="H147" s="21"/>
      <c r="I147" s="53"/>
      <c r="J147" s="53"/>
      <c r="K147" s="54"/>
      <c r="L147" s="52"/>
      <c r="M147" s="53"/>
      <c r="N147" s="53"/>
      <c r="O147" s="54"/>
      <c r="P147" s="52"/>
      <c r="Q147" s="53"/>
      <c r="R147" s="53"/>
      <c r="S147" s="54"/>
      <c r="T147" s="53"/>
      <c r="U147" s="53"/>
      <c r="V147" s="53"/>
      <c r="W147" s="54"/>
      <c r="X147" s="53"/>
      <c r="Y147" s="53"/>
      <c r="Z147" s="53"/>
      <c r="AA147" s="54"/>
      <c r="AB147" s="53"/>
      <c r="AC147" s="53"/>
      <c r="AD147" s="53"/>
      <c r="AE147" s="54"/>
      <c r="AF147" s="53"/>
      <c r="AG147" s="53"/>
      <c r="AH147" s="53"/>
      <c r="AI147" s="54"/>
      <c r="AJ147" s="53"/>
      <c r="AK147" s="53"/>
      <c r="AL147" s="53"/>
      <c r="AM147" s="54"/>
      <c r="AN147" s="53"/>
      <c r="AO147" s="53"/>
      <c r="AP147" s="53"/>
      <c r="AQ147" s="54"/>
      <c r="AR147" s="53"/>
      <c r="AS147" s="53"/>
      <c r="AT147" s="53"/>
      <c r="AU147" s="54"/>
      <c r="AV147" s="53"/>
      <c r="AW147" s="53"/>
      <c r="AX147" s="53"/>
      <c r="AY147" s="54"/>
      <c r="AZ147" s="53"/>
      <c r="BA147" s="53"/>
      <c r="BB147" s="53"/>
      <c r="BC147" s="54"/>
      <c r="BD147" s="53"/>
      <c r="BE147" s="53"/>
      <c r="BF147" s="53"/>
      <c r="BG147" s="54"/>
      <c r="BH147" s="53"/>
      <c r="BI147" s="53"/>
      <c r="BJ147" s="53"/>
      <c r="BK147" s="54"/>
      <c r="BL147" s="53"/>
      <c r="BM147" s="53"/>
      <c r="BN147" s="53"/>
      <c r="BO147" s="54"/>
      <c r="BP147" s="53"/>
      <c r="BQ147" s="53"/>
      <c r="BR147" s="53"/>
      <c r="BS147" s="54"/>
      <c r="BT147" s="53"/>
      <c r="BU147" s="53"/>
      <c r="BV147" s="53"/>
      <c r="BW147" s="54"/>
      <c r="BX147" s="73"/>
      <c r="BY147" s="73"/>
      <c r="BZ147" s="73"/>
      <c r="CA147" s="73"/>
      <c r="CB147" s="73"/>
      <c r="CC147" s="73"/>
      <c r="CD147" s="73"/>
      <c r="CE147" s="73"/>
      <c r="CF147" s="73"/>
      <c r="CG147" s="73"/>
      <c r="CH147" s="73"/>
      <c r="CI147" s="73"/>
      <c r="CJ147" s="73"/>
      <c r="CK147" s="73"/>
      <c r="CL147" s="73"/>
    </row>
    <row r="148" spans="1:90" x14ac:dyDescent="0.25">
      <c r="A148" s="9"/>
      <c r="B148" s="9"/>
      <c r="C148" s="3"/>
      <c r="D148" s="3"/>
      <c r="E148" s="3"/>
      <c r="F148" s="20"/>
      <c r="G148" s="20"/>
      <c r="H148" s="10"/>
      <c r="I148" s="22"/>
      <c r="J148" s="22"/>
      <c r="K148" s="23"/>
      <c r="L148" s="21"/>
      <c r="M148" s="22"/>
      <c r="N148" s="22"/>
      <c r="O148" s="23"/>
      <c r="P148" s="21"/>
      <c r="Q148" s="22"/>
      <c r="R148" s="22"/>
      <c r="S148" s="23"/>
      <c r="T148" s="22"/>
      <c r="U148" s="22"/>
      <c r="V148" s="22"/>
      <c r="W148" s="23"/>
      <c r="X148" s="22"/>
      <c r="Y148" s="22"/>
      <c r="Z148" s="22"/>
      <c r="AA148" s="23"/>
      <c r="AB148" s="22"/>
      <c r="AC148" s="22"/>
      <c r="AD148" s="22"/>
      <c r="AE148" s="23"/>
      <c r="AF148" s="22"/>
      <c r="AG148" s="22"/>
      <c r="AH148" s="22"/>
      <c r="AI148" s="23"/>
      <c r="AJ148" s="22"/>
      <c r="AK148" s="22"/>
      <c r="AL148" s="22"/>
      <c r="AM148" s="23"/>
      <c r="AN148" s="22"/>
      <c r="AO148" s="22"/>
      <c r="AP148" s="22"/>
      <c r="AQ148" s="23"/>
      <c r="AR148" s="22"/>
      <c r="AS148" s="22"/>
      <c r="AT148" s="22"/>
      <c r="AU148" s="23"/>
      <c r="AV148" s="22"/>
      <c r="AW148" s="22"/>
      <c r="AX148" s="22"/>
      <c r="AY148" s="23"/>
      <c r="AZ148" s="22"/>
      <c r="BA148" s="22"/>
      <c r="BB148" s="22"/>
      <c r="BC148" s="23"/>
      <c r="BD148" s="22"/>
      <c r="BE148" s="22"/>
      <c r="BF148" s="22"/>
      <c r="BG148" s="23"/>
      <c r="BH148" s="22"/>
      <c r="BI148" s="22"/>
      <c r="BJ148" s="22"/>
      <c r="BK148" s="23"/>
      <c r="BL148" s="22"/>
      <c r="BM148" s="22"/>
      <c r="BN148" s="22"/>
      <c r="BO148" s="23"/>
      <c r="BP148" s="22"/>
      <c r="BQ148" s="22"/>
      <c r="BR148" s="22"/>
      <c r="BS148" s="23"/>
      <c r="BT148" s="22"/>
      <c r="BU148" s="22"/>
      <c r="BV148" s="22"/>
      <c r="BW148" s="23"/>
      <c r="BX148" s="74"/>
      <c r="BY148" s="74"/>
      <c r="BZ148" s="74"/>
      <c r="CA148" s="74"/>
      <c r="CB148" s="74"/>
      <c r="CC148" s="74"/>
      <c r="CD148" s="74"/>
      <c r="CE148" s="74"/>
      <c r="CF148" s="74"/>
      <c r="CG148" s="74"/>
      <c r="CH148" s="74"/>
      <c r="CI148" s="74"/>
      <c r="CJ148" s="74"/>
      <c r="CK148" s="74"/>
      <c r="CL148" s="74"/>
    </row>
    <row r="149" spans="1:90" ht="15.75" thickBot="1" x14ac:dyDescent="0.3">
      <c r="A149" s="75"/>
      <c r="C149" s="76"/>
      <c r="D149" s="76"/>
      <c r="E149" s="76"/>
      <c r="F149" s="20"/>
      <c r="G149" s="20"/>
      <c r="H149" s="11"/>
      <c r="I149" s="11"/>
      <c r="J149" s="11"/>
      <c r="K149" s="12"/>
      <c r="L149" s="10"/>
      <c r="M149" s="11"/>
      <c r="N149" s="11"/>
      <c r="O149" s="12"/>
      <c r="P149" s="10"/>
      <c r="Q149" s="11"/>
      <c r="R149" s="11"/>
      <c r="S149" s="12"/>
      <c r="T149" s="11"/>
      <c r="U149" s="11"/>
      <c r="V149" s="11"/>
      <c r="W149" s="12"/>
      <c r="X149" s="11"/>
      <c r="Y149" s="11"/>
      <c r="Z149" s="11"/>
      <c r="AA149" s="12"/>
      <c r="AB149" s="11"/>
      <c r="AC149" s="11"/>
      <c r="AD149" s="11"/>
      <c r="AE149" s="12"/>
      <c r="AF149" s="11"/>
      <c r="AG149" s="11"/>
      <c r="AH149" s="11"/>
      <c r="AI149" s="12"/>
      <c r="AJ149" s="11"/>
      <c r="AK149" s="11"/>
      <c r="AL149" s="11"/>
      <c r="AM149" s="12"/>
      <c r="AN149" s="11"/>
      <c r="AO149" s="11"/>
      <c r="AP149" s="11"/>
      <c r="AQ149" s="12"/>
      <c r="AR149" s="11"/>
      <c r="AS149" s="11"/>
      <c r="AT149" s="11"/>
      <c r="AU149" s="12"/>
      <c r="AV149" s="11"/>
      <c r="AW149" s="11"/>
      <c r="AX149" s="11"/>
      <c r="AY149" s="12"/>
      <c r="AZ149" s="11"/>
      <c r="BA149" s="11"/>
      <c r="BB149" s="11"/>
      <c r="BC149" s="12"/>
      <c r="BD149" s="11"/>
      <c r="BE149" s="11"/>
      <c r="BF149" s="11"/>
      <c r="BG149" s="12"/>
      <c r="BH149" s="11"/>
      <c r="BI149" s="11"/>
      <c r="BJ149" s="11"/>
      <c r="BK149" s="12"/>
      <c r="BL149" s="11"/>
      <c r="BM149" s="11"/>
      <c r="BN149" s="11"/>
      <c r="BO149" s="12"/>
      <c r="BP149" s="11"/>
      <c r="BQ149" s="11"/>
      <c r="BR149" s="11"/>
      <c r="BS149" s="12"/>
      <c r="BT149" s="11"/>
      <c r="BU149" s="11"/>
      <c r="BV149" s="11"/>
      <c r="BW149" s="12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</row>
    <row r="150" spans="1:90" x14ac:dyDescent="0.25">
      <c r="A150" s="77"/>
      <c r="B150" s="78"/>
      <c r="C150" s="78"/>
      <c r="D150" s="78"/>
      <c r="E150" s="78"/>
      <c r="F150" s="78"/>
      <c r="G150" s="78"/>
      <c r="H150" s="79"/>
      <c r="I150" s="79"/>
      <c r="J150" s="79"/>
      <c r="K150" s="79"/>
      <c r="L150" s="79"/>
      <c r="M150" s="79"/>
      <c r="N150" s="79"/>
      <c r="O150" s="79"/>
      <c r="P150" s="77"/>
      <c r="Q150" s="79"/>
      <c r="R150" s="79"/>
      <c r="S150" s="79"/>
      <c r="T150" s="79"/>
      <c r="U150" s="79"/>
      <c r="V150" s="79"/>
      <c r="W150" s="77"/>
      <c r="X150" s="79"/>
      <c r="Y150" s="79"/>
      <c r="Z150" s="79"/>
      <c r="AA150" s="79"/>
      <c r="AB150" s="79"/>
      <c r="AC150" s="79"/>
      <c r="AD150" s="79"/>
      <c r="AE150" s="79"/>
      <c r="AF150" s="79"/>
      <c r="AG150" s="79"/>
      <c r="AH150" s="79"/>
      <c r="AI150" s="79"/>
      <c r="AJ150" s="79"/>
      <c r="AK150" s="79"/>
      <c r="AL150" s="79"/>
      <c r="AM150" s="79"/>
      <c r="AN150" s="79"/>
      <c r="AO150" s="79"/>
      <c r="AP150" s="79"/>
      <c r="AQ150" s="79"/>
      <c r="AR150" s="79"/>
      <c r="AS150" s="79"/>
      <c r="AT150" s="79"/>
      <c r="AU150" s="79"/>
      <c r="AV150" s="79"/>
      <c r="AW150" s="79"/>
      <c r="AX150" s="79"/>
      <c r="AY150" s="79"/>
      <c r="AZ150" s="79"/>
      <c r="BA150" s="79"/>
      <c r="BB150" s="79"/>
      <c r="BC150" s="79"/>
      <c r="BD150" s="79"/>
      <c r="BE150" s="79"/>
      <c r="BF150" s="79"/>
      <c r="BG150" s="79"/>
      <c r="BH150" s="79"/>
      <c r="BI150" s="79"/>
      <c r="BJ150" s="79"/>
      <c r="BK150" s="79"/>
      <c r="BL150" s="79"/>
      <c r="BM150" s="79"/>
      <c r="BN150" s="79"/>
      <c r="BO150" s="79"/>
      <c r="BP150" s="79"/>
      <c r="BQ150" s="79"/>
      <c r="BR150" s="79"/>
      <c r="BS150" s="79"/>
      <c r="BT150" s="79"/>
      <c r="BU150" s="79"/>
      <c r="BV150" s="79"/>
      <c r="BW150" s="79"/>
      <c r="BX150" s="79"/>
      <c r="BY150" s="79"/>
      <c r="BZ150" s="79"/>
      <c r="CA150" s="79"/>
      <c r="CB150" s="79"/>
      <c r="CC150" s="79"/>
      <c r="CD150" s="79"/>
      <c r="CE150" s="79"/>
      <c r="CF150" s="79"/>
      <c r="CG150" s="79"/>
      <c r="CH150" s="79"/>
      <c r="CI150" s="79"/>
      <c r="CJ150" s="79"/>
      <c r="CK150" s="79"/>
      <c r="CL150" s="79"/>
    </row>
    <row r="151" spans="1:90" x14ac:dyDescent="0.25">
      <c r="C151" s="3"/>
      <c r="F151" s="20"/>
      <c r="G151" s="20"/>
    </row>
    <row r="152" spans="1:90" x14ac:dyDescent="0.25">
      <c r="F152" s="20"/>
      <c r="G152" s="20"/>
    </row>
    <row r="153" spans="1:90" x14ac:dyDescent="0.25">
      <c r="F153" s="20"/>
      <c r="G153" s="20"/>
    </row>
    <row r="154" spans="1:90" x14ac:dyDescent="0.25">
      <c r="F154" s="20"/>
      <c r="G154" s="20"/>
    </row>
    <row r="155" spans="1:90" x14ac:dyDescent="0.25">
      <c r="F155" s="20"/>
      <c r="G155" s="20"/>
    </row>
    <row r="156" spans="1:90" x14ac:dyDescent="0.25">
      <c r="F156" s="20"/>
      <c r="G156" s="20"/>
    </row>
    <row r="157" spans="1:90" x14ac:dyDescent="0.25">
      <c r="F157" s="20"/>
      <c r="G157" s="20"/>
    </row>
    <row r="158" spans="1:90" x14ac:dyDescent="0.25">
      <c r="F158" s="20"/>
      <c r="G158" s="20"/>
    </row>
    <row r="159" spans="1:90" x14ac:dyDescent="0.25">
      <c r="F159" s="20"/>
      <c r="G159" s="20"/>
    </row>
    <row r="160" spans="1:90" x14ac:dyDescent="0.25">
      <c r="F160" s="20"/>
      <c r="G160" s="20"/>
    </row>
    <row r="161" spans="6:7" x14ac:dyDescent="0.25">
      <c r="F161" s="20"/>
      <c r="G161" s="20"/>
    </row>
    <row r="162" spans="6:7" x14ac:dyDescent="0.25">
      <c r="F162" s="20"/>
      <c r="G162" s="20"/>
    </row>
    <row r="163" spans="6:7" x14ac:dyDescent="0.25">
      <c r="F163" s="20"/>
      <c r="G163" s="20"/>
    </row>
    <row r="164" spans="6:7" x14ac:dyDescent="0.25">
      <c r="F164" s="20"/>
      <c r="G164" s="20"/>
    </row>
    <row r="165" spans="6:7" x14ac:dyDescent="0.25">
      <c r="F165" s="20"/>
      <c r="G165" s="20"/>
    </row>
    <row r="166" spans="6:7" x14ac:dyDescent="0.25">
      <c r="F166" s="20"/>
      <c r="G166" s="20"/>
    </row>
    <row r="167" spans="6:7" x14ac:dyDescent="0.25">
      <c r="F167" s="20"/>
      <c r="G167" s="20"/>
    </row>
    <row r="168" spans="6:7" x14ac:dyDescent="0.25">
      <c r="F168" s="20"/>
      <c r="G168" s="20"/>
    </row>
    <row r="169" spans="6:7" x14ac:dyDescent="0.25">
      <c r="F169" s="20"/>
      <c r="G169" s="20"/>
    </row>
    <row r="170" spans="6:7" x14ac:dyDescent="0.25">
      <c r="F170" s="20"/>
      <c r="G170" s="20"/>
    </row>
    <row r="171" spans="6:7" x14ac:dyDescent="0.25">
      <c r="F171" s="20"/>
      <c r="G171" s="20"/>
    </row>
    <row r="172" spans="6:7" x14ac:dyDescent="0.25">
      <c r="F172" s="20"/>
      <c r="G172" s="20"/>
    </row>
    <row r="173" spans="6:7" x14ac:dyDescent="0.25">
      <c r="F173" s="20"/>
      <c r="G173" s="20"/>
    </row>
    <row r="174" spans="6:7" x14ac:dyDescent="0.25">
      <c r="F174" s="20"/>
      <c r="G174" s="20"/>
    </row>
    <row r="175" spans="6:7" x14ac:dyDescent="0.25">
      <c r="F175" s="20"/>
      <c r="G175" s="20"/>
    </row>
    <row r="176" spans="6:7" x14ac:dyDescent="0.25">
      <c r="F176" s="20"/>
      <c r="G176" s="20"/>
    </row>
    <row r="177" spans="6:7" x14ac:dyDescent="0.25">
      <c r="F177" s="20"/>
      <c r="G177" s="20"/>
    </row>
    <row r="178" spans="6:7" x14ac:dyDescent="0.25">
      <c r="F178" s="20"/>
      <c r="G178" s="20"/>
    </row>
    <row r="179" spans="6:7" x14ac:dyDescent="0.25">
      <c r="F179" s="20"/>
      <c r="G179" s="20"/>
    </row>
    <row r="180" spans="6:7" x14ac:dyDescent="0.25">
      <c r="F180" s="20"/>
      <c r="G180" s="20"/>
    </row>
    <row r="181" spans="6:7" x14ac:dyDescent="0.25">
      <c r="F181" s="20"/>
      <c r="G181" s="20"/>
    </row>
    <row r="182" spans="6:7" x14ac:dyDescent="0.25">
      <c r="F182" s="20"/>
      <c r="G182" s="20"/>
    </row>
    <row r="183" spans="6:7" x14ac:dyDescent="0.25">
      <c r="F183" s="20"/>
      <c r="G183" s="20"/>
    </row>
    <row r="184" spans="6:7" x14ac:dyDescent="0.25">
      <c r="F184" s="20"/>
      <c r="G184" s="20"/>
    </row>
    <row r="185" spans="6:7" x14ac:dyDescent="0.25">
      <c r="F185" s="20"/>
      <c r="G185" s="20"/>
    </row>
    <row r="186" spans="6:7" x14ac:dyDescent="0.25">
      <c r="F186" s="20"/>
      <c r="G186" s="20"/>
    </row>
    <row r="187" spans="6:7" x14ac:dyDescent="0.25">
      <c r="F187" s="20"/>
      <c r="G187" s="20"/>
    </row>
    <row r="188" spans="6:7" x14ac:dyDescent="0.25">
      <c r="F188" s="20"/>
      <c r="G188" s="20"/>
    </row>
    <row r="189" spans="6:7" x14ac:dyDescent="0.25">
      <c r="F189" s="20"/>
      <c r="G189" s="20"/>
    </row>
    <row r="190" spans="6:7" x14ac:dyDescent="0.25">
      <c r="F190" s="20"/>
      <c r="G190" s="20"/>
    </row>
    <row r="191" spans="6:7" x14ac:dyDescent="0.25">
      <c r="F191" s="20"/>
      <c r="G191" s="20"/>
    </row>
    <row r="192" spans="6:7" x14ac:dyDescent="0.25">
      <c r="F192" s="20"/>
      <c r="G192" s="20"/>
    </row>
    <row r="193" spans="6:7" x14ac:dyDescent="0.25">
      <c r="F193" s="20"/>
      <c r="G193" s="20"/>
    </row>
    <row r="194" spans="6:7" x14ac:dyDescent="0.25">
      <c r="F194" s="20"/>
      <c r="G194" s="20"/>
    </row>
    <row r="195" spans="6:7" x14ac:dyDescent="0.25">
      <c r="F195" s="20"/>
      <c r="G195" s="20"/>
    </row>
    <row r="196" spans="6:7" x14ac:dyDescent="0.25">
      <c r="F196" s="20"/>
      <c r="G196" s="20"/>
    </row>
    <row r="197" spans="6:7" x14ac:dyDescent="0.25">
      <c r="F197" s="20"/>
      <c r="G197" s="20"/>
    </row>
    <row r="198" spans="6:7" x14ac:dyDescent="0.25">
      <c r="F198" s="20"/>
      <c r="G198" s="20"/>
    </row>
    <row r="199" spans="6:7" x14ac:dyDescent="0.25">
      <c r="F199" s="20"/>
      <c r="G199" s="20"/>
    </row>
    <row r="200" spans="6:7" x14ac:dyDescent="0.25">
      <c r="F200" s="20"/>
      <c r="G200" s="20"/>
    </row>
    <row r="201" spans="6:7" x14ac:dyDescent="0.25">
      <c r="F201" s="20"/>
      <c r="G201" s="20"/>
    </row>
    <row r="202" spans="6:7" x14ac:dyDescent="0.25">
      <c r="F202" s="20"/>
      <c r="G202" s="20"/>
    </row>
    <row r="203" spans="6:7" x14ac:dyDescent="0.25">
      <c r="F203" s="20"/>
      <c r="G203" s="20"/>
    </row>
    <row r="204" spans="6:7" x14ac:dyDescent="0.25">
      <c r="F204" s="20"/>
      <c r="G204" s="20"/>
    </row>
    <row r="205" spans="6:7" x14ac:dyDescent="0.25">
      <c r="F205" s="20"/>
      <c r="G205" s="20"/>
    </row>
    <row r="206" spans="6:7" x14ac:dyDescent="0.25">
      <c r="F206" s="20"/>
      <c r="G206" s="20"/>
    </row>
    <row r="207" spans="6:7" x14ac:dyDescent="0.25">
      <c r="F207" s="20"/>
      <c r="G207" s="20"/>
    </row>
    <row r="208" spans="6:7" x14ac:dyDescent="0.25">
      <c r="F208" s="20"/>
      <c r="G208" s="20"/>
    </row>
    <row r="209" spans="6:7" x14ac:dyDescent="0.25">
      <c r="F209" s="20"/>
      <c r="G209" s="20"/>
    </row>
    <row r="210" spans="6:7" x14ac:dyDescent="0.25">
      <c r="F210" s="20"/>
      <c r="G210" s="20"/>
    </row>
    <row r="211" spans="6:7" x14ac:dyDescent="0.25">
      <c r="F211" s="20"/>
      <c r="G211" s="20"/>
    </row>
    <row r="212" spans="6:7" x14ac:dyDescent="0.25">
      <c r="F212" s="20"/>
      <c r="G212" s="20"/>
    </row>
    <row r="213" spans="6:7" x14ac:dyDescent="0.25">
      <c r="F213" s="20"/>
      <c r="G213" s="20"/>
    </row>
    <row r="214" spans="6:7" x14ac:dyDescent="0.25">
      <c r="F214" s="20"/>
      <c r="G214" s="20"/>
    </row>
    <row r="215" spans="6:7" x14ac:dyDescent="0.25">
      <c r="F215" s="20"/>
      <c r="G215" s="20"/>
    </row>
    <row r="216" spans="6:7" x14ac:dyDescent="0.25">
      <c r="F216" s="20"/>
      <c r="G216" s="20"/>
    </row>
    <row r="217" spans="6:7" x14ac:dyDescent="0.25">
      <c r="F217" s="20"/>
      <c r="G217" s="20"/>
    </row>
    <row r="218" spans="6:7" x14ac:dyDescent="0.25">
      <c r="F218" s="20"/>
      <c r="G218" s="20"/>
    </row>
    <row r="219" spans="6:7" x14ac:dyDescent="0.25">
      <c r="F219" s="20"/>
      <c r="G219" s="20"/>
    </row>
    <row r="220" spans="6:7" x14ac:dyDescent="0.25">
      <c r="F220" s="20"/>
      <c r="G220" s="20"/>
    </row>
    <row r="221" spans="6:7" x14ac:dyDescent="0.25">
      <c r="F221" s="20"/>
      <c r="G221" s="20"/>
    </row>
    <row r="222" spans="6:7" x14ac:dyDescent="0.25">
      <c r="F222" s="20"/>
      <c r="G222" s="20"/>
    </row>
    <row r="223" spans="6:7" x14ac:dyDescent="0.25">
      <c r="F223" s="20"/>
      <c r="G223" s="20"/>
    </row>
    <row r="224" spans="6:7" x14ac:dyDescent="0.25">
      <c r="F224" s="20"/>
      <c r="G224" s="20"/>
    </row>
    <row r="225" spans="6:7" x14ac:dyDescent="0.25">
      <c r="F225" s="20"/>
      <c r="G225" s="20"/>
    </row>
    <row r="226" spans="6:7" x14ac:dyDescent="0.25">
      <c r="F226" s="20"/>
      <c r="G226" s="20"/>
    </row>
    <row r="227" spans="6:7" x14ac:dyDescent="0.25">
      <c r="F227" s="20"/>
      <c r="G227" s="20"/>
    </row>
    <row r="228" spans="6:7" x14ac:dyDescent="0.25">
      <c r="F228" s="20"/>
      <c r="G228" s="20"/>
    </row>
    <row r="229" spans="6:7" x14ac:dyDescent="0.25">
      <c r="F229" s="20"/>
      <c r="G229" s="20"/>
    </row>
    <row r="230" spans="6:7" x14ac:dyDescent="0.25">
      <c r="F230" s="20"/>
      <c r="G230" s="20"/>
    </row>
    <row r="231" spans="6:7" x14ac:dyDescent="0.25">
      <c r="F231" s="20"/>
      <c r="G231" s="20"/>
    </row>
    <row r="232" spans="6:7" x14ac:dyDescent="0.25">
      <c r="F232" s="20"/>
      <c r="G232" s="20"/>
    </row>
    <row r="233" spans="6:7" x14ac:dyDescent="0.25">
      <c r="F233" s="20"/>
      <c r="G233" s="20"/>
    </row>
    <row r="234" spans="6:7" x14ac:dyDescent="0.25">
      <c r="F234" s="20"/>
      <c r="G234" s="20"/>
    </row>
    <row r="235" spans="6:7" x14ac:dyDescent="0.25">
      <c r="F235" s="20"/>
      <c r="G235" s="20"/>
    </row>
    <row r="236" spans="6:7" x14ac:dyDescent="0.25">
      <c r="F236" s="20"/>
      <c r="G236" s="20"/>
    </row>
    <row r="237" spans="6:7" x14ac:dyDescent="0.25">
      <c r="F237" s="20"/>
      <c r="G237" s="20"/>
    </row>
    <row r="238" spans="6:7" x14ac:dyDescent="0.25">
      <c r="F238" s="20"/>
      <c r="G238" s="20"/>
    </row>
    <row r="239" spans="6:7" x14ac:dyDescent="0.25">
      <c r="F239" s="20"/>
      <c r="G239" s="20"/>
    </row>
    <row r="240" spans="6:7" x14ac:dyDescent="0.25">
      <c r="F240" s="20"/>
      <c r="G240" s="20"/>
    </row>
    <row r="241" spans="6:7" x14ac:dyDescent="0.25">
      <c r="F241" s="20"/>
      <c r="G241" s="20"/>
    </row>
    <row r="242" spans="6:7" x14ac:dyDescent="0.25">
      <c r="F242" s="20"/>
      <c r="G242" s="20"/>
    </row>
    <row r="243" spans="6:7" x14ac:dyDescent="0.25">
      <c r="F243" s="20"/>
      <c r="G243" s="20"/>
    </row>
    <row r="244" spans="6:7" x14ac:dyDescent="0.25">
      <c r="F244" s="20"/>
      <c r="G244" s="20"/>
    </row>
    <row r="245" spans="6:7" x14ac:dyDescent="0.25">
      <c r="F245" s="20"/>
      <c r="G245" s="20"/>
    </row>
    <row r="246" spans="6:7" x14ac:dyDescent="0.25">
      <c r="F246" s="20"/>
      <c r="G246" s="20"/>
    </row>
    <row r="247" spans="6:7" x14ac:dyDescent="0.25">
      <c r="F247" s="20"/>
      <c r="G247" s="20"/>
    </row>
    <row r="248" spans="6:7" x14ac:dyDescent="0.25">
      <c r="F248" s="20"/>
      <c r="G248" s="20"/>
    </row>
    <row r="249" spans="6:7" x14ac:dyDescent="0.25">
      <c r="F249" s="20"/>
      <c r="G249" s="20"/>
    </row>
    <row r="250" spans="6:7" x14ac:dyDescent="0.25">
      <c r="F250" s="20"/>
      <c r="G250" s="20"/>
    </row>
    <row r="251" spans="6:7" x14ac:dyDescent="0.25">
      <c r="F251" s="20"/>
      <c r="G251" s="20"/>
    </row>
    <row r="252" spans="6:7" x14ac:dyDescent="0.25">
      <c r="F252" s="20"/>
      <c r="G252" s="20"/>
    </row>
    <row r="253" spans="6:7" x14ac:dyDescent="0.25">
      <c r="F253" s="20"/>
      <c r="G253" s="20"/>
    </row>
    <row r="254" spans="6:7" x14ac:dyDescent="0.25">
      <c r="F254" s="20"/>
      <c r="G254" s="20"/>
    </row>
    <row r="255" spans="6:7" x14ac:dyDescent="0.25">
      <c r="F255" s="20"/>
      <c r="G255" s="20"/>
    </row>
    <row r="256" spans="6:7" x14ac:dyDescent="0.25">
      <c r="F256" s="20"/>
      <c r="G256" s="20"/>
    </row>
    <row r="257" spans="6:7" x14ac:dyDescent="0.25">
      <c r="F257" s="20"/>
      <c r="G257" s="20"/>
    </row>
    <row r="258" spans="6:7" x14ac:dyDescent="0.25">
      <c r="F258" s="20"/>
      <c r="G258" s="20"/>
    </row>
    <row r="259" spans="6:7" x14ac:dyDescent="0.25">
      <c r="F259" s="20"/>
      <c r="G259" s="20"/>
    </row>
    <row r="260" spans="6:7" x14ac:dyDescent="0.25">
      <c r="F260" s="20"/>
      <c r="G260" s="20"/>
    </row>
    <row r="261" spans="6:7" x14ac:dyDescent="0.25">
      <c r="F261" s="20"/>
      <c r="G261" s="20"/>
    </row>
    <row r="262" spans="6:7" x14ac:dyDescent="0.25">
      <c r="F262" s="20"/>
      <c r="G262" s="20"/>
    </row>
    <row r="263" spans="6:7" x14ac:dyDescent="0.25">
      <c r="F263" s="20"/>
      <c r="G263" s="20"/>
    </row>
    <row r="264" spans="6:7" x14ac:dyDescent="0.25">
      <c r="F264" s="20"/>
      <c r="G264" s="20"/>
    </row>
    <row r="265" spans="6:7" x14ac:dyDescent="0.25">
      <c r="F265" s="20"/>
      <c r="G265" s="20"/>
    </row>
    <row r="266" spans="6:7" x14ac:dyDescent="0.25">
      <c r="F266" s="20"/>
      <c r="G266" s="20"/>
    </row>
    <row r="267" spans="6:7" x14ac:dyDescent="0.25">
      <c r="F267" s="20"/>
      <c r="G267" s="20"/>
    </row>
    <row r="268" spans="6:7" x14ac:dyDescent="0.25">
      <c r="F268" s="20"/>
      <c r="G268" s="20"/>
    </row>
    <row r="269" spans="6:7" x14ac:dyDescent="0.25">
      <c r="F269" s="20"/>
      <c r="G269" s="20"/>
    </row>
    <row r="270" spans="6:7" x14ac:dyDescent="0.25">
      <c r="F270" s="20"/>
      <c r="G270" s="20"/>
    </row>
    <row r="271" spans="6:7" x14ac:dyDescent="0.25">
      <c r="F271" s="20"/>
      <c r="G271" s="20"/>
    </row>
    <row r="272" spans="6:7" x14ac:dyDescent="0.25">
      <c r="F272" s="20"/>
      <c r="G272" s="20"/>
    </row>
    <row r="273" spans="6:7" x14ac:dyDescent="0.25">
      <c r="F273" s="20"/>
      <c r="G273" s="20"/>
    </row>
    <row r="274" spans="6:7" x14ac:dyDescent="0.25">
      <c r="F274" s="20"/>
      <c r="G274" s="20"/>
    </row>
    <row r="275" spans="6:7" x14ac:dyDescent="0.25">
      <c r="F275" s="20"/>
      <c r="G275" s="20"/>
    </row>
    <row r="276" spans="6:7" x14ac:dyDescent="0.25">
      <c r="F276" s="20"/>
      <c r="G276" s="20"/>
    </row>
    <row r="277" spans="6:7" x14ac:dyDescent="0.25">
      <c r="F277" s="20"/>
      <c r="G277" s="20"/>
    </row>
    <row r="278" spans="6:7" x14ac:dyDescent="0.25">
      <c r="F278" s="20"/>
      <c r="G278" s="20"/>
    </row>
    <row r="279" spans="6:7" x14ac:dyDescent="0.25">
      <c r="F279" s="20"/>
      <c r="G279" s="20"/>
    </row>
    <row r="280" spans="6:7" x14ac:dyDescent="0.25">
      <c r="F280" s="20"/>
      <c r="G280" s="20"/>
    </row>
    <row r="281" spans="6:7" x14ac:dyDescent="0.25">
      <c r="F281" s="20"/>
      <c r="G281" s="20"/>
    </row>
    <row r="282" spans="6:7" x14ac:dyDescent="0.25">
      <c r="F282" s="20"/>
      <c r="G282" s="20"/>
    </row>
    <row r="283" spans="6:7" x14ac:dyDescent="0.25">
      <c r="F283" s="20"/>
      <c r="G283" s="20"/>
    </row>
    <row r="284" spans="6:7" x14ac:dyDescent="0.25">
      <c r="F284" s="20"/>
      <c r="G284" s="20"/>
    </row>
    <row r="285" spans="6:7" x14ac:dyDescent="0.25">
      <c r="F285" s="20"/>
      <c r="G285" s="20"/>
    </row>
    <row r="286" spans="6:7" x14ac:dyDescent="0.25">
      <c r="F286" s="20"/>
      <c r="G286" s="20"/>
    </row>
    <row r="287" spans="6:7" x14ac:dyDescent="0.25">
      <c r="F287" s="20"/>
      <c r="G287" s="20"/>
    </row>
    <row r="288" spans="6:7" x14ac:dyDescent="0.25">
      <c r="F288" s="20"/>
      <c r="G288" s="20"/>
    </row>
    <row r="289" spans="6:7" x14ac:dyDescent="0.25">
      <c r="F289" s="20"/>
      <c r="G289" s="20"/>
    </row>
    <row r="290" spans="6:7" x14ac:dyDescent="0.25">
      <c r="F290" s="20"/>
      <c r="G290" s="20"/>
    </row>
    <row r="291" spans="6:7" x14ac:dyDescent="0.25">
      <c r="F291" s="20"/>
      <c r="G291" s="20"/>
    </row>
    <row r="292" spans="6:7" x14ac:dyDescent="0.25">
      <c r="F292" s="20"/>
      <c r="G292" s="20"/>
    </row>
    <row r="293" spans="6:7" x14ac:dyDescent="0.25">
      <c r="F293" s="20"/>
      <c r="G293" s="20"/>
    </row>
    <row r="294" spans="6:7" x14ac:dyDescent="0.25">
      <c r="F294" s="20"/>
      <c r="G294" s="20"/>
    </row>
    <row r="295" spans="6:7" x14ac:dyDescent="0.25">
      <c r="F295" s="20"/>
      <c r="G295" s="20"/>
    </row>
    <row r="296" spans="6:7" x14ac:dyDescent="0.25">
      <c r="F296" s="20"/>
      <c r="G296" s="20"/>
    </row>
    <row r="297" spans="6:7" x14ac:dyDescent="0.25">
      <c r="F297" s="20"/>
      <c r="G297" s="20"/>
    </row>
    <row r="298" spans="6:7" x14ac:dyDescent="0.25">
      <c r="F298" s="20"/>
      <c r="G298" s="20"/>
    </row>
    <row r="299" spans="6:7" x14ac:dyDescent="0.25">
      <c r="F299" s="20"/>
      <c r="G299" s="20"/>
    </row>
    <row r="300" spans="6:7" x14ac:dyDescent="0.25">
      <c r="F300" s="20"/>
      <c r="G300" s="20"/>
    </row>
    <row r="301" spans="6:7" x14ac:dyDescent="0.25">
      <c r="F301" s="20"/>
      <c r="G301" s="20"/>
    </row>
    <row r="302" spans="6:7" x14ac:dyDescent="0.25">
      <c r="F302" s="20"/>
      <c r="G302" s="20"/>
    </row>
    <row r="303" spans="6:7" x14ac:dyDescent="0.25">
      <c r="F303" s="20"/>
      <c r="G303" s="20"/>
    </row>
    <row r="304" spans="6:7" x14ac:dyDescent="0.25">
      <c r="F304" s="20"/>
      <c r="G304" s="20"/>
    </row>
    <row r="305" spans="6:7" x14ac:dyDescent="0.25">
      <c r="F305" s="20"/>
      <c r="G305" s="20"/>
    </row>
    <row r="306" spans="6:7" x14ac:dyDescent="0.25">
      <c r="F306" s="20"/>
      <c r="G306" s="20"/>
    </row>
    <row r="307" spans="6:7" x14ac:dyDescent="0.25">
      <c r="F307" s="20"/>
      <c r="G307" s="20"/>
    </row>
    <row r="308" spans="6:7" x14ac:dyDescent="0.25">
      <c r="F308" s="20"/>
      <c r="G308" s="20"/>
    </row>
    <row r="309" spans="6:7" x14ac:dyDescent="0.25">
      <c r="F309" s="20"/>
      <c r="G309" s="20"/>
    </row>
    <row r="310" spans="6:7" x14ac:dyDescent="0.25">
      <c r="F310" s="20"/>
      <c r="G310" s="20"/>
    </row>
    <row r="311" spans="6:7" x14ac:dyDescent="0.25">
      <c r="F311" s="20"/>
      <c r="G311" s="20"/>
    </row>
    <row r="312" spans="6:7" x14ac:dyDescent="0.25">
      <c r="F312" s="20"/>
      <c r="G312" s="20"/>
    </row>
    <row r="313" spans="6:7" x14ac:dyDescent="0.25">
      <c r="F313" s="20"/>
      <c r="G313" s="20"/>
    </row>
    <row r="314" spans="6:7" x14ac:dyDescent="0.25">
      <c r="F314" s="20"/>
      <c r="G314" s="20"/>
    </row>
    <row r="315" spans="6:7" x14ac:dyDescent="0.25">
      <c r="F315" s="20"/>
      <c r="G315" s="20"/>
    </row>
    <row r="316" spans="6:7" x14ac:dyDescent="0.25">
      <c r="F316" s="20"/>
      <c r="G316" s="20"/>
    </row>
    <row r="317" spans="6:7" x14ac:dyDescent="0.25">
      <c r="F317" s="20"/>
      <c r="G317" s="20"/>
    </row>
    <row r="318" spans="6:7" x14ac:dyDescent="0.25">
      <c r="F318" s="20"/>
      <c r="G318" s="20"/>
    </row>
    <row r="319" spans="6:7" x14ac:dyDescent="0.25">
      <c r="F319" s="20"/>
      <c r="G319" s="20"/>
    </row>
    <row r="320" spans="6:7" x14ac:dyDescent="0.25">
      <c r="F320" s="20"/>
      <c r="G320" s="20"/>
    </row>
    <row r="321" spans="6:7" x14ac:dyDescent="0.25">
      <c r="F321" s="20"/>
      <c r="G321" s="20"/>
    </row>
    <row r="322" spans="6:7" x14ac:dyDescent="0.25">
      <c r="F322" s="20"/>
      <c r="G322" s="20"/>
    </row>
    <row r="323" spans="6:7" x14ac:dyDescent="0.25">
      <c r="F323" s="20"/>
      <c r="G323" s="20"/>
    </row>
    <row r="324" spans="6:7" x14ac:dyDescent="0.25">
      <c r="F324" s="20"/>
      <c r="G324" s="20"/>
    </row>
    <row r="325" spans="6:7" x14ac:dyDescent="0.25">
      <c r="F325" s="20"/>
      <c r="G325" s="20"/>
    </row>
    <row r="326" spans="6:7" x14ac:dyDescent="0.25">
      <c r="F326" s="20"/>
      <c r="G326" s="20"/>
    </row>
    <row r="327" spans="6:7" x14ac:dyDescent="0.25">
      <c r="F327" s="20"/>
      <c r="G327" s="20"/>
    </row>
    <row r="328" spans="6:7" x14ac:dyDescent="0.25">
      <c r="F328" s="20"/>
      <c r="G328" s="20"/>
    </row>
    <row r="329" spans="6:7" x14ac:dyDescent="0.25">
      <c r="F329" s="20"/>
      <c r="G329" s="20"/>
    </row>
    <row r="330" spans="6:7" x14ac:dyDescent="0.25">
      <c r="F330" s="20"/>
      <c r="G330" s="20"/>
    </row>
    <row r="331" spans="6:7" x14ac:dyDescent="0.25">
      <c r="F331" s="20"/>
      <c r="G331" s="20"/>
    </row>
    <row r="332" spans="6:7" x14ac:dyDescent="0.25">
      <c r="F332" s="20"/>
      <c r="G332" s="20"/>
    </row>
    <row r="333" spans="6:7" x14ac:dyDescent="0.25">
      <c r="F333" s="20"/>
      <c r="G333" s="20"/>
    </row>
    <row r="334" spans="6:7" x14ac:dyDescent="0.25">
      <c r="F334" s="20"/>
      <c r="G334" s="20"/>
    </row>
    <row r="335" spans="6:7" x14ac:dyDescent="0.25">
      <c r="F335" s="20"/>
      <c r="G335" s="20"/>
    </row>
    <row r="336" spans="6:7" x14ac:dyDescent="0.25">
      <c r="F336" s="20"/>
      <c r="G336" s="20"/>
    </row>
    <row r="337" spans="6:7" x14ac:dyDescent="0.25">
      <c r="F337" s="20"/>
      <c r="G337" s="20"/>
    </row>
    <row r="338" spans="6:7" x14ac:dyDescent="0.25">
      <c r="F338" s="20"/>
      <c r="G338" s="20"/>
    </row>
    <row r="339" spans="6:7" x14ac:dyDescent="0.25">
      <c r="F339" s="20"/>
      <c r="G339" s="20"/>
    </row>
    <row r="340" spans="6:7" x14ac:dyDescent="0.25">
      <c r="F340" s="20"/>
      <c r="G340" s="20"/>
    </row>
    <row r="341" spans="6:7" x14ac:dyDescent="0.25">
      <c r="F341" s="20"/>
      <c r="G341" s="20"/>
    </row>
    <row r="342" spans="6:7" x14ac:dyDescent="0.25">
      <c r="F342" s="20"/>
      <c r="G342" s="20"/>
    </row>
    <row r="343" spans="6:7" x14ac:dyDescent="0.25">
      <c r="F343" s="20"/>
      <c r="G343" s="20"/>
    </row>
    <row r="344" spans="6:7" x14ac:dyDescent="0.25">
      <c r="F344" s="20"/>
      <c r="G344" s="20"/>
    </row>
    <row r="345" spans="6:7" x14ac:dyDescent="0.25">
      <c r="F345" s="20"/>
      <c r="G345" s="20"/>
    </row>
    <row r="346" spans="6:7" x14ac:dyDescent="0.25">
      <c r="F346" s="20"/>
      <c r="G346" s="20"/>
    </row>
    <row r="347" spans="6:7" x14ac:dyDescent="0.25">
      <c r="F347" s="20"/>
      <c r="G347" s="20"/>
    </row>
    <row r="348" spans="6:7" x14ac:dyDescent="0.25">
      <c r="F348" s="20"/>
      <c r="G348" s="20"/>
    </row>
    <row r="349" spans="6:7" x14ac:dyDescent="0.25">
      <c r="F349" s="20"/>
      <c r="G349" s="20"/>
    </row>
    <row r="350" spans="6:7" x14ac:dyDescent="0.25">
      <c r="F350" s="20"/>
      <c r="G350" s="20"/>
    </row>
    <row r="351" spans="6:7" x14ac:dyDescent="0.25">
      <c r="F351" s="20"/>
      <c r="G351" s="20"/>
    </row>
    <row r="352" spans="6:7" x14ac:dyDescent="0.25">
      <c r="F352" s="20"/>
      <c r="G352" s="20"/>
    </row>
    <row r="353" spans="6:7" x14ac:dyDescent="0.25">
      <c r="F353" s="20"/>
      <c r="G353" s="20"/>
    </row>
    <row r="354" spans="6:7" x14ac:dyDescent="0.25">
      <c r="F354" s="20"/>
      <c r="G354" s="20"/>
    </row>
    <row r="355" spans="6:7" x14ac:dyDescent="0.25">
      <c r="F355" s="20"/>
      <c r="G355" s="20"/>
    </row>
    <row r="356" spans="6:7" x14ac:dyDescent="0.25">
      <c r="F356" s="20"/>
      <c r="G356" s="20"/>
    </row>
    <row r="357" spans="6:7" x14ac:dyDescent="0.25">
      <c r="F357" s="20"/>
      <c r="G357" s="20"/>
    </row>
    <row r="358" spans="6:7" x14ac:dyDescent="0.25">
      <c r="F358" s="20"/>
      <c r="G358" s="20"/>
    </row>
    <row r="359" spans="6:7" x14ac:dyDescent="0.25">
      <c r="F359" s="20"/>
      <c r="G359" s="20"/>
    </row>
    <row r="360" spans="6:7" x14ac:dyDescent="0.25">
      <c r="F360" s="20"/>
      <c r="G360" s="20"/>
    </row>
    <row r="361" spans="6:7" x14ac:dyDescent="0.25">
      <c r="F361" s="20"/>
      <c r="G361" s="20"/>
    </row>
    <row r="362" spans="6:7" x14ac:dyDescent="0.25">
      <c r="F362" s="20"/>
      <c r="G362" s="20"/>
    </row>
    <row r="363" spans="6:7" x14ac:dyDescent="0.25">
      <c r="F363" s="20"/>
      <c r="G363" s="20"/>
    </row>
    <row r="364" spans="6:7" x14ac:dyDescent="0.25">
      <c r="F364" s="20"/>
      <c r="G364" s="20"/>
    </row>
    <row r="365" spans="6:7" x14ac:dyDescent="0.25">
      <c r="F365" s="20"/>
      <c r="G365" s="20"/>
    </row>
    <row r="366" spans="6:7" x14ac:dyDescent="0.25">
      <c r="F366" s="20"/>
      <c r="G366" s="20"/>
    </row>
    <row r="367" spans="6:7" x14ac:dyDescent="0.25">
      <c r="F367" s="20"/>
      <c r="G367" s="20"/>
    </row>
    <row r="368" spans="6:7" x14ac:dyDescent="0.25">
      <c r="F368" s="20"/>
      <c r="G368" s="20"/>
    </row>
    <row r="369" spans="6:7" x14ac:dyDescent="0.25">
      <c r="F369" s="20"/>
      <c r="G369" s="20"/>
    </row>
    <row r="370" spans="6:7" x14ac:dyDescent="0.25">
      <c r="F370" s="20"/>
      <c r="G370" s="20"/>
    </row>
    <row r="371" spans="6:7" x14ac:dyDescent="0.25">
      <c r="F371" s="20"/>
      <c r="G371" s="20"/>
    </row>
    <row r="372" spans="6:7" x14ac:dyDescent="0.25">
      <c r="F372" s="20"/>
      <c r="G372" s="20"/>
    </row>
    <row r="373" spans="6:7" x14ac:dyDescent="0.25">
      <c r="F373" s="20"/>
      <c r="G373" s="20"/>
    </row>
    <row r="374" spans="6:7" x14ac:dyDescent="0.25">
      <c r="F374" s="20"/>
      <c r="G374" s="20"/>
    </row>
    <row r="375" spans="6:7" x14ac:dyDescent="0.25">
      <c r="F375" s="20"/>
      <c r="G375" s="20"/>
    </row>
    <row r="376" spans="6:7" x14ac:dyDescent="0.25">
      <c r="F376" s="20"/>
      <c r="G376" s="20"/>
    </row>
    <row r="377" spans="6:7" x14ac:dyDescent="0.25">
      <c r="F377" s="20"/>
      <c r="G377" s="20"/>
    </row>
    <row r="378" spans="6:7" x14ac:dyDescent="0.25">
      <c r="F378" s="20"/>
      <c r="G378" s="20"/>
    </row>
    <row r="379" spans="6:7" x14ac:dyDescent="0.25">
      <c r="F379" s="20"/>
      <c r="G379" s="20"/>
    </row>
    <row r="380" spans="6:7" x14ac:dyDescent="0.25">
      <c r="F380" s="20"/>
      <c r="G380" s="20"/>
    </row>
    <row r="381" spans="6:7" x14ac:dyDescent="0.25">
      <c r="F381" s="20"/>
      <c r="G381" s="20"/>
    </row>
    <row r="382" spans="6:7" x14ac:dyDescent="0.25">
      <c r="F382" s="20"/>
      <c r="G382" s="20"/>
    </row>
    <row r="383" spans="6:7" x14ac:dyDescent="0.25">
      <c r="F383" s="20"/>
      <c r="G383" s="20"/>
    </row>
    <row r="384" spans="6:7" x14ac:dyDescent="0.25">
      <c r="F384" s="20"/>
      <c r="G384" s="20"/>
    </row>
    <row r="385" spans="6:7" x14ac:dyDescent="0.25">
      <c r="F385" s="20"/>
      <c r="G385" s="20"/>
    </row>
    <row r="386" spans="6:7" x14ac:dyDescent="0.25">
      <c r="F386" s="20"/>
      <c r="G386" s="20"/>
    </row>
    <row r="387" spans="6:7" x14ac:dyDescent="0.25">
      <c r="F387" s="20"/>
      <c r="G387" s="20"/>
    </row>
    <row r="388" spans="6:7" x14ac:dyDescent="0.25">
      <c r="F388" s="20"/>
      <c r="G388" s="20"/>
    </row>
    <row r="389" spans="6:7" x14ac:dyDescent="0.25">
      <c r="F389" s="20"/>
      <c r="G389" s="20"/>
    </row>
    <row r="390" spans="6:7" x14ac:dyDescent="0.25">
      <c r="F390" s="20"/>
      <c r="G390" s="20"/>
    </row>
    <row r="391" spans="6:7" x14ac:dyDescent="0.25">
      <c r="F391" s="20"/>
      <c r="G391" s="20"/>
    </row>
    <row r="392" spans="6:7" x14ac:dyDescent="0.25">
      <c r="F392" s="20"/>
      <c r="G392" s="20"/>
    </row>
    <row r="393" spans="6:7" x14ac:dyDescent="0.25">
      <c r="F393" s="20"/>
      <c r="G393" s="20"/>
    </row>
    <row r="394" spans="6:7" x14ac:dyDescent="0.25">
      <c r="F394" s="20"/>
      <c r="G394" s="20"/>
    </row>
    <row r="395" spans="6:7" x14ac:dyDescent="0.25">
      <c r="F395" s="20"/>
      <c r="G395" s="20"/>
    </row>
    <row r="396" spans="6:7" x14ac:dyDescent="0.25">
      <c r="F396" s="20"/>
      <c r="G396" s="20"/>
    </row>
    <row r="397" spans="6:7" x14ac:dyDescent="0.25">
      <c r="F397" s="20"/>
      <c r="G397" s="20"/>
    </row>
    <row r="398" spans="6:7" x14ac:dyDescent="0.25">
      <c r="F398" s="20"/>
      <c r="G398" s="20"/>
    </row>
    <row r="399" spans="6:7" x14ac:dyDescent="0.25">
      <c r="F399" s="20"/>
      <c r="G399" s="20"/>
    </row>
    <row r="400" spans="6:7" x14ac:dyDescent="0.25">
      <c r="F400" s="20"/>
      <c r="G400" s="20"/>
    </row>
    <row r="401" spans="6:7" x14ac:dyDescent="0.25">
      <c r="F401" s="20"/>
      <c r="G401" s="20"/>
    </row>
    <row r="402" spans="6:7" x14ac:dyDescent="0.25">
      <c r="F402" s="20"/>
      <c r="G402" s="20"/>
    </row>
    <row r="403" spans="6:7" x14ac:dyDescent="0.25">
      <c r="F403" s="20"/>
      <c r="G403" s="20"/>
    </row>
    <row r="404" spans="6:7" x14ac:dyDescent="0.25">
      <c r="F404" s="20"/>
      <c r="G404" s="20"/>
    </row>
    <row r="405" spans="6:7" x14ac:dyDescent="0.25">
      <c r="F405" s="20"/>
      <c r="G405" s="20"/>
    </row>
    <row r="406" spans="6:7" x14ac:dyDescent="0.25">
      <c r="F406" s="20"/>
      <c r="G406" s="20"/>
    </row>
    <row r="407" spans="6:7" x14ac:dyDescent="0.25">
      <c r="F407" s="20"/>
      <c r="G407" s="20"/>
    </row>
    <row r="408" spans="6:7" x14ac:dyDescent="0.25">
      <c r="F408" s="20"/>
      <c r="G408" s="20"/>
    </row>
    <row r="409" spans="6:7" x14ac:dyDescent="0.25">
      <c r="F409" s="20"/>
      <c r="G409" s="20"/>
    </row>
    <row r="410" spans="6:7" x14ac:dyDescent="0.25">
      <c r="F410" s="20"/>
      <c r="G410" s="20"/>
    </row>
    <row r="411" spans="6:7" x14ac:dyDescent="0.25">
      <c r="F411" s="20"/>
      <c r="G411" s="20"/>
    </row>
    <row r="412" spans="6:7" x14ac:dyDescent="0.25">
      <c r="F412" s="20"/>
      <c r="G412" s="20"/>
    </row>
    <row r="413" spans="6:7" x14ac:dyDescent="0.25">
      <c r="F413" s="20"/>
      <c r="G413" s="20"/>
    </row>
    <row r="414" spans="6:7" x14ac:dyDescent="0.25">
      <c r="F414" s="20"/>
      <c r="G414" s="20"/>
    </row>
    <row r="415" spans="6:7" x14ac:dyDescent="0.25">
      <c r="F415" s="20"/>
      <c r="G415" s="20"/>
    </row>
    <row r="416" spans="6:7" x14ac:dyDescent="0.25">
      <c r="F416" s="20"/>
      <c r="G416" s="20"/>
    </row>
    <row r="417" spans="6:7" x14ac:dyDescent="0.25">
      <c r="F417" s="20"/>
      <c r="G417" s="20"/>
    </row>
    <row r="418" spans="6:7" x14ac:dyDescent="0.25">
      <c r="F418" s="20"/>
      <c r="G418" s="20"/>
    </row>
    <row r="419" spans="6:7" x14ac:dyDescent="0.25">
      <c r="F419" s="20"/>
      <c r="G419" s="20"/>
    </row>
    <row r="420" spans="6:7" x14ac:dyDescent="0.25">
      <c r="F420" s="20"/>
      <c r="G420" s="20"/>
    </row>
    <row r="421" spans="6:7" x14ac:dyDescent="0.25">
      <c r="F421" s="20"/>
      <c r="G421" s="20"/>
    </row>
    <row r="422" spans="6:7" x14ac:dyDescent="0.25">
      <c r="F422" s="20"/>
      <c r="G422" s="20"/>
    </row>
    <row r="423" spans="6:7" x14ac:dyDescent="0.25">
      <c r="F423" s="20"/>
      <c r="G423" s="20"/>
    </row>
    <row r="424" spans="6:7" x14ac:dyDescent="0.25">
      <c r="F424" s="20"/>
      <c r="G424" s="20"/>
    </row>
    <row r="425" spans="6:7" x14ac:dyDescent="0.25">
      <c r="F425" s="20"/>
      <c r="G425" s="20"/>
    </row>
    <row r="426" spans="6:7" x14ac:dyDescent="0.25">
      <c r="F426" s="20"/>
      <c r="G426" s="20"/>
    </row>
    <row r="427" spans="6:7" x14ac:dyDescent="0.25">
      <c r="F427" s="20"/>
      <c r="G427" s="20"/>
    </row>
    <row r="428" spans="6:7" x14ac:dyDescent="0.25">
      <c r="F428" s="20"/>
      <c r="G428" s="20"/>
    </row>
    <row r="429" spans="6:7" x14ac:dyDescent="0.25">
      <c r="F429" s="20"/>
      <c r="G429" s="20"/>
    </row>
    <row r="430" spans="6:7" x14ac:dyDescent="0.25">
      <c r="F430" s="20"/>
      <c r="G430" s="20"/>
    </row>
    <row r="431" spans="6:7" x14ac:dyDescent="0.25">
      <c r="F431" s="20"/>
      <c r="G431" s="20"/>
    </row>
    <row r="432" spans="6:7" x14ac:dyDescent="0.25">
      <c r="F432" s="20"/>
      <c r="G432" s="20"/>
    </row>
    <row r="433" spans="6:7" x14ac:dyDescent="0.25">
      <c r="F433" s="20"/>
      <c r="G433" s="20"/>
    </row>
    <row r="434" spans="6:7" x14ac:dyDescent="0.25">
      <c r="F434" s="20"/>
      <c r="G434" s="20"/>
    </row>
    <row r="435" spans="6:7" x14ac:dyDescent="0.25">
      <c r="F435" s="20"/>
      <c r="G435" s="20"/>
    </row>
    <row r="436" spans="6:7" x14ac:dyDescent="0.25">
      <c r="F436" s="20"/>
      <c r="G436" s="20"/>
    </row>
    <row r="437" spans="6:7" x14ac:dyDescent="0.25">
      <c r="F437" s="20"/>
      <c r="G437" s="20"/>
    </row>
    <row r="438" spans="6:7" x14ac:dyDescent="0.25">
      <c r="F438" s="20"/>
      <c r="G438" s="20"/>
    </row>
    <row r="439" spans="6:7" x14ac:dyDescent="0.25">
      <c r="F439" s="20"/>
      <c r="G439" s="20"/>
    </row>
    <row r="440" spans="6:7" x14ac:dyDescent="0.25">
      <c r="F440" s="20"/>
      <c r="G440" s="20"/>
    </row>
    <row r="441" spans="6:7" x14ac:dyDescent="0.25">
      <c r="F441" s="20"/>
      <c r="G441" s="20"/>
    </row>
    <row r="442" spans="6:7" x14ac:dyDescent="0.25">
      <c r="F442" s="20"/>
      <c r="G442" s="20"/>
    </row>
    <row r="443" spans="6:7" x14ac:dyDescent="0.25">
      <c r="F443" s="20"/>
      <c r="G443" s="20"/>
    </row>
    <row r="444" spans="6:7" x14ac:dyDescent="0.25">
      <c r="F444" s="20"/>
      <c r="G444" s="20"/>
    </row>
    <row r="445" spans="6:7" x14ac:dyDescent="0.25">
      <c r="F445" s="20"/>
      <c r="G445" s="20"/>
    </row>
    <row r="446" spans="6:7" x14ac:dyDescent="0.25">
      <c r="F446" s="20"/>
      <c r="G446" s="20"/>
    </row>
    <row r="447" spans="6:7" x14ac:dyDescent="0.25">
      <c r="F447" s="20"/>
      <c r="G447" s="20"/>
    </row>
    <row r="448" spans="6:7" x14ac:dyDescent="0.25">
      <c r="F448" s="20"/>
      <c r="G448" s="20"/>
    </row>
    <row r="449" spans="6:7" x14ac:dyDescent="0.25">
      <c r="F449" s="20"/>
      <c r="G449" s="20"/>
    </row>
    <row r="450" spans="6:7" x14ac:dyDescent="0.25">
      <c r="F450" s="20"/>
      <c r="G450" s="20"/>
    </row>
    <row r="451" spans="6:7" x14ac:dyDescent="0.25">
      <c r="F451" s="20"/>
      <c r="G451" s="20"/>
    </row>
    <row r="452" spans="6:7" x14ac:dyDescent="0.25">
      <c r="F452" s="20"/>
      <c r="G452" s="20"/>
    </row>
    <row r="453" spans="6:7" x14ac:dyDescent="0.25">
      <c r="F453" s="20"/>
      <c r="G453" s="20"/>
    </row>
    <row r="454" spans="6:7" x14ac:dyDescent="0.25">
      <c r="F454" s="20"/>
      <c r="G454" s="20"/>
    </row>
    <row r="455" spans="6:7" x14ac:dyDescent="0.25">
      <c r="F455" s="20"/>
      <c r="G455" s="20"/>
    </row>
    <row r="456" spans="6:7" x14ac:dyDescent="0.25">
      <c r="F456" s="20"/>
      <c r="G456" s="20"/>
    </row>
    <row r="457" spans="6:7" x14ac:dyDescent="0.25">
      <c r="F457" s="20"/>
      <c r="G457" s="20"/>
    </row>
    <row r="458" spans="6:7" x14ac:dyDescent="0.25">
      <c r="F458" s="20"/>
      <c r="G458" s="20"/>
    </row>
    <row r="459" spans="6:7" x14ac:dyDescent="0.25">
      <c r="F459" s="20"/>
      <c r="G459" s="20"/>
    </row>
    <row r="460" spans="6:7" x14ac:dyDescent="0.25">
      <c r="F460" s="20"/>
      <c r="G460" s="20"/>
    </row>
    <row r="461" spans="6:7" x14ac:dyDescent="0.25">
      <c r="F461" s="20"/>
      <c r="G461" s="20"/>
    </row>
    <row r="462" spans="6:7" x14ac:dyDescent="0.25">
      <c r="F462" s="20"/>
      <c r="G462" s="20"/>
    </row>
    <row r="463" spans="6:7" x14ac:dyDescent="0.25">
      <c r="F463" s="20"/>
      <c r="G463" s="20"/>
    </row>
    <row r="464" spans="6:7" x14ac:dyDescent="0.25">
      <c r="F464" s="20"/>
      <c r="G464" s="20"/>
    </row>
    <row r="465" spans="6:7" x14ac:dyDescent="0.25">
      <c r="F465" s="20"/>
      <c r="G465" s="20"/>
    </row>
    <row r="466" spans="6:7" x14ac:dyDescent="0.25">
      <c r="F466" s="20"/>
      <c r="G466" s="20"/>
    </row>
    <row r="467" spans="6:7" x14ac:dyDescent="0.25">
      <c r="F467" s="20"/>
      <c r="G467" s="20"/>
    </row>
    <row r="468" spans="6:7" x14ac:dyDescent="0.25">
      <c r="F468" s="20"/>
      <c r="G468" s="20"/>
    </row>
    <row r="469" spans="6:7" x14ac:dyDescent="0.25">
      <c r="F469" s="20"/>
      <c r="G469" s="20"/>
    </row>
    <row r="470" spans="6:7" x14ac:dyDescent="0.25">
      <c r="F470" s="20"/>
      <c r="G470" s="20"/>
    </row>
    <row r="471" spans="6:7" x14ac:dyDescent="0.25">
      <c r="F471" s="20"/>
      <c r="G471" s="20"/>
    </row>
    <row r="472" spans="6:7" x14ac:dyDescent="0.25">
      <c r="F472" s="20"/>
      <c r="G472" s="20"/>
    </row>
    <row r="473" spans="6:7" x14ac:dyDescent="0.25">
      <c r="F473" s="20"/>
      <c r="G473" s="20"/>
    </row>
    <row r="474" spans="6:7" x14ac:dyDescent="0.25">
      <c r="F474" s="20"/>
      <c r="G474" s="20"/>
    </row>
    <row r="475" spans="6:7" x14ac:dyDescent="0.25">
      <c r="F475" s="20"/>
      <c r="G475" s="20"/>
    </row>
    <row r="476" spans="6:7" x14ac:dyDescent="0.25">
      <c r="F476" s="20"/>
      <c r="G476" s="20"/>
    </row>
    <row r="477" spans="6:7" x14ac:dyDescent="0.25">
      <c r="F477" s="20"/>
      <c r="G477" s="20"/>
    </row>
    <row r="478" spans="6:7" x14ac:dyDescent="0.25">
      <c r="F478" s="20"/>
      <c r="G478" s="20"/>
    </row>
    <row r="479" spans="6:7" x14ac:dyDescent="0.25">
      <c r="F479" s="20"/>
      <c r="G479" s="20"/>
    </row>
    <row r="480" spans="6:7" x14ac:dyDescent="0.25">
      <c r="F480" s="20"/>
      <c r="G480" s="20"/>
    </row>
    <row r="481" spans="6:7" x14ac:dyDescent="0.25">
      <c r="F481" s="20"/>
      <c r="G481" s="20"/>
    </row>
    <row r="482" spans="6:7" x14ac:dyDescent="0.25">
      <c r="F482" s="20"/>
      <c r="G482" s="20"/>
    </row>
    <row r="483" spans="6:7" x14ac:dyDescent="0.25">
      <c r="F483" s="20"/>
      <c r="G483" s="20"/>
    </row>
    <row r="484" spans="6:7" x14ac:dyDescent="0.25">
      <c r="F484" s="20"/>
      <c r="G484" s="20"/>
    </row>
    <row r="485" spans="6:7" x14ac:dyDescent="0.25">
      <c r="F485" s="20"/>
      <c r="G485" s="20"/>
    </row>
    <row r="486" spans="6:7" x14ac:dyDescent="0.25">
      <c r="F486" s="20"/>
      <c r="G486" s="20"/>
    </row>
    <row r="487" spans="6:7" x14ac:dyDescent="0.25">
      <c r="F487" s="20"/>
      <c r="G487" s="20"/>
    </row>
    <row r="488" spans="6:7" x14ac:dyDescent="0.25">
      <c r="F488" s="20"/>
      <c r="G488" s="20"/>
    </row>
    <row r="489" spans="6:7" x14ac:dyDescent="0.25">
      <c r="F489" s="20"/>
      <c r="G489" s="20"/>
    </row>
    <row r="490" spans="6:7" x14ac:dyDescent="0.25">
      <c r="F490" s="20"/>
      <c r="G490" s="20"/>
    </row>
    <row r="491" spans="6:7" x14ac:dyDescent="0.25">
      <c r="F491" s="20"/>
      <c r="G491" s="20"/>
    </row>
    <row r="492" spans="6:7" x14ac:dyDescent="0.25">
      <c r="F492" s="20"/>
      <c r="G492" s="20"/>
    </row>
    <row r="493" spans="6:7" x14ac:dyDescent="0.25">
      <c r="F493" s="20"/>
      <c r="G493" s="20"/>
    </row>
    <row r="494" spans="6:7" x14ac:dyDescent="0.25">
      <c r="F494" s="20"/>
      <c r="G494" s="20"/>
    </row>
    <row r="495" spans="6:7" x14ac:dyDescent="0.25">
      <c r="F495" s="20"/>
      <c r="G495" s="20"/>
    </row>
    <row r="496" spans="6:7" x14ac:dyDescent="0.25">
      <c r="F496" s="20"/>
      <c r="G496" s="20"/>
    </row>
    <row r="497" spans="6:7" x14ac:dyDescent="0.25">
      <c r="F497" s="20"/>
      <c r="G497" s="20"/>
    </row>
    <row r="498" spans="6:7" x14ac:dyDescent="0.25">
      <c r="F498" s="20"/>
      <c r="G498" s="20"/>
    </row>
    <row r="499" spans="6:7" x14ac:dyDescent="0.25">
      <c r="F499" s="20"/>
      <c r="G499" s="20"/>
    </row>
    <row r="500" spans="6:7" x14ac:dyDescent="0.25">
      <c r="F500" s="20"/>
      <c r="G500" s="20"/>
    </row>
    <row r="501" spans="6:7" x14ac:dyDescent="0.25">
      <c r="F501" s="20"/>
      <c r="G501" s="20"/>
    </row>
    <row r="502" spans="6:7" x14ac:dyDescent="0.25">
      <c r="F502" s="20"/>
      <c r="G502" s="20"/>
    </row>
    <row r="503" spans="6:7" x14ac:dyDescent="0.25">
      <c r="F503" s="20"/>
      <c r="G503" s="20"/>
    </row>
    <row r="504" spans="6:7" x14ac:dyDescent="0.25">
      <c r="F504" s="20"/>
      <c r="G504" s="20"/>
    </row>
    <row r="505" spans="6:7" x14ac:dyDescent="0.25">
      <c r="F505" s="20"/>
      <c r="G505" s="20"/>
    </row>
    <row r="506" spans="6:7" x14ac:dyDescent="0.25">
      <c r="F506" s="20"/>
      <c r="G506" s="20"/>
    </row>
    <row r="507" spans="6:7" x14ac:dyDescent="0.25">
      <c r="F507" s="20"/>
      <c r="G507" s="20"/>
    </row>
    <row r="508" spans="6:7" x14ac:dyDescent="0.25">
      <c r="F508" s="20"/>
      <c r="G508" s="20"/>
    </row>
    <row r="509" spans="6:7" x14ac:dyDescent="0.25">
      <c r="F509" s="20"/>
      <c r="G509" s="20"/>
    </row>
    <row r="510" spans="6:7" x14ac:dyDescent="0.25">
      <c r="F510" s="20"/>
      <c r="G510" s="20"/>
    </row>
    <row r="511" spans="6:7" x14ac:dyDescent="0.25">
      <c r="F511" s="20"/>
      <c r="G511" s="20"/>
    </row>
    <row r="512" spans="6:7" x14ac:dyDescent="0.25">
      <c r="F512" s="20"/>
      <c r="G512" s="20"/>
    </row>
    <row r="513" spans="6:7" x14ac:dyDescent="0.25">
      <c r="F513" s="20"/>
      <c r="G513" s="20"/>
    </row>
    <row r="514" spans="6:7" x14ac:dyDescent="0.25">
      <c r="F514" s="20"/>
      <c r="G514" s="20"/>
    </row>
    <row r="515" spans="6:7" x14ac:dyDescent="0.25">
      <c r="F515" s="20"/>
      <c r="G515" s="20"/>
    </row>
    <row r="516" spans="6:7" x14ac:dyDescent="0.25">
      <c r="F516" s="20"/>
      <c r="G516" s="20"/>
    </row>
    <row r="517" spans="6:7" x14ac:dyDescent="0.25">
      <c r="F517" s="20"/>
      <c r="G517" s="20"/>
    </row>
    <row r="518" spans="6:7" x14ac:dyDescent="0.25">
      <c r="F518" s="20"/>
      <c r="G518" s="20"/>
    </row>
    <row r="519" spans="6:7" x14ac:dyDescent="0.25">
      <c r="F519" s="20"/>
      <c r="G519" s="20"/>
    </row>
    <row r="520" spans="6:7" x14ac:dyDescent="0.25">
      <c r="F520" s="20"/>
      <c r="G520" s="20"/>
    </row>
    <row r="521" spans="6:7" x14ac:dyDescent="0.25">
      <c r="F521" s="20"/>
      <c r="G521" s="20"/>
    </row>
    <row r="522" spans="6:7" x14ac:dyDescent="0.25">
      <c r="F522" s="20"/>
      <c r="G522" s="20"/>
    </row>
    <row r="523" spans="6:7" x14ac:dyDescent="0.25">
      <c r="F523" s="20"/>
      <c r="G523" s="20"/>
    </row>
    <row r="524" spans="6:7" x14ac:dyDescent="0.25">
      <c r="F524" s="20"/>
      <c r="G524" s="20"/>
    </row>
    <row r="525" spans="6:7" x14ac:dyDescent="0.25">
      <c r="F525" s="20"/>
      <c r="G525" s="20"/>
    </row>
    <row r="526" spans="6:7" x14ac:dyDescent="0.25">
      <c r="F526" s="20"/>
      <c r="G526" s="20"/>
    </row>
    <row r="527" spans="6:7" x14ac:dyDescent="0.25">
      <c r="F527" s="20"/>
      <c r="G527" s="20"/>
    </row>
    <row r="528" spans="6:7" x14ac:dyDescent="0.25">
      <c r="F528" s="20"/>
      <c r="G528" s="20"/>
    </row>
    <row r="529" spans="6:7" x14ac:dyDescent="0.25">
      <c r="F529" s="20"/>
      <c r="G529" s="20"/>
    </row>
    <row r="530" spans="6:7" x14ac:dyDescent="0.25">
      <c r="F530" s="20"/>
      <c r="G530" s="20"/>
    </row>
    <row r="531" spans="6:7" x14ac:dyDescent="0.25">
      <c r="F531" s="20"/>
      <c r="G531" s="20"/>
    </row>
    <row r="532" spans="6:7" x14ac:dyDescent="0.25">
      <c r="F532" s="20"/>
      <c r="G532" s="20"/>
    </row>
    <row r="533" spans="6:7" x14ac:dyDescent="0.25">
      <c r="F533" s="20"/>
      <c r="G533" s="20"/>
    </row>
    <row r="534" spans="6:7" x14ac:dyDescent="0.25">
      <c r="F534" s="20"/>
      <c r="G534" s="20"/>
    </row>
    <row r="535" spans="6:7" x14ac:dyDescent="0.25">
      <c r="F535" s="20"/>
      <c r="G535" s="20"/>
    </row>
    <row r="536" spans="6:7" x14ac:dyDescent="0.25">
      <c r="F536" s="20"/>
      <c r="G536" s="20"/>
    </row>
    <row r="537" spans="6:7" x14ac:dyDescent="0.25">
      <c r="F537" s="20"/>
      <c r="G537" s="20"/>
    </row>
    <row r="538" spans="6:7" x14ac:dyDescent="0.25">
      <c r="F538" s="20"/>
      <c r="G538" s="20"/>
    </row>
    <row r="539" spans="6:7" x14ac:dyDescent="0.25">
      <c r="F539" s="20"/>
      <c r="G539" s="20"/>
    </row>
    <row r="540" spans="6:7" x14ac:dyDescent="0.25">
      <c r="F540" s="20"/>
      <c r="G540" s="20"/>
    </row>
    <row r="541" spans="6:7" x14ac:dyDescent="0.25">
      <c r="F541" s="20"/>
      <c r="G541" s="20"/>
    </row>
    <row r="542" spans="6:7" x14ac:dyDescent="0.25">
      <c r="F542" s="20"/>
      <c r="G542" s="20"/>
    </row>
    <row r="543" spans="6:7" x14ac:dyDescent="0.25">
      <c r="F543" s="20"/>
      <c r="G543" s="20"/>
    </row>
    <row r="544" spans="6:7" x14ac:dyDescent="0.25">
      <c r="F544" s="20"/>
      <c r="G544" s="20"/>
    </row>
    <row r="545" spans="6:7" x14ac:dyDescent="0.25">
      <c r="F545" s="20"/>
      <c r="G545" s="20"/>
    </row>
    <row r="546" spans="6:7" x14ac:dyDescent="0.25">
      <c r="F546" s="20"/>
      <c r="G546" s="20"/>
    </row>
    <row r="547" spans="6:7" x14ac:dyDescent="0.25">
      <c r="F547" s="20"/>
      <c r="G547" s="20"/>
    </row>
    <row r="548" spans="6:7" x14ac:dyDescent="0.25">
      <c r="F548" s="20"/>
      <c r="G548" s="20"/>
    </row>
    <row r="549" spans="6:7" x14ac:dyDescent="0.25">
      <c r="F549" s="20"/>
      <c r="G549" s="20"/>
    </row>
    <row r="550" spans="6:7" x14ac:dyDescent="0.25">
      <c r="F550" s="20"/>
      <c r="G550" s="20"/>
    </row>
    <row r="551" spans="6:7" x14ac:dyDescent="0.25">
      <c r="F551" s="20"/>
      <c r="G551" s="20"/>
    </row>
    <row r="552" spans="6:7" x14ac:dyDescent="0.25">
      <c r="F552" s="20"/>
      <c r="G552" s="20"/>
    </row>
    <row r="553" spans="6:7" x14ac:dyDescent="0.25">
      <c r="F553" s="20"/>
      <c r="G553" s="20"/>
    </row>
    <row r="554" spans="6:7" x14ac:dyDescent="0.25">
      <c r="F554" s="20"/>
      <c r="G554" s="20"/>
    </row>
    <row r="555" spans="6:7" x14ac:dyDescent="0.25">
      <c r="F555" s="20"/>
      <c r="G555" s="20"/>
    </row>
    <row r="556" spans="6:7" x14ac:dyDescent="0.25">
      <c r="F556" s="20"/>
      <c r="G556" s="20"/>
    </row>
    <row r="557" spans="6:7" x14ac:dyDescent="0.25">
      <c r="F557" s="20"/>
      <c r="G557" s="20"/>
    </row>
    <row r="558" spans="6:7" x14ac:dyDescent="0.25">
      <c r="F558" s="20"/>
      <c r="G558" s="20"/>
    </row>
    <row r="559" spans="6:7" x14ac:dyDescent="0.25">
      <c r="F559" s="20"/>
      <c r="G559" s="20"/>
    </row>
    <row r="560" spans="6:7" x14ac:dyDescent="0.25">
      <c r="F560" s="20"/>
      <c r="G560" s="20"/>
    </row>
    <row r="561" spans="6:7" x14ac:dyDescent="0.25">
      <c r="F561" s="20"/>
      <c r="G561" s="20"/>
    </row>
    <row r="562" spans="6:7" x14ac:dyDescent="0.25">
      <c r="F562" s="20"/>
      <c r="G562" s="20"/>
    </row>
    <row r="563" spans="6:7" x14ac:dyDescent="0.25">
      <c r="F563" s="20"/>
      <c r="G563" s="20"/>
    </row>
    <row r="564" spans="6:7" x14ac:dyDescent="0.25">
      <c r="F564" s="20"/>
      <c r="G564" s="20"/>
    </row>
    <row r="565" spans="6:7" x14ac:dyDescent="0.25">
      <c r="F565" s="20"/>
      <c r="G565" s="20"/>
    </row>
    <row r="566" spans="6:7" x14ac:dyDescent="0.25">
      <c r="F566" s="20"/>
      <c r="G566" s="20"/>
    </row>
    <row r="567" spans="6:7" x14ac:dyDescent="0.25">
      <c r="F567" s="20"/>
      <c r="G567" s="20"/>
    </row>
    <row r="568" spans="6:7" x14ac:dyDescent="0.25">
      <c r="F568" s="20"/>
      <c r="G568" s="20"/>
    </row>
    <row r="569" spans="6:7" x14ac:dyDescent="0.25">
      <c r="F569" s="20"/>
      <c r="G569" s="20"/>
    </row>
    <row r="570" spans="6:7" x14ac:dyDescent="0.25">
      <c r="F570" s="20"/>
      <c r="G570" s="20"/>
    </row>
    <row r="571" spans="6:7" x14ac:dyDescent="0.25">
      <c r="F571" s="20"/>
      <c r="G571" s="20"/>
    </row>
    <row r="572" spans="6:7" x14ac:dyDescent="0.25">
      <c r="F572" s="20"/>
      <c r="G572" s="20"/>
    </row>
    <row r="573" spans="6:7" x14ac:dyDescent="0.25">
      <c r="F573" s="20"/>
      <c r="G573" s="20"/>
    </row>
    <row r="574" spans="6:7" x14ac:dyDescent="0.25">
      <c r="F574" s="20"/>
      <c r="G574" s="20"/>
    </row>
    <row r="575" spans="6:7" x14ac:dyDescent="0.25">
      <c r="F575" s="20"/>
      <c r="G575" s="20"/>
    </row>
    <row r="576" spans="6:7" x14ac:dyDescent="0.25">
      <c r="F576" s="20"/>
      <c r="G576" s="20"/>
    </row>
    <row r="577" spans="6:7" x14ac:dyDescent="0.25">
      <c r="F577" s="20"/>
      <c r="G577" s="20"/>
    </row>
    <row r="578" spans="6:7" x14ac:dyDescent="0.25">
      <c r="F578" s="20"/>
      <c r="G578" s="20"/>
    </row>
    <row r="579" spans="6:7" x14ac:dyDescent="0.25">
      <c r="F579" s="20"/>
      <c r="G579" s="20"/>
    </row>
    <row r="580" spans="6:7" x14ac:dyDescent="0.25">
      <c r="F580" s="20"/>
      <c r="G580" s="20"/>
    </row>
    <row r="581" spans="6:7" x14ac:dyDescent="0.25">
      <c r="F581" s="20"/>
      <c r="G581" s="20"/>
    </row>
    <row r="582" spans="6:7" x14ac:dyDescent="0.25">
      <c r="F582" s="20"/>
      <c r="G582" s="20"/>
    </row>
    <row r="583" spans="6:7" x14ac:dyDescent="0.25">
      <c r="F583" s="20"/>
      <c r="G583" s="20"/>
    </row>
    <row r="584" spans="6:7" x14ac:dyDescent="0.25">
      <c r="F584" s="20"/>
      <c r="G584" s="20"/>
    </row>
    <row r="585" spans="6:7" x14ac:dyDescent="0.25">
      <c r="F585" s="20"/>
      <c r="G585" s="20"/>
    </row>
    <row r="586" spans="6:7" x14ac:dyDescent="0.25">
      <c r="F586" s="20"/>
      <c r="G586" s="20"/>
    </row>
    <row r="587" spans="6:7" x14ac:dyDescent="0.25">
      <c r="F587" s="20"/>
      <c r="G587" s="20"/>
    </row>
    <row r="588" spans="6:7" x14ac:dyDescent="0.25">
      <c r="F588" s="20"/>
      <c r="G588" s="20"/>
    </row>
    <row r="589" spans="6:7" x14ac:dyDescent="0.25">
      <c r="F589" s="20"/>
      <c r="G589" s="20"/>
    </row>
    <row r="590" spans="6:7" x14ac:dyDescent="0.25">
      <c r="F590" s="20"/>
      <c r="G590" s="20"/>
    </row>
    <row r="591" spans="6:7" x14ac:dyDescent="0.25">
      <c r="F591" s="20"/>
      <c r="G591" s="20"/>
    </row>
    <row r="592" spans="6:7" x14ac:dyDescent="0.25">
      <c r="F592" s="20"/>
      <c r="G592" s="20"/>
    </row>
    <row r="593" spans="6:7" x14ac:dyDescent="0.25">
      <c r="F593" s="20"/>
      <c r="G593" s="20"/>
    </row>
    <row r="594" spans="6:7" x14ac:dyDescent="0.25">
      <c r="F594" s="20"/>
      <c r="G594" s="20"/>
    </row>
    <row r="595" spans="6:7" x14ac:dyDescent="0.25">
      <c r="F595" s="20"/>
      <c r="G595" s="20"/>
    </row>
    <row r="596" spans="6:7" x14ac:dyDescent="0.25">
      <c r="F596" s="20"/>
      <c r="G596" s="20"/>
    </row>
    <row r="597" spans="6:7" x14ac:dyDescent="0.25">
      <c r="F597" s="20"/>
      <c r="G597" s="20"/>
    </row>
    <row r="598" spans="6:7" x14ac:dyDescent="0.25">
      <c r="F598" s="20"/>
      <c r="G598" s="20"/>
    </row>
    <row r="599" spans="6:7" x14ac:dyDescent="0.25">
      <c r="F599" s="20"/>
      <c r="G599" s="20"/>
    </row>
    <row r="600" spans="6:7" x14ac:dyDescent="0.25">
      <c r="F600" s="20"/>
      <c r="G600" s="20"/>
    </row>
    <row r="601" spans="6:7" x14ac:dyDescent="0.25">
      <c r="F601" s="20"/>
      <c r="G601" s="20"/>
    </row>
    <row r="602" spans="6:7" x14ac:dyDescent="0.25">
      <c r="F602" s="20"/>
      <c r="G602" s="20"/>
    </row>
    <row r="603" spans="6:7" x14ac:dyDescent="0.25">
      <c r="F603" s="20"/>
      <c r="G603" s="20"/>
    </row>
    <row r="604" spans="6:7" x14ac:dyDescent="0.25">
      <c r="F604" s="20"/>
      <c r="G604" s="20"/>
    </row>
    <row r="605" spans="6:7" x14ac:dyDescent="0.25">
      <c r="F605" s="20"/>
      <c r="G605" s="20"/>
    </row>
    <row r="606" spans="6:7" x14ac:dyDescent="0.25">
      <c r="F606" s="20"/>
      <c r="G606" s="20"/>
    </row>
    <row r="607" spans="6:7" x14ac:dyDescent="0.25">
      <c r="F607" s="20"/>
      <c r="G607" s="20"/>
    </row>
    <row r="608" spans="6:7" x14ac:dyDescent="0.25">
      <c r="F608" s="20"/>
      <c r="G608" s="20"/>
    </row>
    <row r="609" spans="6:7" x14ac:dyDescent="0.25">
      <c r="F609" s="20"/>
      <c r="G609" s="20"/>
    </row>
    <row r="610" spans="6:7" x14ac:dyDescent="0.25">
      <c r="F610" s="20"/>
      <c r="G610" s="20"/>
    </row>
    <row r="611" spans="6:7" x14ac:dyDescent="0.25">
      <c r="F611" s="20"/>
      <c r="G611" s="20"/>
    </row>
    <row r="612" spans="6:7" x14ac:dyDescent="0.25">
      <c r="F612" s="20"/>
      <c r="G612" s="20"/>
    </row>
    <row r="613" spans="6:7" x14ac:dyDescent="0.25">
      <c r="F613" s="20"/>
      <c r="G613" s="20"/>
    </row>
    <row r="614" spans="6:7" x14ac:dyDescent="0.25">
      <c r="F614" s="20"/>
      <c r="G614" s="20"/>
    </row>
    <row r="615" spans="6:7" x14ac:dyDescent="0.25">
      <c r="F615" s="20"/>
      <c r="G615" s="20"/>
    </row>
    <row r="616" spans="6:7" x14ac:dyDescent="0.25">
      <c r="F616" s="20"/>
      <c r="G616" s="20"/>
    </row>
    <row r="617" spans="6:7" x14ac:dyDescent="0.25">
      <c r="F617" s="20"/>
      <c r="G617" s="20"/>
    </row>
    <row r="618" spans="6:7" x14ac:dyDescent="0.25">
      <c r="F618" s="20"/>
      <c r="G618" s="20"/>
    </row>
    <row r="619" spans="6:7" x14ac:dyDescent="0.25">
      <c r="F619" s="20"/>
      <c r="G619" s="20"/>
    </row>
    <row r="620" spans="6:7" x14ac:dyDescent="0.25">
      <c r="F620" s="20"/>
      <c r="G620" s="20"/>
    </row>
    <row r="621" spans="6:7" x14ac:dyDescent="0.25">
      <c r="F621" s="20"/>
      <c r="G621" s="20"/>
    </row>
    <row r="622" spans="6:7" x14ac:dyDescent="0.25">
      <c r="F622" s="20"/>
      <c r="G622" s="20"/>
    </row>
    <row r="623" spans="6:7" x14ac:dyDescent="0.25">
      <c r="F623" s="20"/>
      <c r="G623" s="20"/>
    </row>
    <row r="624" spans="6:7" x14ac:dyDescent="0.25">
      <c r="F624" s="20"/>
      <c r="G624" s="20"/>
    </row>
    <row r="625" spans="6:7" x14ac:dyDescent="0.25">
      <c r="F625" s="20"/>
      <c r="G625" s="20"/>
    </row>
    <row r="626" spans="6:7" x14ac:dyDescent="0.25">
      <c r="F626" s="20"/>
      <c r="G626" s="20"/>
    </row>
    <row r="627" spans="6:7" x14ac:dyDescent="0.25">
      <c r="F627" s="20"/>
      <c r="G627" s="20"/>
    </row>
    <row r="628" spans="6:7" x14ac:dyDescent="0.25">
      <c r="F628" s="20"/>
      <c r="G628" s="20"/>
    </row>
    <row r="629" spans="6:7" x14ac:dyDescent="0.25">
      <c r="F629" s="20"/>
      <c r="G629" s="20"/>
    </row>
    <row r="630" spans="6:7" x14ac:dyDescent="0.25">
      <c r="F630" s="20"/>
      <c r="G630" s="20"/>
    </row>
    <row r="631" spans="6:7" x14ac:dyDescent="0.25">
      <c r="F631" s="20"/>
      <c r="G631" s="20"/>
    </row>
    <row r="632" spans="6:7" x14ac:dyDescent="0.25">
      <c r="F632" s="20"/>
      <c r="G632" s="20"/>
    </row>
    <row r="633" spans="6:7" x14ac:dyDescent="0.25">
      <c r="F633" s="20"/>
      <c r="G633" s="20"/>
    </row>
    <row r="634" spans="6:7" x14ac:dyDescent="0.25">
      <c r="F634" s="20"/>
      <c r="G634" s="20"/>
    </row>
    <row r="635" spans="6:7" x14ac:dyDescent="0.25">
      <c r="F635" s="20"/>
      <c r="G635" s="20"/>
    </row>
    <row r="636" spans="6:7" x14ac:dyDescent="0.25">
      <c r="F636" s="20"/>
      <c r="G636" s="20"/>
    </row>
    <row r="637" spans="6:7" x14ac:dyDescent="0.25">
      <c r="F637" s="20"/>
      <c r="G637" s="20"/>
    </row>
    <row r="638" spans="6:7" x14ac:dyDescent="0.25">
      <c r="F638" s="20"/>
      <c r="G638" s="20"/>
    </row>
    <row r="639" spans="6:7" x14ac:dyDescent="0.25">
      <c r="F639" s="20"/>
      <c r="G639" s="20"/>
    </row>
    <row r="640" spans="6:7" x14ac:dyDescent="0.25">
      <c r="F640" s="20"/>
      <c r="G640" s="20"/>
    </row>
    <row r="641" spans="6:7" x14ac:dyDescent="0.25">
      <c r="F641" s="20"/>
      <c r="G641" s="20"/>
    </row>
    <row r="642" spans="6:7" x14ac:dyDescent="0.25">
      <c r="F642" s="20"/>
      <c r="G642" s="20"/>
    </row>
    <row r="643" spans="6:7" x14ac:dyDescent="0.25">
      <c r="F643" s="20"/>
      <c r="G643" s="20"/>
    </row>
    <row r="644" spans="6:7" x14ac:dyDescent="0.25">
      <c r="F644" s="20"/>
      <c r="G644" s="20"/>
    </row>
    <row r="645" spans="6:7" x14ac:dyDescent="0.25">
      <c r="F645" s="20"/>
      <c r="G645" s="20"/>
    </row>
    <row r="646" spans="6:7" x14ac:dyDescent="0.25">
      <c r="F646" s="20"/>
      <c r="G646" s="20"/>
    </row>
    <row r="647" spans="6:7" x14ac:dyDescent="0.25">
      <c r="F647" s="20"/>
      <c r="G647" s="20"/>
    </row>
    <row r="648" spans="6:7" x14ac:dyDescent="0.25">
      <c r="F648" s="20"/>
      <c r="G648" s="20"/>
    </row>
    <row r="649" spans="6:7" x14ac:dyDescent="0.25">
      <c r="F649" s="20"/>
      <c r="G649" s="20"/>
    </row>
    <row r="650" spans="6:7" x14ac:dyDescent="0.25">
      <c r="F650" s="20"/>
      <c r="G650" s="20"/>
    </row>
    <row r="651" spans="6:7" x14ac:dyDescent="0.25">
      <c r="F651" s="20"/>
      <c r="G651" s="20"/>
    </row>
    <row r="652" spans="6:7" x14ac:dyDescent="0.25">
      <c r="F652" s="20"/>
      <c r="G652" s="20"/>
    </row>
    <row r="653" spans="6:7" x14ac:dyDescent="0.25">
      <c r="F653" s="20"/>
      <c r="G653" s="20"/>
    </row>
    <row r="654" spans="6:7" x14ac:dyDescent="0.25">
      <c r="F654" s="20"/>
      <c r="G654" s="20"/>
    </row>
    <row r="655" spans="6:7" x14ac:dyDescent="0.25">
      <c r="F655" s="20"/>
      <c r="G655" s="20"/>
    </row>
    <row r="656" spans="6:7" x14ac:dyDescent="0.25">
      <c r="F656" s="20"/>
      <c r="G656" s="20"/>
    </row>
    <row r="657" spans="6:7" x14ac:dyDescent="0.25">
      <c r="F657" s="20"/>
      <c r="G657" s="20"/>
    </row>
    <row r="658" spans="6:7" x14ac:dyDescent="0.25">
      <c r="F658" s="20"/>
      <c r="G658" s="20"/>
    </row>
    <row r="659" spans="6:7" x14ac:dyDescent="0.25">
      <c r="F659" s="20"/>
      <c r="G659" s="20"/>
    </row>
    <row r="660" spans="6:7" x14ac:dyDescent="0.25">
      <c r="F660" s="20"/>
      <c r="G660" s="20"/>
    </row>
    <row r="661" spans="6:7" x14ac:dyDescent="0.25">
      <c r="F661" s="20"/>
      <c r="G661" s="20"/>
    </row>
    <row r="662" spans="6:7" x14ac:dyDescent="0.25">
      <c r="F662" s="20"/>
      <c r="G662" s="20"/>
    </row>
    <row r="663" spans="6:7" x14ac:dyDescent="0.25">
      <c r="F663" s="20"/>
      <c r="G663" s="20"/>
    </row>
    <row r="664" spans="6:7" x14ac:dyDescent="0.25">
      <c r="F664" s="20"/>
      <c r="G664" s="20"/>
    </row>
    <row r="665" spans="6:7" x14ac:dyDescent="0.25">
      <c r="F665" s="20"/>
      <c r="G665" s="20"/>
    </row>
    <row r="666" spans="6:7" x14ac:dyDescent="0.25">
      <c r="F666" s="20"/>
      <c r="G666" s="20"/>
    </row>
    <row r="667" spans="6:7" x14ac:dyDescent="0.25">
      <c r="F667" s="20"/>
      <c r="G667" s="20"/>
    </row>
    <row r="668" spans="6:7" x14ac:dyDescent="0.25">
      <c r="F668" s="20"/>
      <c r="G668" s="20"/>
    </row>
    <row r="669" spans="6:7" x14ac:dyDescent="0.25">
      <c r="F669" s="20"/>
      <c r="G669" s="20"/>
    </row>
    <row r="670" spans="6:7" x14ac:dyDescent="0.25">
      <c r="F670" s="20"/>
      <c r="G670" s="20"/>
    </row>
    <row r="671" spans="6:7" x14ac:dyDescent="0.25">
      <c r="F671" s="20"/>
      <c r="G671" s="20"/>
    </row>
    <row r="672" spans="6:7" x14ac:dyDescent="0.25">
      <c r="F672" s="20"/>
      <c r="G672" s="20"/>
    </row>
    <row r="673" spans="6:7" x14ac:dyDescent="0.25">
      <c r="F673" s="20"/>
      <c r="G673" s="20"/>
    </row>
    <row r="674" spans="6:7" x14ac:dyDescent="0.25">
      <c r="F674" s="20"/>
      <c r="G674" s="20"/>
    </row>
    <row r="675" spans="6:7" x14ac:dyDescent="0.25">
      <c r="F675" s="20"/>
      <c r="G675" s="20"/>
    </row>
    <row r="676" spans="6:7" x14ac:dyDescent="0.25">
      <c r="F676" s="20"/>
      <c r="G676" s="20"/>
    </row>
    <row r="677" spans="6:7" x14ac:dyDescent="0.25">
      <c r="F677" s="20"/>
      <c r="G677" s="20"/>
    </row>
    <row r="678" spans="6:7" x14ac:dyDescent="0.25">
      <c r="F678" s="20"/>
      <c r="G678" s="20"/>
    </row>
    <row r="679" spans="6:7" x14ac:dyDescent="0.25">
      <c r="F679" s="20"/>
      <c r="G679" s="20"/>
    </row>
    <row r="680" spans="6:7" x14ac:dyDescent="0.25">
      <c r="F680" s="20"/>
      <c r="G680" s="20"/>
    </row>
    <row r="681" spans="6:7" x14ac:dyDescent="0.25">
      <c r="F681" s="20"/>
      <c r="G681" s="20"/>
    </row>
    <row r="682" spans="6:7" x14ac:dyDescent="0.25">
      <c r="F682" s="20"/>
      <c r="G682" s="20"/>
    </row>
    <row r="683" spans="6:7" x14ac:dyDescent="0.25">
      <c r="F683" s="20"/>
      <c r="G683" s="20"/>
    </row>
    <row r="684" spans="6:7" x14ac:dyDescent="0.25">
      <c r="F684" s="20"/>
      <c r="G684" s="20"/>
    </row>
    <row r="685" spans="6:7" x14ac:dyDescent="0.25">
      <c r="F685" s="20"/>
      <c r="G685" s="20"/>
    </row>
    <row r="686" spans="6:7" x14ac:dyDescent="0.25">
      <c r="F686" s="20"/>
      <c r="G686" s="20"/>
    </row>
    <row r="687" spans="6:7" x14ac:dyDescent="0.25">
      <c r="F687" s="20"/>
      <c r="G687" s="20"/>
    </row>
    <row r="688" spans="6:7" x14ac:dyDescent="0.25">
      <c r="F688" s="20"/>
      <c r="G688" s="20"/>
    </row>
    <row r="689" spans="6:7" x14ac:dyDescent="0.25">
      <c r="F689" s="20"/>
      <c r="G689" s="20"/>
    </row>
    <row r="690" spans="6:7" x14ac:dyDescent="0.25">
      <c r="F690" s="20"/>
      <c r="G690" s="20"/>
    </row>
    <row r="691" spans="6:7" x14ac:dyDescent="0.25">
      <c r="F691" s="20"/>
      <c r="G691" s="20"/>
    </row>
    <row r="692" spans="6:7" x14ac:dyDescent="0.25">
      <c r="F692" s="20"/>
      <c r="G692" s="20"/>
    </row>
    <row r="693" spans="6:7" x14ac:dyDescent="0.25">
      <c r="F693" s="20"/>
      <c r="G693" s="20"/>
    </row>
    <row r="694" spans="6:7" x14ac:dyDescent="0.25">
      <c r="F694" s="20"/>
      <c r="G694" s="20"/>
    </row>
    <row r="695" spans="6:7" x14ac:dyDescent="0.25">
      <c r="F695" s="20"/>
      <c r="G695" s="20"/>
    </row>
    <row r="696" spans="6:7" x14ac:dyDescent="0.25">
      <c r="F696" s="20"/>
      <c r="G696" s="20"/>
    </row>
    <row r="697" spans="6:7" x14ac:dyDescent="0.25">
      <c r="F697" s="20"/>
      <c r="G697" s="20"/>
    </row>
    <row r="698" spans="6:7" x14ac:dyDescent="0.25">
      <c r="F698" s="20"/>
      <c r="G698" s="20"/>
    </row>
    <row r="699" spans="6:7" x14ac:dyDescent="0.25">
      <c r="F699" s="20"/>
      <c r="G699" s="20"/>
    </row>
    <row r="700" spans="6:7" x14ac:dyDescent="0.25">
      <c r="F700" s="20"/>
      <c r="G700" s="20"/>
    </row>
    <row r="701" spans="6:7" x14ac:dyDescent="0.25">
      <c r="F701" s="20"/>
      <c r="G701" s="20"/>
    </row>
    <row r="702" spans="6:7" x14ac:dyDescent="0.25">
      <c r="F702" s="20"/>
      <c r="G702" s="20"/>
    </row>
    <row r="703" spans="6:7" x14ac:dyDescent="0.25">
      <c r="F703" s="20"/>
      <c r="G703" s="20"/>
    </row>
    <row r="704" spans="6:7" x14ac:dyDescent="0.25">
      <c r="F704" s="20"/>
      <c r="G704" s="20"/>
    </row>
    <row r="705" spans="6:7" x14ac:dyDescent="0.25">
      <c r="F705" s="20"/>
      <c r="G705" s="20"/>
    </row>
    <row r="706" spans="6:7" x14ac:dyDescent="0.25">
      <c r="F706" s="20"/>
      <c r="G706" s="20"/>
    </row>
    <row r="707" spans="6:7" x14ac:dyDescent="0.25">
      <c r="F707" s="20"/>
      <c r="G707" s="20"/>
    </row>
    <row r="708" spans="6:7" x14ac:dyDescent="0.25">
      <c r="F708" s="20"/>
      <c r="G708" s="20"/>
    </row>
    <row r="709" spans="6:7" x14ac:dyDescent="0.25">
      <c r="F709" s="20"/>
      <c r="G709" s="20"/>
    </row>
    <row r="710" spans="6:7" x14ac:dyDescent="0.25">
      <c r="F710" s="20"/>
      <c r="G710" s="20"/>
    </row>
    <row r="711" spans="6:7" x14ac:dyDescent="0.25">
      <c r="F711" s="20"/>
      <c r="G711" s="20"/>
    </row>
    <row r="712" spans="6:7" x14ac:dyDescent="0.25">
      <c r="F712" s="20"/>
      <c r="G712" s="20"/>
    </row>
    <row r="713" spans="6:7" x14ac:dyDescent="0.25">
      <c r="F713" s="20"/>
      <c r="G713" s="20"/>
    </row>
    <row r="714" spans="6:7" x14ac:dyDescent="0.25">
      <c r="F714" s="20"/>
      <c r="G714" s="20"/>
    </row>
    <row r="715" spans="6:7" x14ac:dyDescent="0.25">
      <c r="F715" s="20"/>
      <c r="G715" s="20"/>
    </row>
    <row r="716" spans="6:7" x14ac:dyDescent="0.25">
      <c r="F716" s="20"/>
      <c r="G716" s="20"/>
    </row>
    <row r="717" spans="6:7" x14ac:dyDescent="0.25">
      <c r="F717" s="20"/>
      <c r="G717" s="20"/>
    </row>
    <row r="718" spans="6:7" x14ac:dyDescent="0.25">
      <c r="F718" s="20"/>
      <c r="G718" s="20"/>
    </row>
    <row r="719" spans="6:7" x14ac:dyDescent="0.25">
      <c r="F719" s="20"/>
      <c r="G719" s="20"/>
    </row>
    <row r="720" spans="6:7" x14ac:dyDescent="0.25">
      <c r="F720" s="20"/>
      <c r="G720" s="20"/>
    </row>
    <row r="721" spans="6:7" x14ac:dyDescent="0.25">
      <c r="F721" s="20"/>
      <c r="G721" s="20"/>
    </row>
    <row r="722" spans="6:7" x14ac:dyDescent="0.25">
      <c r="F722" s="20"/>
      <c r="G722" s="20"/>
    </row>
    <row r="723" spans="6:7" x14ac:dyDescent="0.25">
      <c r="F723" s="20"/>
      <c r="G723" s="20"/>
    </row>
    <row r="724" spans="6:7" x14ac:dyDescent="0.25">
      <c r="F724" s="20"/>
      <c r="G724" s="20"/>
    </row>
    <row r="725" spans="6:7" x14ac:dyDescent="0.25">
      <c r="F725" s="20"/>
      <c r="G725" s="20"/>
    </row>
    <row r="726" spans="6:7" x14ac:dyDescent="0.25">
      <c r="F726" s="20"/>
      <c r="G726" s="20"/>
    </row>
    <row r="727" spans="6:7" x14ac:dyDescent="0.25">
      <c r="F727" s="20"/>
      <c r="G727" s="20"/>
    </row>
    <row r="728" spans="6:7" x14ac:dyDescent="0.25">
      <c r="F728" s="20"/>
      <c r="G728" s="20"/>
    </row>
    <row r="729" spans="6:7" x14ac:dyDescent="0.25">
      <c r="F729" s="20"/>
      <c r="G729" s="20"/>
    </row>
    <row r="730" spans="6:7" x14ac:dyDescent="0.25">
      <c r="F730" s="20"/>
      <c r="G730" s="20"/>
    </row>
    <row r="731" spans="6:7" x14ac:dyDescent="0.25">
      <c r="F731" s="20"/>
      <c r="G731" s="20"/>
    </row>
    <row r="732" spans="6:7" x14ac:dyDescent="0.25">
      <c r="F732" s="20"/>
      <c r="G732" s="20"/>
    </row>
    <row r="733" spans="6:7" x14ac:dyDescent="0.25">
      <c r="F733" s="20"/>
      <c r="G733" s="20"/>
    </row>
    <row r="734" spans="6:7" x14ac:dyDescent="0.25">
      <c r="F734" s="20"/>
      <c r="G734" s="20"/>
    </row>
    <row r="735" spans="6:7" x14ac:dyDescent="0.25">
      <c r="F735" s="20"/>
      <c r="G735" s="20"/>
    </row>
    <row r="736" spans="6:7" x14ac:dyDescent="0.25">
      <c r="F736" s="20"/>
      <c r="G736" s="20"/>
    </row>
    <row r="737" spans="6:7" x14ac:dyDescent="0.25">
      <c r="F737" s="20"/>
      <c r="G737" s="20"/>
    </row>
    <row r="738" spans="6:7" x14ac:dyDescent="0.25">
      <c r="F738" s="20"/>
      <c r="G738" s="20"/>
    </row>
    <row r="739" spans="6:7" x14ac:dyDescent="0.25">
      <c r="F739" s="20"/>
      <c r="G739" s="20"/>
    </row>
    <row r="740" spans="6:7" x14ac:dyDescent="0.25">
      <c r="F740" s="20"/>
      <c r="G740" s="20"/>
    </row>
    <row r="741" spans="6:7" x14ac:dyDescent="0.25">
      <c r="F741" s="20"/>
      <c r="G741" s="20"/>
    </row>
    <row r="742" spans="6:7" x14ac:dyDescent="0.25">
      <c r="F742" s="20"/>
      <c r="G742" s="20"/>
    </row>
    <row r="743" spans="6:7" x14ac:dyDescent="0.25">
      <c r="F743" s="20"/>
      <c r="G743" s="20"/>
    </row>
    <row r="744" spans="6:7" x14ac:dyDescent="0.25">
      <c r="F744" s="20"/>
      <c r="G744" s="20"/>
    </row>
    <row r="745" spans="6:7" x14ac:dyDescent="0.25">
      <c r="F745" s="20"/>
      <c r="G745" s="20"/>
    </row>
    <row r="746" spans="6:7" x14ac:dyDescent="0.25">
      <c r="F746" s="20"/>
      <c r="G746" s="20"/>
    </row>
    <row r="747" spans="6:7" x14ac:dyDescent="0.25">
      <c r="F747" s="20"/>
      <c r="G747" s="20"/>
    </row>
    <row r="748" spans="6:7" x14ac:dyDescent="0.25">
      <c r="F748" s="20"/>
      <c r="G748" s="20"/>
    </row>
    <row r="749" spans="6:7" x14ac:dyDescent="0.25">
      <c r="F749" s="20"/>
      <c r="G749" s="20"/>
    </row>
    <row r="750" spans="6:7" x14ac:dyDescent="0.25">
      <c r="F750" s="20"/>
      <c r="G750" s="20"/>
    </row>
    <row r="751" spans="6:7" x14ac:dyDescent="0.25">
      <c r="F751" s="20"/>
      <c r="G751" s="20"/>
    </row>
    <row r="752" spans="6:7" x14ac:dyDescent="0.25">
      <c r="F752" s="20"/>
      <c r="G752" s="20"/>
    </row>
    <row r="753" spans="6:7" x14ac:dyDescent="0.25">
      <c r="F753" s="20"/>
      <c r="G753" s="20"/>
    </row>
    <row r="754" spans="6:7" x14ac:dyDescent="0.25">
      <c r="F754" s="20"/>
      <c r="G754" s="20"/>
    </row>
    <row r="755" spans="6:7" x14ac:dyDescent="0.25">
      <c r="F755" s="20"/>
      <c r="G755" s="20"/>
    </row>
    <row r="756" spans="6:7" x14ac:dyDescent="0.25">
      <c r="F756" s="20"/>
      <c r="G756" s="20"/>
    </row>
    <row r="757" spans="6:7" x14ac:dyDescent="0.25">
      <c r="F757" s="20"/>
      <c r="G757" s="20"/>
    </row>
    <row r="758" spans="6:7" x14ac:dyDescent="0.25">
      <c r="F758" s="20"/>
      <c r="G758" s="20"/>
    </row>
    <row r="759" spans="6:7" x14ac:dyDescent="0.25">
      <c r="F759" s="20"/>
      <c r="G759" s="20"/>
    </row>
    <row r="760" spans="6:7" x14ac:dyDescent="0.25">
      <c r="F760" s="20"/>
      <c r="G760" s="20"/>
    </row>
    <row r="761" spans="6:7" x14ac:dyDescent="0.25">
      <c r="F761" s="20"/>
      <c r="G761" s="20"/>
    </row>
    <row r="762" spans="6:7" x14ac:dyDescent="0.25">
      <c r="F762" s="20"/>
      <c r="G762" s="20"/>
    </row>
    <row r="763" spans="6:7" x14ac:dyDescent="0.25">
      <c r="F763" s="20"/>
      <c r="G763" s="20"/>
    </row>
    <row r="764" spans="6:7" x14ac:dyDescent="0.25">
      <c r="F764" s="20"/>
      <c r="G764" s="20"/>
    </row>
    <row r="765" spans="6:7" x14ac:dyDescent="0.25">
      <c r="F765" s="20"/>
      <c r="G765" s="20"/>
    </row>
    <row r="766" spans="6:7" x14ac:dyDescent="0.25">
      <c r="F766" s="20"/>
      <c r="G766" s="20"/>
    </row>
    <row r="767" spans="6:7" x14ac:dyDescent="0.25">
      <c r="F767" s="20"/>
      <c r="G767" s="20"/>
    </row>
    <row r="768" spans="6:7" x14ac:dyDescent="0.25">
      <c r="F768" s="20"/>
      <c r="G768" s="20"/>
    </row>
    <row r="769" spans="6:7" x14ac:dyDescent="0.25">
      <c r="F769" s="20"/>
      <c r="G769" s="20"/>
    </row>
    <row r="770" spans="6:7" x14ac:dyDescent="0.25">
      <c r="F770" s="20"/>
      <c r="G770" s="20"/>
    </row>
    <row r="771" spans="6:7" x14ac:dyDescent="0.25">
      <c r="F771" s="20"/>
      <c r="G771" s="20"/>
    </row>
    <row r="772" spans="6:7" x14ac:dyDescent="0.25">
      <c r="F772" s="20"/>
      <c r="G772" s="20"/>
    </row>
    <row r="773" spans="6:7" x14ac:dyDescent="0.25">
      <c r="F773" s="20"/>
      <c r="G773" s="20"/>
    </row>
    <row r="774" spans="6:7" x14ac:dyDescent="0.25">
      <c r="F774" s="20"/>
      <c r="G774" s="20"/>
    </row>
    <row r="775" spans="6:7" x14ac:dyDescent="0.25">
      <c r="F775" s="20"/>
      <c r="G775" s="20"/>
    </row>
    <row r="776" spans="6:7" x14ac:dyDescent="0.25">
      <c r="F776" s="20"/>
      <c r="G776" s="20"/>
    </row>
    <row r="777" spans="6:7" x14ac:dyDescent="0.25">
      <c r="F777" s="20"/>
      <c r="G777" s="20"/>
    </row>
    <row r="778" spans="6:7" x14ac:dyDescent="0.25">
      <c r="F778" s="20"/>
      <c r="G778" s="20"/>
    </row>
    <row r="779" spans="6:7" x14ac:dyDescent="0.25">
      <c r="F779" s="20"/>
      <c r="G779" s="20"/>
    </row>
    <row r="780" spans="6:7" x14ac:dyDescent="0.25">
      <c r="F780" s="20"/>
      <c r="G780" s="20"/>
    </row>
    <row r="781" spans="6:7" x14ac:dyDescent="0.25">
      <c r="F781" s="20"/>
      <c r="G781" s="20"/>
    </row>
    <row r="782" spans="6:7" x14ac:dyDescent="0.25">
      <c r="F782" s="20"/>
      <c r="G782" s="20"/>
    </row>
    <row r="783" spans="6:7" x14ac:dyDescent="0.25">
      <c r="F783" s="20"/>
      <c r="G783" s="20"/>
    </row>
    <row r="784" spans="6:7" x14ac:dyDescent="0.25">
      <c r="F784" s="20"/>
      <c r="G784" s="20"/>
    </row>
    <row r="785" spans="6:7" x14ac:dyDescent="0.25">
      <c r="F785" s="20"/>
      <c r="G785" s="20"/>
    </row>
    <row r="786" spans="6:7" x14ac:dyDescent="0.25">
      <c r="F786" s="20"/>
      <c r="G786" s="20"/>
    </row>
    <row r="787" spans="6:7" x14ac:dyDescent="0.25">
      <c r="F787" s="20"/>
      <c r="G787" s="20"/>
    </row>
    <row r="788" spans="6:7" x14ac:dyDescent="0.25">
      <c r="F788" s="20"/>
      <c r="G788" s="20"/>
    </row>
    <row r="789" spans="6:7" x14ac:dyDescent="0.25">
      <c r="F789" s="20"/>
      <c r="G789" s="20"/>
    </row>
    <row r="790" spans="6:7" x14ac:dyDescent="0.25">
      <c r="F790" s="20"/>
      <c r="G790" s="20"/>
    </row>
    <row r="791" spans="6:7" x14ac:dyDescent="0.25">
      <c r="F791" s="20"/>
      <c r="G791" s="20"/>
    </row>
    <row r="792" spans="6:7" x14ac:dyDescent="0.25">
      <c r="F792" s="20"/>
      <c r="G792" s="20"/>
    </row>
    <row r="793" spans="6:7" x14ac:dyDescent="0.25">
      <c r="F793" s="20"/>
      <c r="G793" s="20"/>
    </row>
    <row r="794" spans="6:7" x14ac:dyDescent="0.25">
      <c r="F794" s="20"/>
      <c r="G794" s="20"/>
    </row>
    <row r="795" spans="6:7" x14ac:dyDescent="0.25">
      <c r="F795" s="20"/>
      <c r="G795" s="20"/>
    </row>
    <row r="796" spans="6:7" x14ac:dyDescent="0.25">
      <c r="F796" s="20"/>
      <c r="G796" s="20"/>
    </row>
    <row r="797" spans="6:7" x14ac:dyDescent="0.25">
      <c r="F797" s="20"/>
      <c r="G797" s="20"/>
    </row>
    <row r="798" spans="6:7" x14ac:dyDescent="0.25">
      <c r="F798" s="20"/>
      <c r="G798" s="20"/>
    </row>
    <row r="799" spans="6:7" x14ac:dyDescent="0.25">
      <c r="F799" s="20"/>
      <c r="G799" s="20"/>
    </row>
    <row r="800" spans="6:7" x14ac:dyDescent="0.25">
      <c r="F800" s="20"/>
      <c r="G800" s="20"/>
    </row>
    <row r="801" spans="6:7" x14ac:dyDescent="0.25">
      <c r="F801" s="20"/>
      <c r="G801" s="20"/>
    </row>
    <row r="802" spans="6:7" x14ac:dyDescent="0.25">
      <c r="F802" s="20"/>
      <c r="G802" s="20"/>
    </row>
    <row r="803" spans="6:7" x14ac:dyDescent="0.25">
      <c r="F803" s="20"/>
      <c r="G803" s="20"/>
    </row>
    <row r="804" spans="6:7" x14ac:dyDescent="0.25">
      <c r="F804" s="20"/>
      <c r="G804" s="20"/>
    </row>
    <row r="805" spans="6:7" x14ac:dyDescent="0.25">
      <c r="F805" s="20"/>
      <c r="G805" s="20"/>
    </row>
    <row r="806" spans="6:7" x14ac:dyDescent="0.25">
      <c r="F806" s="20"/>
      <c r="G806" s="20"/>
    </row>
    <row r="807" spans="6:7" x14ac:dyDescent="0.25">
      <c r="F807" s="20"/>
      <c r="G807" s="20"/>
    </row>
    <row r="808" spans="6:7" x14ac:dyDescent="0.25">
      <c r="F808" s="20"/>
      <c r="G808" s="20"/>
    </row>
    <row r="809" spans="6:7" x14ac:dyDescent="0.25">
      <c r="F809" s="20"/>
      <c r="G809" s="20"/>
    </row>
    <row r="810" spans="6:7" x14ac:dyDescent="0.25">
      <c r="F810" s="20"/>
      <c r="G810" s="20"/>
    </row>
    <row r="811" spans="6:7" x14ac:dyDescent="0.25">
      <c r="F811" s="20"/>
      <c r="G811" s="20"/>
    </row>
    <row r="812" spans="6:7" x14ac:dyDescent="0.25">
      <c r="F812" s="20"/>
      <c r="G812" s="20"/>
    </row>
    <row r="813" spans="6:7" x14ac:dyDescent="0.25">
      <c r="F813" s="20"/>
      <c r="G813" s="20"/>
    </row>
    <row r="814" spans="6:7" x14ac:dyDescent="0.25">
      <c r="F814" s="20"/>
      <c r="G814" s="20"/>
    </row>
    <row r="815" spans="6:7" x14ac:dyDescent="0.25">
      <c r="F815" s="20"/>
      <c r="G815" s="20"/>
    </row>
    <row r="816" spans="6:7" x14ac:dyDescent="0.25">
      <c r="F816" s="20"/>
      <c r="G816" s="20"/>
    </row>
    <row r="817" spans="6:7" x14ac:dyDescent="0.25">
      <c r="F817" s="20"/>
      <c r="G817" s="20"/>
    </row>
    <row r="818" spans="6:7" x14ac:dyDescent="0.25">
      <c r="F818" s="20"/>
      <c r="G818" s="20"/>
    </row>
    <row r="819" spans="6:7" x14ac:dyDescent="0.25">
      <c r="F819" s="20"/>
      <c r="G819" s="20"/>
    </row>
    <row r="820" spans="6:7" x14ac:dyDescent="0.25">
      <c r="F820" s="20"/>
      <c r="G820" s="20"/>
    </row>
    <row r="821" spans="6:7" x14ac:dyDescent="0.25">
      <c r="F821" s="20"/>
      <c r="G821" s="20"/>
    </row>
    <row r="822" spans="6:7" x14ac:dyDescent="0.25">
      <c r="F822" s="20"/>
      <c r="G822" s="20"/>
    </row>
    <row r="823" spans="6:7" x14ac:dyDescent="0.25">
      <c r="F823" s="20"/>
      <c r="G823" s="20"/>
    </row>
    <row r="824" spans="6:7" x14ac:dyDescent="0.25">
      <c r="F824" s="20"/>
      <c r="G824" s="20"/>
    </row>
    <row r="825" spans="6:7" x14ac:dyDescent="0.25">
      <c r="F825" s="20"/>
      <c r="G825" s="20"/>
    </row>
    <row r="826" spans="6:7" x14ac:dyDescent="0.25">
      <c r="F826" s="20"/>
      <c r="G826" s="20"/>
    </row>
    <row r="827" spans="6:7" x14ac:dyDescent="0.25">
      <c r="F827" s="20"/>
      <c r="G827" s="20"/>
    </row>
    <row r="828" spans="6:7" x14ac:dyDescent="0.25">
      <c r="F828" s="20"/>
      <c r="G828" s="20"/>
    </row>
    <row r="829" spans="6:7" x14ac:dyDescent="0.25">
      <c r="F829" s="20"/>
      <c r="G829" s="20"/>
    </row>
    <row r="830" spans="6:7" x14ac:dyDescent="0.25">
      <c r="F830" s="20"/>
      <c r="G830" s="20"/>
    </row>
    <row r="831" spans="6:7" x14ac:dyDescent="0.25">
      <c r="F831" s="20"/>
      <c r="G831" s="20"/>
    </row>
    <row r="832" spans="6:7" x14ac:dyDescent="0.25">
      <c r="F832" s="20"/>
      <c r="G832" s="20"/>
    </row>
    <row r="833" spans="6:7" x14ac:dyDescent="0.25">
      <c r="F833" s="20"/>
      <c r="G833" s="20"/>
    </row>
    <row r="834" spans="6:7" x14ac:dyDescent="0.25">
      <c r="F834" s="20"/>
      <c r="G834" s="20"/>
    </row>
    <row r="835" spans="6:7" x14ac:dyDescent="0.25">
      <c r="F835" s="20"/>
      <c r="G835" s="20"/>
    </row>
    <row r="836" spans="6:7" x14ac:dyDescent="0.25">
      <c r="F836" s="20"/>
      <c r="G836" s="20"/>
    </row>
    <row r="837" spans="6:7" x14ac:dyDescent="0.25">
      <c r="F837" s="20"/>
      <c r="G837" s="20"/>
    </row>
    <row r="838" spans="6:7" x14ac:dyDescent="0.25">
      <c r="F838" s="20"/>
      <c r="G838" s="20"/>
    </row>
    <row r="839" spans="6:7" x14ac:dyDescent="0.25">
      <c r="F839" s="20"/>
      <c r="G839" s="20"/>
    </row>
    <row r="840" spans="6:7" x14ac:dyDescent="0.25">
      <c r="F840" s="20"/>
      <c r="G840" s="20"/>
    </row>
    <row r="841" spans="6:7" x14ac:dyDescent="0.25">
      <c r="F841" s="20"/>
      <c r="G841" s="20"/>
    </row>
    <row r="842" spans="6:7" x14ac:dyDescent="0.25">
      <c r="F842" s="20"/>
      <c r="G842" s="20"/>
    </row>
    <row r="843" spans="6:7" x14ac:dyDescent="0.25">
      <c r="F843" s="20"/>
      <c r="G843" s="20"/>
    </row>
    <row r="844" spans="6:7" x14ac:dyDescent="0.25">
      <c r="F844" s="20"/>
      <c r="G844" s="20"/>
    </row>
    <row r="845" spans="6:7" x14ac:dyDescent="0.25">
      <c r="F845" s="20"/>
      <c r="G845" s="20"/>
    </row>
    <row r="846" spans="6:7" x14ac:dyDescent="0.25">
      <c r="F846" s="20"/>
      <c r="G846" s="20"/>
    </row>
    <row r="847" spans="6:7" x14ac:dyDescent="0.25">
      <c r="F847" s="20"/>
      <c r="G847" s="20"/>
    </row>
    <row r="848" spans="6:7" x14ac:dyDescent="0.25">
      <c r="F848" s="20"/>
      <c r="G848" s="20"/>
    </row>
    <row r="849" spans="6:7" x14ac:dyDescent="0.25">
      <c r="F849" s="20"/>
      <c r="G849" s="20"/>
    </row>
    <row r="850" spans="6:7" x14ac:dyDescent="0.25">
      <c r="F850" s="20"/>
      <c r="G850" s="20"/>
    </row>
    <row r="851" spans="6:7" x14ac:dyDescent="0.25">
      <c r="F851" s="20"/>
      <c r="G851" s="20"/>
    </row>
    <row r="852" spans="6:7" x14ac:dyDescent="0.25">
      <c r="F852" s="20"/>
      <c r="G852" s="20"/>
    </row>
    <row r="853" spans="6:7" x14ac:dyDescent="0.25">
      <c r="F853" s="20"/>
      <c r="G853" s="20"/>
    </row>
    <row r="854" spans="6:7" x14ac:dyDescent="0.25">
      <c r="F854" s="20"/>
      <c r="G854" s="20"/>
    </row>
    <row r="855" spans="6:7" x14ac:dyDescent="0.25">
      <c r="F855" s="20"/>
      <c r="G855" s="20"/>
    </row>
    <row r="856" spans="6:7" x14ac:dyDescent="0.25">
      <c r="F856" s="20"/>
      <c r="G856" s="20"/>
    </row>
    <row r="857" spans="6:7" x14ac:dyDescent="0.25">
      <c r="F857" s="20"/>
      <c r="G857" s="20"/>
    </row>
    <row r="858" spans="6:7" x14ac:dyDescent="0.25">
      <c r="F858" s="20"/>
      <c r="G858" s="20"/>
    </row>
    <row r="859" spans="6:7" x14ac:dyDescent="0.25">
      <c r="F859" s="20"/>
      <c r="G859" s="20"/>
    </row>
    <row r="860" spans="6:7" x14ac:dyDescent="0.25">
      <c r="F860" s="20"/>
      <c r="G860" s="20"/>
    </row>
    <row r="861" spans="6:7" x14ac:dyDescent="0.25">
      <c r="F861" s="20"/>
      <c r="G861" s="20"/>
    </row>
    <row r="862" spans="6:7" x14ac:dyDescent="0.25">
      <c r="F862" s="20"/>
      <c r="G862" s="20"/>
    </row>
    <row r="863" spans="6:7" x14ac:dyDescent="0.25">
      <c r="F863" s="20"/>
      <c r="G863" s="20"/>
    </row>
    <row r="864" spans="6:7" x14ac:dyDescent="0.25">
      <c r="F864" s="20"/>
      <c r="G864" s="20"/>
    </row>
    <row r="865" spans="6:7" x14ac:dyDescent="0.25">
      <c r="F865" s="20"/>
      <c r="G865" s="20"/>
    </row>
    <row r="866" spans="6:7" x14ac:dyDescent="0.25">
      <c r="F866" s="20"/>
      <c r="G866" s="20"/>
    </row>
    <row r="867" spans="6:7" x14ac:dyDescent="0.25">
      <c r="F867" s="20"/>
      <c r="G867" s="20"/>
    </row>
    <row r="868" spans="6:7" x14ac:dyDescent="0.25">
      <c r="F868" s="20"/>
      <c r="G868" s="20"/>
    </row>
    <row r="869" spans="6:7" x14ac:dyDescent="0.25">
      <c r="F869" s="20"/>
      <c r="G869" s="20"/>
    </row>
    <row r="870" spans="6:7" x14ac:dyDescent="0.25">
      <c r="F870" s="20"/>
      <c r="G870" s="20"/>
    </row>
    <row r="871" spans="6:7" x14ac:dyDescent="0.25">
      <c r="F871" s="20"/>
      <c r="G871" s="20"/>
    </row>
    <row r="872" spans="6:7" x14ac:dyDescent="0.25">
      <c r="F872" s="20"/>
      <c r="G872" s="20"/>
    </row>
    <row r="873" spans="6:7" x14ac:dyDescent="0.25">
      <c r="F873" s="20"/>
      <c r="G873" s="20"/>
    </row>
    <row r="874" spans="6:7" x14ac:dyDescent="0.25">
      <c r="F874" s="20"/>
      <c r="G874" s="20"/>
    </row>
    <row r="875" spans="6:7" x14ac:dyDescent="0.25">
      <c r="F875" s="20"/>
      <c r="G875" s="20"/>
    </row>
    <row r="876" spans="6:7" x14ac:dyDescent="0.25">
      <c r="F876" s="20"/>
      <c r="G876" s="20"/>
    </row>
    <row r="877" spans="6:7" x14ac:dyDescent="0.25">
      <c r="F877" s="20"/>
      <c r="G877" s="20"/>
    </row>
    <row r="878" spans="6:7" x14ac:dyDescent="0.25">
      <c r="F878" s="20"/>
      <c r="G878" s="20"/>
    </row>
    <row r="879" spans="6:7" x14ac:dyDescent="0.25">
      <c r="F879" s="20"/>
      <c r="G879" s="20"/>
    </row>
    <row r="880" spans="6:7" x14ac:dyDescent="0.25">
      <c r="F880" s="20"/>
      <c r="G880" s="20"/>
    </row>
    <row r="881" spans="6:7" x14ac:dyDescent="0.25">
      <c r="F881" s="20"/>
      <c r="G881" s="20"/>
    </row>
    <row r="882" spans="6:7" x14ac:dyDescent="0.25">
      <c r="F882" s="20"/>
      <c r="G882" s="20"/>
    </row>
    <row r="883" spans="6:7" x14ac:dyDescent="0.25">
      <c r="F883" s="20"/>
      <c r="G883" s="20"/>
    </row>
    <row r="884" spans="6:7" x14ac:dyDescent="0.25">
      <c r="F884" s="20"/>
      <c r="G884" s="20"/>
    </row>
    <row r="885" spans="6:7" x14ac:dyDescent="0.25">
      <c r="F885" s="20"/>
      <c r="G885" s="20"/>
    </row>
    <row r="886" spans="6:7" x14ac:dyDescent="0.25">
      <c r="F886" s="20"/>
      <c r="G886" s="20"/>
    </row>
    <row r="887" spans="6:7" x14ac:dyDescent="0.25">
      <c r="F887" s="20"/>
      <c r="G887" s="20"/>
    </row>
    <row r="888" spans="6:7" x14ac:dyDescent="0.25">
      <c r="F888" s="20"/>
      <c r="G888" s="20"/>
    </row>
    <row r="889" spans="6:7" x14ac:dyDescent="0.25">
      <c r="F889" s="20"/>
      <c r="G889" s="20"/>
    </row>
    <row r="890" spans="6:7" x14ac:dyDescent="0.25">
      <c r="F890" s="20"/>
      <c r="G890" s="20"/>
    </row>
    <row r="891" spans="6:7" x14ac:dyDescent="0.25">
      <c r="F891" s="20"/>
      <c r="G891" s="20"/>
    </row>
    <row r="892" spans="6:7" x14ac:dyDescent="0.25">
      <c r="F892" s="20"/>
      <c r="G892" s="20"/>
    </row>
    <row r="893" spans="6:7" x14ac:dyDescent="0.25">
      <c r="F893" s="20"/>
      <c r="G893" s="20"/>
    </row>
    <row r="894" spans="6:7" x14ac:dyDescent="0.25">
      <c r="F894" s="20"/>
      <c r="G894" s="20"/>
    </row>
    <row r="895" spans="6:7" x14ac:dyDescent="0.25">
      <c r="F895" s="20"/>
      <c r="G895" s="20"/>
    </row>
    <row r="896" spans="6:7" x14ac:dyDescent="0.25">
      <c r="F896" s="20"/>
      <c r="G896" s="20"/>
    </row>
    <row r="897" spans="6:7" x14ac:dyDescent="0.25">
      <c r="F897" s="20"/>
      <c r="G897" s="20"/>
    </row>
    <row r="898" spans="6:7" x14ac:dyDescent="0.25">
      <c r="F898" s="20"/>
      <c r="G898" s="20"/>
    </row>
    <row r="899" spans="6:7" x14ac:dyDescent="0.25">
      <c r="F899" s="20"/>
      <c r="G899" s="20"/>
    </row>
    <row r="900" spans="6:7" x14ac:dyDescent="0.25">
      <c r="F900" s="20"/>
      <c r="G900" s="20"/>
    </row>
    <row r="901" spans="6:7" x14ac:dyDescent="0.25">
      <c r="F901" s="20"/>
      <c r="G901" s="20"/>
    </row>
    <row r="902" spans="6:7" x14ac:dyDescent="0.25">
      <c r="F902" s="20"/>
      <c r="G902" s="20"/>
    </row>
    <row r="903" spans="6:7" x14ac:dyDescent="0.25">
      <c r="F903" s="20"/>
      <c r="G903" s="20"/>
    </row>
    <row r="904" spans="6:7" x14ac:dyDescent="0.25">
      <c r="F904" s="20"/>
      <c r="G904" s="20"/>
    </row>
    <row r="905" spans="6:7" x14ac:dyDescent="0.25">
      <c r="F905" s="20"/>
      <c r="G905" s="20"/>
    </row>
    <row r="906" spans="6:7" x14ac:dyDescent="0.25">
      <c r="F906" s="20"/>
      <c r="G906" s="20"/>
    </row>
    <row r="907" spans="6:7" x14ac:dyDescent="0.25">
      <c r="F907" s="20"/>
      <c r="G907" s="20"/>
    </row>
    <row r="908" spans="6:7" x14ac:dyDescent="0.25">
      <c r="F908" s="20"/>
      <c r="G908" s="20"/>
    </row>
    <row r="909" spans="6:7" x14ac:dyDescent="0.25">
      <c r="F909" s="20"/>
      <c r="G909" s="20"/>
    </row>
    <row r="910" spans="6:7" x14ac:dyDescent="0.25">
      <c r="F910" s="20"/>
      <c r="G910" s="20"/>
    </row>
    <row r="911" spans="6:7" x14ac:dyDescent="0.25">
      <c r="F911" s="20"/>
      <c r="G911" s="20"/>
    </row>
    <row r="912" spans="6:7" x14ac:dyDescent="0.25">
      <c r="F912" s="20"/>
      <c r="G912" s="20"/>
    </row>
    <row r="913" spans="6:7" x14ac:dyDescent="0.25">
      <c r="F913" s="20"/>
      <c r="G913" s="20"/>
    </row>
    <row r="914" spans="6:7" x14ac:dyDescent="0.25">
      <c r="F914" s="20"/>
      <c r="G914" s="20"/>
    </row>
    <row r="915" spans="6:7" x14ac:dyDescent="0.25">
      <c r="F915" s="20"/>
      <c r="G915" s="20"/>
    </row>
    <row r="916" spans="6:7" x14ac:dyDescent="0.25">
      <c r="F916" s="20"/>
      <c r="G916" s="20"/>
    </row>
    <row r="917" spans="6:7" x14ac:dyDescent="0.25">
      <c r="F917" s="20"/>
      <c r="G917" s="20"/>
    </row>
    <row r="918" spans="6:7" x14ac:dyDescent="0.25">
      <c r="F918" s="20"/>
      <c r="G918" s="20"/>
    </row>
    <row r="919" spans="6:7" x14ac:dyDescent="0.25">
      <c r="F919" s="20"/>
      <c r="G919" s="20"/>
    </row>
    <row r="920" spans="6:7" x14ac:dyDescent="0.25">
      <c r="F920" s="20"/>
      <c r="G920" s="20"/>
    </row>
    <row r="921" spans="6:7" x14ac:dyDescent="0.25">
      <c r="F921" s="20"/>
      <c r="G921" s="20"/>
    </row>
    <row r="922" spans="6:7" x14ac:dyDescent="0.25">
      <c r="F922" s="20"/>
      <c r="G922" s="20"/>
    </row>
    <row r="923" spans="6:7" x14ac:dyDescent="0.25">
      <c r="F923" s="20"/>
      <c r="G923" s="20"/>
    </row>
    <row r="924" spans="6:7" x14ac:dyDescent="0.25">
      <c r="F924" s="20"/>
      <c r="G924" s="20"/>
    </row>
    <row r="925" spans="6:7" x14ac:dyDescent="0.25">
      <c r="F925" s="20"/>
      <c r="G925" s="20"/>
    </row>
    <row r="926" spans="6:7" x14ac:dyDescent="0.25">
      <c r="F926" s="20"/>
      <c r="G926" s="20"/>
    </row>
    <row r="927" spans="6:7" x14ac:dyDescent="0.25">
      <c r="F927" s="20"/>
      <c r="G927" s="20"/>
    </row>
    <row r="928" spans="6:7" x14ac:dyDescent="0.25">
      <c r="F928" s="20"/>
      <c r="G928" s="20"/>
    </row>
    <row r="929" spans="6:7" x14ac:dyDescent="0.25">
      <c r="F929" s="20"/>
      <c r="G929" s="20"/>
    </row>
    <row r="930" spans="6:7" x14ac:dyDescent="0.25">
      <c r="F930" s="20"/>
      <c r="G930" s="20"/>
    </row>
    <row r="931" spans="6:7" x14ac:dyDescent="0.25">
      <c r="F931" s="20"/>
      <c r="G931" s="20"/>
    </row>
    <row r="932" spans="6:7" x14ac:dyDescent="0.25">
      <c r="F932" s="20"/>
      <c r="G932" s="20"/>
    </row>
    <row r="933" spans="6:7" x14ac:dyDescent="0.25">
      <c r="F933" s="20"/>
      <c r="G933" s="20"/>
    </row>
    <row r="934" spans="6:7" x14ac:dyDescent="0.25">
      <c r="F934" s="20"/>
      <c r="G934" s="20"/>
    </row>
    <row r="935" spans="6:7" x14ac:dyDescent="0.25">
      <c r="F935" s="20"/>
      <c r="G935" s="20"/>
    </row>
    <row r="936" spans="6:7" x14ac:dyDescent="0.25">
      <c r="F936" s="20"/>
      <c r="G936" s="20"/>
    </row>
    <row r="937" spans="6:7" x14ac:dyDescent="0.25">
      <c r="F937" s="20"/>
      <c r="G937" s="20"/>
    </row>
    <row r="938" spans="6:7" x14ac:dyDescent="0.25">
      <c r="F938" s="20"/>
      <c r="G938" s="20"/>
    </row>
    <row r="939" spans="6:7" x14ac:dyDescent="0.25">
      <c r="F939" s="20"/>
      <c r="G939" s="20"/>
    </row>
    <row r="940" spans="6:7" x14ac:dyDescent="0.25">
      <c r="F940" s="20"/>
      <c r="G940" s="20"/>
    </row>
    <row r="941" spans="6:7" x14ac:dyDescent="0.25">
      <c r="F941" s="20"/>
      <c r="G941" s="20"/>
    </row>
    <row r="942" spans="6:7" x14ac:dyDescent="0.25">
      <c r="F942" s="20"/>
      <c r="G942" s="20"/>
    </row>
    <row r="943" spans="6:7" x14ac:dyDescent="0.25">
      <c r="F943" s="20"/>
      <c r="G943" s="20"/>
    </row>
    <row r="944" spans="6:7" x14ac:dyDescent="0.25">
      <c r="F944" s="20"/>
      <c r="G944" s="20"/>
    </row>
    <row r="945" spans="6:7" x14ac:dyDescent="0.25">
      <c r="F945" s="20"/>
      <c r="G945" s="20"/>
    </row>
    <row r="946" spans="6:7" x14ac:dyDescent="0.25">
      <c r="F946" s="20"/>
      <c r="G946" s="20"/>
    </row>
    <row r="947" spans="6:7" x14ac:dyDescent="0.25">
      <c r="F947" s="20"/>
      <c r="G947" s="20"/>
    </row>
    <row r="948" spans="6:7" x14ac:dyDescent="0.25">
      <c r="F948" s="20"/>
      <c r="G948" s="20"/>
    </row>
    <row r="949" spans="6:7" x14ac:dyDescent="0.25">
      <c r="F949" s="20"/>
      <c r="G949" s="20"/>
    </row>
    <row r="950" spans="6:7" x14ac:dyDescent="0.25">
      <c r="F950" s="20"/>
      <c r="G950" s="20"/>
    </row>
    <row r="951" spans="6:7" x14ac:dyDescent="0.25">
      <c r="F951" s="20"/>
      <c r="G951" s="20"/>
    </row>
    <row r="952" spans="6:7" x14ac:dyDescent="0.25">
      <c r="F952" s="20"/>
      <c r="G952" s="20"/>
    </row>
    <row r="953" spans="6:7" x14ac:dyDescent="0.25">
      <c r="F953" s="20"/>
      <c r="G953" s="20"/>
    </row>
    <row r="954" spans="6:7" x14ac:dyDescent="0.25">
      <c r="F954" s="20"/>
      <c r="G954" s="20"/>
    </row>
    <row r="955" spans="6:7" x14ac:dyDescent="0.25">
      <c r="F955" s="20"/>
      <c r="G955" s="20"/>
    </row>
    <row r="956" spans="6:7" x14ac:dyDescent="0.25">
      <c r="F956" s="20"/>
      <c r="G956" s="20"/>
    </row>
    <row r="957" spans="6:7" x14ac:dyDescent="0.25">
      <c r="F957" s="20"/>
      <c r="G957" s="20"/>
    </row>
    <row r="958" spans="6:7" x14ac:dyDescent="0.25">
      <c r="F958" s="20"/>
      <c r="G958" s="20"/>
    </row>
    <row r="959" spans="6:7" x14ac:dyDescent="0.25">
      <c r="F959" s="20"/>
      <c r="G959" s="20"/>
    </row>
    <row r="960" spans="6:7" x14ac:dyDescent="0.25">
      <c r="F960" s="20"/>
      <c r="G960" s="20"/>
    </row>
    <row r="961" spans="6:7" x14ac:dyDescent="0.25">
      <c r="F961" s="20"/>
      <c r="G961" s="20"/>
    </row>
    <row r="962" spans="6:7" x14ac:dyDescent="0.25">
      <c r="F962" s="20"/>
      <c r="G962" s="20"/>
    </row>
    <row r="963" spans="6:7" x14ac:dyDescent="0.25">
      <c r="F963" s="20"/>
      <c r="G963" s="20"/>
    </row>
    <row r="964" spans="6:7" x14ac:dyDescent="0.25">
      <c r="F964" s="20"/>
      <c r="G964" s="20"/>
    </row>
    <row r="965" spans="6:7" x14ac:dyDescent="0.25">
      <c r="F965" s="20"/>
      <c r="G965" s="20"/>
    </row>
    <row r="966" spans="6:7" x14ac:dyDescent="0.25">
      <c r="F966" s="20"/>
      <c r="G966" s="20"/>
    </row>
    <row r="967" spans="6:7" x14ac:dyDescent="0.25">
      <c r="F967" s="20"/>
      <c r="G967" s="20"/>
    </row>
    <row r="968" spans="6:7" x14ac:dyDescent="0.25">
      <c r="F968" s="20"/>
      <c r="G968" s="20"/>
    </row>
    <row r="969" spans="6:7" x14ac:dyDescent="0.25">
      <c r="F969" s="20"/>
      <c r="G969" s="20"/>
    </row>
    <row r="970" spans="6:7" x14ac:dyDescent="0.25">
      <c r="F970" s="20"/>
      <c r="G970" s="20"/>
    </row>
    <row r="971" spans="6:7" x14ac:dyDescent="0.25">
      <c r="F971" s="20"/>
      <c r="G971" s="20"/>
    </row>
    <row r="972" spans="6:7" x14ac:dyDescent="0.25">
      <c r="F972" s="20"/>
      <c r="G972" s="20"/>
    </row>
    <row r="973" spans="6:7" x14ac:dyDescent="0.25">
      <c r="F973" s="20"/>
      <c r="G973" s="20"/>
    </row>
    <row r="974" spans="6:7" x14ac:dyDescent="0.25">
      <c r="F974" s="20"/>
      <c r="G974" s="20"/>
    </row>
    <row r="975" spans="6:7" x14ac:dyDescent="0.25">
      <c r="F975" s="20"/>
      <c r="G975" s="20"/>
    </row>
    <row r="976" spans="6:7" x14ac:dyDescent="0.25">
      <c r="F976" s="20"/>
      <c r="G976" s="20"/>
    </row>
    <row r="977" spans="6:7" x14ac:dyDescent="0.25">
      <c r="F977" s="20"/>
      <c r="G977" s="20"/>
    </row>
    <row r="978" spans="6:7" x14ac:dyDescent="0.25">
      <c r="F978" s="20"/>
      <c r="G978" s="20"/>
    </row>
    <row r="979" spans="6:7" x14ac:dyDescent="0.25">
      <c r="F979" s="20"/>
      <c r="G979" s="20"/>
    </row>
    <row r="980" spans="6:7" x14ac:dyDescent="0.25">
      <c r="F980" s="20"/>
      <c r="G980" s="20"/>
    </row>
    <row r="981" spans="6:7" x14ac:dyDescent="0.25">
      <c r="F981" s="20"/>
      <c r="G981" s="20"/>
    </row>
    <row r="982" spans="6:7" x14ac:dyDescent="0.25">
      <c r="F982" s="20"/>
      <c r="G982" s="20"/>
    </row>
    <row r="983" spans="6:7" x14ac:dyDescent="0.25">
      <c r="F983" s="20"/>
      <c r="G983" s="20"/>
    </row>
    <row r="984" spans="6:7" x14ac:dyDescent="0.25">
      <c r="F984" s="20"/>
      <c r="G984" s="20"/>
    </row>
    <row r="985" spans="6:7" x14ac:dyDescent="0.25">
      <c r="F985" s="20"/>
      <c r="G985" s="20"/>
    </row>
    <row r="986" spans="6:7" x14ac:dyDescent="0.25">
      <c r="F986" s="20"/>
      <c r="G986" s="20"/>
    </row>
    <row r="987" spans="6:7" x14ac:dyDescent="0.25">
      <c r="F987" s="20"/>
      <c r="G987" s="20"/>
    </row>
    <row r="988" spans="6:7" x14ac:dyDescent="0.25">
      <c r="F988" s="20"/>
      <c r="G988" s="20"/>
    </row>
    <row r="989" spans="6:7" x14ac:dyDescent="0.25">
      <c r="F989" s="20"/>
      <c r="G989" s="20"/>
    </row>
    <row r="990" spans="6:7" x14ac:dyDescent="0.25">
      <c r="F990" s="20"/>
      <c r="G990" s="20"/>
    </row>
    <row r="991" spans="6:7" x14ac:dyDescent="0.25">
      <c r="F991" s="20"/>
      <c r="G991" s="20"/>
    </row>
    <row r="992" spans="6:7" x14ac:dyDescent="0.25">
      <c r="F992" s="20"/>
      <c r="G992" s="20"/>
    </row>
    <row r="993" spans="6:7" x14ac:dyDescent="0.25">
      <c r="F993" s="20"/>
      <c r="G993" s="20"/>
    </row>
    <row r="994" spans="6:7" x14ac:dyDescent="0.25">
      <c r="F994" s="20"/>
      <c r="G994" s="20"/>
    </row>
    <row r="995" spans="6:7" x14ac:dyDescent="0.25">
      <c r="F995" s="20"/>
      <c r="G995" s="20"/>
    </row>
    <row r="996" spans="6:7" x14ac:dyDescent="0.25">
      <c r="F996" s="20"/>
      <c r="G996" s="20"/>
    </row>
    <row r="997" spans="6:7" x14ac:dyDescent="0.25">
      <c r="F997" s="20"/>
      <c r="G997" s="20"/>
    </row>
    <row r="998" spans="6:7" x14ac:dyDescent="0.25">
      <c r="F998" s="20"/>
      <c r="G998" s="20"/>
    </row>
    <row r="999" spans="6:7" x14ac:dyDescent="0.25">
      <c r="F999" s="20"/>
      <c r="G999" s="20"/>
    </row>
    <row r="1000" spans="6:7" x14ac:dyDescent="0.25">
      <c r="F1000" s="20"/>
      <c r="G1000" s="20"/>
    </row>
    <row r="1001" spans="6:7" x14ac:dyDescent="0.25">
      <c r="F1001" s="20"/>
      <c r="G1001" s="20"/>
    </row>
    <row r="1002" spans="6:7" x14ac:dyDescent="0.25">
      <c r="F1002" s="20"/>
      <c r="G1002" s="20"/>
    </row>
    <row r="1003" spans="6:7" x14ac:dyDescent="0.25">
      <c r="F1003" s="20"/>
      <c r="G1003" s="20"/>
    </row>
    <row r="1004" spans="6:7" x14ac:dyDescent="0.25">
      <c r="F1004" s="20"/>
      <c r="G1004" s="20"/>
    </row>
    <row r="1005" spans="6:7" x14ac:dyDescent="0.25">
      <c r="F1005" s="20"/>
      <c r="G1005" s="20"/>
    </row>
    <row r="1006" spans="6:7" x14ac:dyDescent="0.25">
      <c r="F1006" s="20"/>
      <c r="G1006" s="20"/>
    </row>
    <row r="1007" spans="6:7" x14ac:dyDescent="0.25">
      <c r="F1007" s="20"/>
      <c r="G1007" s="20"/>
    </row>
    <row r="1008" spans="6:7" x14ac:dyDescent="0.25">
      <c r="F1008" s="20"/>
      <c r="G1008" s="20"/>
    </row>
    <row r="1009" spans="6:7" x14ac:dyDescent="0.25">
      <c r="F1009" s="20"/>
      <c r="G1009" s="20"/>
    </row>
    <row r="1010" spans="6:7" x14ac:dyDescent="0.25">
      <c r="F1010" s="20"/>
      <c r="G1010" s="20"/>
    </row>
    <row r="1011" spans="6:7" x14ac:dyDescent="0.25">
      <c r="F1011" s="20"/>
      <c r="G1011" s="20"/>
    </row>
    <row r="1012" spans="6:7" x14ac:dyDescent="0.25">
      <c r="F1012" s="20"/>
      <c r="G1012" s="20"/>
    </row>
    <row r="1013" spans="6:7" x14ac:dyDescent="0.25">
      <c r="F1013" s="20"/>
      <c r="G1013" s="20"/>
    </row>
    <row r="1014" spans="6:7" x14ac:dyDescent="0.25">
      <c r="F1014" s="20"/>
      <c r="G1014" s="20"/>
    </row>
    <row r="1015" spans="6:7" x14ac:dyDescent="0.25">
      <c r="F1015" s="20"/>
      <c r="G1015" s="20"/>
    </row>
    <row r="1016" spans="6:7" x14ac:dyDescent="0.25">
      <c r="F1016" s="20"/>
      <c r="G1016" s="20"/>
    </row>
    <row r="1017" spans="6:7" x14ac:dyDescent="0.25">
      <c r="F1017" s="20"/>
      <c r="G1017" s="20"/>
    </row>
    <row r="1018" spans="6:7" x14ac:dyDescent="0.25">
      <c r="F1018" s="20"/>
      <c r="G1018" s="20"/>
    </row>
    <row r="1019" spans="6:7" x14ac:dyDescent="0.25">
      <c r="F1019" s="20"/>
      <c r="G1019" s="20"/>
    </row>
    <row r="1020" spans="6:7" x14ac:dyDescent="0.25">
      <c r="F1020" s="20"/>
      <c r="G1020" s="20"/>
    </row>
    <row r="1021" spans="6:7" x14ac:dyDescent="0.25">
      <c r="F1021" s="20"/>
      <c r="G1021" s="20"/>
    </row>
    <row r="1022" spans="6:7" x14ac:dyDescent="0.25">
      <c r="F1022" s="20"/>
      <c r="G1022" s="20"/>
    </row>
    <row r="1023" spans="6:7" x14ac:dyDescent="0.25">
      <c r="F1023" s="20"/>
      <c r="G1023" s="20"/>
    </row>
    <row r="1024" spans="6:7" x14ac:dyDescent="0.25">
      <c r="F1024" s="20"/>
      <c r="G1024" s="20"/>
    </row>
    <row r="1025" spans="6:7" x14ac:dyDescent="0.25">
      <c r="F1025" s="20"/>
      <c r="G1025" s="20"/>
    </row>
    <row r="1026" spans="6:7" x14ac:dyDescent="0.25">
      <c r="F1026" s="20"/>
      <c r="G1026" s="20"/>
    </row>
    <row r="1027" spans="6:7" x14ac:dyDescent="0.25">
      <c r="F1027" s="20"/>
      <c r="G1027" s="20"/>
    </row>
    <row r="1028" spans="6:7" x14ac:dyDescent="0.25">
      <c r="F1028" s="20"/>
      <c r="G1028" s="20"/>
    </row>
    <row r="1029" spans="6:7" x14ac:dyDescent="0.25">
      <c r="F1029" s="20"/>
      <c r="G1029" s="20"/>
    </row>
    <row r="1030" spans="6:7" x14ac:dyDescent="0.25">
      <c r="F1030" s="20"/>
      <c r="G1030" s="20"/>
    </row>
    <row r="1031" spans="6:7" x14ac:dyDescent="0.25">
      <c r="F1031" s="20"/>
      <c r="G1031" s="20"/>
    </row>
    <row r="1032" spans="6:7" x14ac:dyDescent="0.25">
      <c r="F1032" s="20"/>
      <c r="G1032" s="20"/>
    </row>
    <row r="1033" spans="6:7" x14ac:dyDescent="0.25">
      <c r="F1033" s="20"/>
      <c r="G1033" s="20"/>
    </row>
    <row r="1034" spans="6:7" x14ac:dyDescent="0.25">
      <c r="F1034" s="20"/>
      <c r="G1034" s="20"/>
    </row>
    <row r="1035" spans="6:7" x14ac:dyDescent="0.25">
      <c r="F1035" s="20"/>
      <c r="G1035" s="20"/>
    </row>
    <row r="1036" spans="6:7" x14ac:dyDescent="0.25">
      <c r="F1036" s="20"/>
      <c r="G1036" s="20"/>
    </row>
    <row r="1037" spans="6:7" x14ac:dyDescent="0.25">
      <c r="F1037" s="20"/>
      <c r="G1037" s="20"/>
    </row>
    <row r="1038" spans="6:7" x14ac:dyDescent="0.25">
      <c r="F1038" s="20"/>
      <c r="G1038" s="20"/>
    </row>
    <row r="1039" spans="6:7" x14ac:dyDescent="0.25">
      <c r="F1039" s="20"/>
      <c r="G1039" s="20"/>
    </row>
    <row r="1040" spans="6:7" x14ac:dyDescent="0.25">
      <c r="F1040" s="20"/>
      <c r="G1040" s="20"/>
    </row>
    <row r="1041" spans="6:7" x14ac:dyDescent="0.25">
      <c r="F1041" s="20"/>
      <c r="G1041" s="20"/>
    </row>
    <row r="1042" spans="6:7" x14ac:dyDescent="0.25">
      <c r="F1042" s="20"/>
      <c r="G1042" s="20"/>
    </row>
    <row r="1043" spans="6:7" x14ac:dyDescent="0.25">
      <c r="F1043" s="20"/>
      <c r="G1043" s="20"/>
    </row>
    <row r="1044" spans="6:7" x14ac:dyDescent="0.25">
      <c r="F1044" s="20"/>
      <c r="G1044" s="20"/>
    </row>
    <row r="1045" spans="6:7" x14ac:dyDescent="0.25">
      <c r="F1045" s="20"/>
      <c r="G1045" s="20"/>
    </row>
    <row r="1046" spans="6:7" x14ac:dyDescent="0.25">
      <c r="F1046" s="20"/>
      <c r="G1046" s="20"/>
    </row>
    <row r="1047" spans="6:7" x14ac:dyDescent="0.25">
      <c r="F1047" s="20"/>
      <c r="G1047" s="20"/>
    </row>
    <row r="1048" spans="6:7" x14ac:dyDescent="0.25">
      <c r="F1048" s="20"/>
      <c r="G1048" s="20"/>
    </row>
    <row r="1049" spans="6:7" x14ac:dyDescent="0.25">
      <c r="F1049" s="20"/>
      <c r="G1049" s="20"/>
    </row>
    <row r="1050" spans="6:7" x14ac:dyDescent="0.25">
      <c r="F1050" s="20"/>
      <c r="G1050" s="20"/>
    </row>
    <row r="1051" spans="6:7" x14ac:dyDescent="0.25">
      <c r="F1051" s="20"/>
      <c r="G1051" s="20"/>
    </row>
    <row r="1052" spans="6:7" x14ac:dyDescent="0.25">
      <c r="F1052" s="20"/>
      <c r="G1052" s="20"/>
    </row>
    <row r="1053" spans="6:7" x14ac:dyDescent="0.25">
      <c r="F1053" s="20"/>
      <c r="G1053" s="20"/>
    </row>
    <row r="1054" spans="6:7" x14ac:dyDescent="0.25">
      <c r="F1054" s="20"/>
      <c r="G1054" s="20"/>
    </row>
    <row r="1055" spans="6:7" x14ac:dyDescent="0.25">
      <c r="F1055" s="20"/>
      <c r="G1055" s="20"/>
    </row>
    <row r="1056" spans="6:7" x14ac:dyDescent="0.25">
      <c r="F1056" s="20"/>
      <c r="G1056" s="20"/>
    </row>
    <row r="1057" spans="6:7" x14ac:dyDescent="0.25">
      <c r="F1057" s="20"/>
      <c r="G1057" s="20"/>
    </row>
    <row r="1058" spans="6:7" x14ac:dyDescent="0.25">
      <c r="F1058" s="20"/>
      <c r="G1058" s="20"/>
    </row>
    <row r="1059" spans="6:7" x14ac:dyDescent="0.25">
      <c r="F1059" s="20"/>
      <c r="G1059" s="20"/>
    </row>
    <row r="1060" spans="6:7" x14ac:dyDescent="0.25">
      <c r="F1060" s="20"/>
      <c r="G1060" s="20"/>
    </row>
    <row r="1061" spans="6:7" x14ac:dyDescent="0.25">
      <c r="F1061" s="20"/>
      <c r="G1061" s="20"/>
    </row>
    <row r="1062" spans="6:7" x14ac:dyDescent="0.25">
      <c r="F1062" s="20"/>
      <c r="G1062" s="20"/>
    </row>
    <row r="1063" spans="6:7" x14ac:dyDescent="0.25">
      <c r="F1063" s="20"/>
      <c r="G1063" s="20"/>
    </row>
    <row r="1064" spans="6:7" x14ac:dyDescent="0.25">
      <c r="F1064" s="20"/>
      <c r="G1064" s="20"/>
    </row>
    <row r="1065" spans="6:7" x14ac:dyDescent="0.25">
      <c r="F1065" s="20"/>
      <c r="G1065" s="20"/>
    </row>
    <row r="1066" spans="6:7" x14ac:dyDescent="0.25">
      <c r="F1066" s="20"/>
      <c r="G1066" s="20"/>
    </row>
    <row r="1067" spans="6:7" x14ac:dyDescent="0.25">
      <c r="F1067" s="20"/>
      <c r="G1067" s="20"/>
    </row>
    <row r="1068" spans="6:7" x14ac:dyDescent="0.25">
      <c r="F1068" s="20"/>
      <c r="G1068" s="20"/>
    </row>
    <row r="1069" spans="6:7" x14ac:dyDescent="0.25">
      <c r="F1069" s="20"/>
      <c r="G1069" s="20"/>
    </row>
    <row r="1070" spans="6:7" x14ac:dyDescent="0.25">
      <c r="F1070" s="20"/>
      <c r="G1070" s="20"/>
    </row>
    <row r="1071" spans="6:7" x14ac:dyDescent="0.25">
      <c r="F1071" s="20"/>
      <c r="G1071" s="20"/>
    </row>
    <row r="1072" spans="6:7" x14ac:dyDescent="0.25">
      <c r="F1072" s="20"/>
      <c r="G1072" s="20"/>
    </row>
    <row r="1073" spans="6:7" x14ac:dyDescent="0.25">
      <c r="F1073" s="20"/>
      <c r="G1073" s="20"/>
    </row>
    <row r="1074" spans="6:7" x14ac:dyDescent="0.25">
      <c r="F1074" s="20"/>
      <c r="G1074" s="20"/>
    </row>
    <row r="1075" spans="6:7" x14ac:dyDescent="0.25">
      <c r="F1075" s="20"/>
      <c r="G1075" s="20"/>
    </row>
    <row r="1076" spans="6:7" x14ac:dyDescent="0.25">
      <c r="F1076" s="20"/>
      <c r="G1076" s="20"/>
    </row>
    <row r="1077" spans="6:7" x14ac:dyDescent="0.25">
      <c r="F1077" s="20"/>
      <c r="G1077" s="20"/>
    </row>
    <row r="1078" spans="6:7" x14ac:dyDescent="0.25">
      <c r="F1078" s="20"/>
      <c r="G1078" s="20"/>
    </row>
    <row r="1079" spans="6:7" x14ac:dyDescent="0.25">
      <c r="F1079" s="20"/>
      <c r="G1079" s="20"/>
    </row>
    <row r="1080" spans="6:7" x14ac:dyDescent="0.25">
      <c r="F1080" s="20"/>
      <c r="G1080" s="20"/>
    </row>
    <row r="1081" spans="6:7" x14ac:dyDescent="0.25">
      <c r="F1081" s="20"/>
      <c r="G1081" s="20"/>
    </row>
    <row r="1082" spans="6:7" x14ac:dyDescent="0.25">
      <c r="F1082" s="20"/>
      <c r="G1082" s="20"/>
    </row>
    <row r="1083" spans="6:7" x14ac:dyDescent="0.25">
      <c r="F1083" s="20"/>
      <c r="G1083" s="20"/>
    </row>
    <row r="1084" spans="6:7" x14ac:dyDescent="0.25">
      <c r="F1084" s="20"/>
      <c r="G1084" s="20"/>
    </row>
    <row r="1085" spans="6:7" x14ac:dyDescent="0.25">
      <c r="F1085" s="20"/>
      <c r="G1085" s="20"/>
    </row>
    <row r="1086" spans="6:7" x14ac:dyDescent="0.25">
      <c r="F1086" s="20"/>
      <c r="G1086" s="20"/>
    </row>
    <row r="1087" spans="6:7" x14ac:dyDescent="0.25">
      <c r="F1087" s="20"/>
      <c r="G1087" s="20"/>
    </row>
    <row r="1088" spans="6:7" x14ac:dyDescent="0.25">
      <c r="F1088" s="20"/>
      <c r="G1088" s="20"/>
    </row>
    <row r="1089" spans="6:7" x14ac:dyDescent="0.25">
      <c r="F1089" s="20"/>
      <c r="G1089" s="20"/>
    </row>
    <row r="1090" spans="6:7" x14ac:dyDescent="0.25">
      <c r="F1090" s="20"/>
      <c r="G1090" s="20"/>
    </row>
    <row r="1091" spans="6:7" x14ac:dyDescent="0.25">
      <c r="F1091" s="20"/>
      <c r="G1091" s="20"/>
    </row>
    <row r="1092" spans="6:7" x14ac:dyDescent="0.25">
      <c r="F1092" s="20"/>
      <c r="G1092" s="20"/>
    </row>
    <row r="1093" spans="6:7" x14ac:dyDescent="0.25">
      <c r="F1093" s="20"/>
      <c r="G1093" s="20"/>
    </row>
    <row r="1094" spans="6:7" x14ac:dyDescent="0.25">
      <c r="F1094" s="20"/>
      <c r="G1094" s="20"/>
    </row>
    <row r="1095" spans="6:7" x14ac:dyDescent="0.25">
      <c r="F1095" s="20"/>
      <c r="G1095" s="20"/>
    </row>
    <row r="1096" spans="6:7" x14ac:dyDescent="0.25">
      <c r="F1096" s="20"/>
      <c r="G1096" s="20"/>
    </row>
    <row r="1097" spans="6:7" x14ac:dyDescent="0.25">
      <c r="F1097" s="20"/>
      <c r="G1097" s="20"/>
    </row>
    <row r="1098" spans="6:7" x14ac:dyDescent="0.25">
      <c r="F1098" s="20"/>
      <c r="G1098" s="20"/>
    </row>
    <row r="1099" spans="6:7" x14ac:dyDescent="0.25">
      <c r="F1099" s="20"/>
      <c r="G1099" s="20"/>
    </row>
    <row r="1100" spans="6:7" x14ac:dyDescent="0.25">
      <c r="F1100" s="20"/>
      <c r="G1100" s="20"/>
    </row>
    <row r="1101" spans="6:7" x14ac:dyDescent="0.25">
      <c r="F1101" s="20"/>
      <c r="G1101" s="20"/>
    </row>
    <row r="1102" spans="6:7" x14ac:dyDescent="0.25">
      <c r="F1102" s="20"/>
      <c r="G1102" s="20"/>
    </row>
    <row r="1103" spans="6:7" x14ac:dyDescent="0.25">
      <c r="F1103" s="20"/>
      <c r="G1103" s="20"/>
    </row>
    <row r="1104" spans="6:7" x14ac:dyDescent="0.25">
      <c r="F1104" s="20"/>
      <c r="G1104" s="20"/>
    </row>
    <row r="1105" spans="6:7" x14ac:dyDescent="0.25">
      <c r="F1105" s="20"/>
      <c r="G1105" s="20"/>
    </row>
    <row r="1106" spans="6:7" x14ac:dyDescent="0.25">
      <c r="F1106" s="20"/>
      <c r="G1106" s="20"/>
    </row>
    <row r="1107" spans="6:7" x14ac:dyDescent="0.25">
      <c r="F1107" s="20"/>
      <c r="G1107" s="20"/>
    </row>
    <row r="1108" spans="6:7" x14ac:dyDescent="0.25">
      <c r="F1108" s="20"/>
      <c r="G1108" s="20"/>
    </row>
    <row r="1109" spans="6:7" x14ac:dyDescent="0.25">
      <c r="F1109" s="20"/>
      <c r="G1109" s="20"/>
    </row>
    <row r="1110" spans="6:7" x14ac:dyDescent="0.25">
      <c r="F1110" s="20"/>
      <c r="G1110" s="20"/>
    </row>
    <row r="1111" spans="6:7" x14ac:dyDescent="0.25">
      <c r="F1111" s="20"/>
      <c r="G1111" s="20"/>
    </row>
    <row r="1112" spans="6:7" x14ac:dyDescent="0.25">
      <c r="F1112" s="20"/>
      <c r="G1112" s="20"/>
    </row>
    <row r="1113" spans="6:7" x14ac:dyDescent="0.25">
      <c r="F1113" s="20"/>
      <c r="G1113" s="20"/>
    </row>
    <row r="1114" spans="6:7" x14ac:dyDescent="0.25">
      <c r="F1114" s="20"/>
      <c r="G1114" s="20"/>
    </row>
    <row r="1115" spans="6:7" x14ac:dyDescent="0.25">
      <c r="F1115" s="20"/>
      <c r="G1115" s="20"/>
    </row>
    <row r="1116" spans="6:7" x14ac:dyDescent="0.25">
      <c r="F1116" s="20"/>
      <c r="G1116" s="20"/>
    </row>
    <row r="1117" spans="6:7" x14ac:dyDescent="0.25">
      <c r="F1117" s="20"/>
      <c r="G1117" s="20"/>
    </row>
    <row r="1118" spans="6:7" x14ac:dyDescent="0.25">
      <c r="F1118" s="20"/>
      <c r="G1118" s="20"/>
    </row>
    <row r="1119" spans="6:7" x14ac:dyDescent="0.25">
      <c r="F1119" s="20"/>
      <c r="G1119" s="20"/>
    </row>
    <row r="1120" spans="6:7" x14ac:dyDescent="0.25">
      <c r="F1120" s="20"/>
      <c r="G1120" s="20"/>
    </row>
    <row r="1121" spans="6:7" x14ac:dyDescent="0.25">
      <c r="F1121" s="20"/>
      <c r="G1121" s="20"/>
    </row>
    <row r="1122" spans="6:7" x14ac:dyDescent="0.25">
      <c r="F1122" s="20"/>
      <c r="G1122" s="20"/>
    </row>
    <row r="1123" spans="6:7" x14ac:dyDescent="0.25">
      <c r="F1123" s="20"/>
      <c r="G1123" s="20"/>
    </row>
    <row r="1124" spans="6:7" x14ac:dyDescent="0.25">
      <c r="F1124" s="20"/>
      <c r="G1124" s="20"/>
    </row>
    <row r="1125" spans="6:7" x14ac:dyDescent="0.25">
      <c r="F1125" s="20"/>
      <c r="G1125" s="20"/>
    </row>
    <row r="1126" spans="6:7" x14ac:dyDescent="0.25">
      <c r="F1126" s="20"/>
      <c r="G1126" s="20"/>
    </row>
    <row r="1127" spans="6:7" x14ac:dyDescent="0.25">
      <c r="F1127" s="20"/>
      <c r="G1127" s="20"/>
    </row>
    <row r="1128" spans="6:7" x14ac:dyDescent="0.25">
      <c r="F1128" s="20"/>
      <c r="G1128" s="20"/>
    </row>
    <row r="1129" spans="6:7" x14ac:dyDescent="0.25">
      <c r="F1129" s="20"/>
      <c r="G1129" s="20"/>
    </row>
    <row r="1130" spans="6:7" x14ac:dyDescent="0.25">
      <c r="F1130" s="20"/>
      <c r="G1130" s="20"/>
    </row>
    <row r="1131" spans="6:7" x14ac:dyDescent="0.25">
      <c r="F1131" s="20"/>
      <c r="G1131" s="20"/>
    </row>
    <row r="1132" spans="6:7" x14ac:dyDescent="0.25">
      <c r="F1132" s="20"/>
      <c r="G1132" s="20"/>
    </row>
    <row r="1133" spans="6:7" x14ac:dyDescent="0.25">
      <c r="F1133" s="20"/>
      <c r="G1133" s="20"/>
    </row>
    <row r="1134" spans="6:7" x14ac:dyDescent="0.25">
      <c r="F1134" s="20"/>
      <c r="G1134" s="20"/>
    </row>
    <row r="1135" spans="6:7" x14ac:dyDescent="0.25">
      <c r="F1135" s="20"/>
      <c r="G1135" s="20"/>
    </row>
    <row r="1136" spans="6:7" x14ac:dyDescent="0.25">
      <c r="F1136" s="20"/>
      <c r="G1136" s="20"/>
    </row>
    <row r="1137" spans="6:7" x14ac:dyDescent="0.25">
      <c r="F1137" s="20"/>
      <c r="G1137" s="20"/>
    </row>
    <row r="1138" spans="6:7" x14ac:dyDescent="0.25">
      <c r="F1138" s="20"/>
      <c r="G1138" s="20"/>
    </row>
    <row r="1139" spans="6:7" x14ac:dyDescent="0.25">
      <c r="F1139" s="20"/>
      <c r="G1139" s="20"/>
    </row>
    <row r="1140" spans="6:7" x14ac:dyDescent="0.25">
      <c r="F1140" s="20"/>
      <c r="G1140" s="20"/>
    </row>
    <row r="1141" spans="6:7" x14ac:dyDescent="0.25">
      <c r="F1141" s="20"/>
      <c r="G1141" s="20"/>
    </row>
    <row r="1142" spans="6:7" x14ac:dyDescent="0.25">
      <c r="F1142" s="20"/>
      <c r="G1142" s="20"/>
    </row>
    <row r="1143" spans="6:7" x14ac:dyDescent="0.25">
      <c r="F1143" s="20"/>
      <c r="G1143" s="20"/>
    </row>
    <row r="1144" spans="6:7" x14ac:dyDescent="0.25">
      <c r="F1144" s="20"/>
      <c r="G1144" s="20"/>
    </row>
    <row r="1145" spans="6:7" x14ac:dyDescent="0.25">
      <c r="F1145" s="20"/>
      <c r="G1145" s="20"/>
    </row>
    <row r="1146" spans="6:7" x14ac:dyDescent="0.25">
      <c r="F1146" s="20"/>
      <c r="G1146" s="20"/>
    </row>
    <row r="1147" spans="6:7" x14ac:dyDescent="0.25">
      <c r="F1147" s="20"/>
      <c r="G1147" s="20"/>
    </row>
    <row r="1148" spans="6:7" x14ac:dyDescent="0.25">
      <c r="F1148" s="20"/>
      <c r="G1148" s="20"/>
    </row>
    <row r="1149" spans="6:7" x14ac:dyDescent="0.25">
      <c r="F1149" s="20"/>
      <c r="G1149" s="20"/>
    </row>
    <row r="1150" spans="6:7" x14ac:dyDescent="0.25">
      <c r="F1150" s="20"/>
      <c r="G1150" s="20"/>
    </row>
    <row r="1151" spans="6:7" x14ac:dyDescent="0.25">
      <c r="F1151" s="20"/>
      <c r="G1151" s="20"/>
    </row>
    <row r="1152" spans="6:7" x14ac:dyDescent="0.25">
      <c r="F1152" s="20"/>
      <c r="G1152" s="20"/>
    </row>
    <row r="1153" spans="6:7" x14ac:dyDescent="0.25">
      <c r="F1153" s="20"/>
      <c r="G1153" s="20"/>
    </row>
    <row r="1154" spans="6:7" x14ac:dyDescent="0.25">
      <c r="F1154" s="20"/>
      <c r="G1154" s="20"/>
    </row>
    <row r="1155" spans="6:7" x14ac:dyDescent="0.25">
      <c r="F1155" s="20"/>
      <c r="G1155" s="20"/>
    </row>
    <row r="1156" spans="6:7" x14ac:dyDescent="0.25">
      <c r="F1156" s="20"/>
      <c r="G1156" s="20"/>
    </row>
    <row r="1157" spans="6:7" x14ac:dyDescent="0.25">
      <c r="F1157" s="20"/>
      <c r="G1157" s="20"/>
    </row>
    <row r="1158" spans="6:7" x14ac:dyDescent="0.25">
      <c r="F1158" s="20"/>
      <c r="G1158" s="20"/>
    </row>
    <row r="1159" spans="6:7" x14ac:dyDescent="0.25">
      <c r="F1159" s="20"/>
      <c r="G1159" s="20"/>
    </row>
    <row r="1160" spans="6:7" x14ac:dyDescent="0.25">
      <c r="F1160" s="20"/>
      <c r="G1160" s="20"/>
    </row>
    <row r="1161" spans="6:7" x14ac:dyDescent="0.25">
      <c r="F1161" s="20"/>
      <c r="G1161" s="20"/>
    </row>
    <row r="1162" spans="6:7" x14ac:dyDescent="0.25">
      <c r="F1162" s="20"/>
      <c r="G1162" s="20"/>
    </row>
    <row r="1163" spans="6:7" x14ac:dyDescent="0.25">
      <c r="F1163" s="20"/>
      <c r="G1163" s="20"/>
    </row>
    <row r="1164" spans="6:7" x14ac:dyDescent="0.25">
      <c r="F1164" s="20"/>
      <c r="G1164" s="20"/>
    </row>
    <row r="1165" spans="6:7" x14ac:dyDescent="0.25">
      <c r="F1165" s="20"/>
      <c r="G1165" s="20"/>
    </row>
    <row r="1166" spans="6:7" x14ac:dyDescent="0.25">
      <c r="F1166" s="20"/>
      <c r="G1166" s="20"/>
    </row>
    <row r="1167" spans="6:7" x14ac:dyDescent="0.25">
      <c r="F1167" s="20"/>
      <c r="G1167" s="20"/>
    </row>
    <row r="1168" spans="6:7" x14ac:dyDescent="0.25">
      <c r="F1168" s="20"/>
      <c r="G1168" s="20"/>
    </row>
    <row r="1169" spans="6:7" x14ac:dyDescent="0.25">
      <c r="F1169" s="20"/>
      <c r="G1169" s="20"/>
    </row>
    <row r="1170" spans="6:7" x14ac:dyDescent="0.25">
      <c r="F1170" s="20"/>
      <c r="G1170" s="20"/>
    </row>
    <row r="1171" spans="6:7" x14ac:dyDescent="0.25">
      <c r="F1171" s="20"/>
      <c r="G1171" s="20"/>
    </row>
    <row r="1172" spans="6:7" x14ac:dyDescent="0.25">
      <c r="F1172" s="20"/>
      <c r="G1172" s="20"/>
    </row>
    <row r="1173" spans="6:7" x14ac:dyDescent="0.25">
      <c r="F1173" s="20"/>
      <c r="G1173" s="20"/>
    </row>
    <row r="1174" spans="6:7" x14ac:dyDescent="0.25">
      <c r="F1174" s="20"/>
      <c r="G1174" s="20"/>
    </row>
    <row r="1175" spans="6:7" x14ac:dyDescent="0.25">
      <c r="F1175" s="20"/>
      <c r="G1175" s="20"/>
    </row>
    <row r="1176" spans="6:7" x14ac:dyDescent="0.25">
      <c r="F1176" s="20"/>
      <c r="G1176" s="20"/>
    </row>
    <row r="1177" spans="6:7" x14ac:dyDescent="0.25">
      <c r="F1177" s="20"/>
      <c r="G1177" s="20"/>
    </row>
    <row r="1178" spans="6:7" x14ac:dyDescent="0.25">
      <c r="F1178" s="20"/>
      <c r="G1178" s="20"/>
    </row>
    <row r="1179" spans="6:7" x14ac:dyDescent="0.25">
      <c r="F1179" s="20"/>
      <c r="G1179" s="20"/>
    </row>
    <row r="1180" spans="6:7" x14ac:dyDescent="0.25">
      <c r="F1180" s="20"/>
      <c r="G1180" s="20"/>
    </row>
    <row r="1181" spans="6:7" x14ac:dyDescent="0.25">
      <c r="F1181" s="20"/>
      <c r="G1181" s="20"/>
    </row>
    <row r="1182" spans="6:7" x14ac:dyDescent="0.25">
      <c r="F1182" s="20"/>
      <c r="G1182" s="20"/>
    </row>
    <row r="1183" spans="6:7" x14ac:dyDescent="0.25">
      <c r="F1183" s="20"/>
      <c r="G1183" s="20"/>
    </row>
    <row r="1184" spans="6:7" x14ac:dyDescent="0.25">
      <c r="F1184" s="20"/>
      <c r="G1184" s="20"/>
    </row>
    <row r="1185" spans="6:7" x14ac:dyDescent="0.25">
      <c r="F1185" s="20"/>
      <c r="G1185" s="20"/>
    </row>
    <row r="1186" spans="6:7" x14ac:dyDescent="0.25">
      <c r="F1186" s="20"/>
      <c r="G1186" s="20"/>
    </row>
    <row r="1187" spans="6:7" x14ac:dyDescent="0.25">
      <c r="F1187" s="20"/>
      <c r="G1187" s="20"/>
    </row>
    <row r="1188" spans="6:7" x14ac:dyDescent="0.25">
      <c r="F1188" s="20"/>
      <c r="G1188" s="20"/>
    </row>
    <row r="1189" spans="6:7" x14ac:dyDescent="0.25">
      <c r="F1189" s="20"/>
      <c r="G1189" s="20"/>
    </row>
    <row r="1190" spans="6:7" x14ac:dyDescent="0.25">
      <c r="F1190" s="20"/>
      <c r="G1190" s="20"/>
    </row>
    <row r="1191" spans="6:7" x14ac:dyDescent="0.25">
      <c r="F1191" s="20"/>
      <c r="G1191" s="20"/>
    </row>
    <row r="1192" spans="6:7" x14ac:dyDescent="0.25">
      <c r="F1192" s="20"/>
      <c r="G1192" s="20"/>
    </row>
    <row r="1193" spans="6:7" x14ac:dyDescent="0.25">
      <c r="F1193" s="20"/>
      <c r="G1193" s="20"/>
    </row>
    <row r="1194" spans="6:7" x14ac:dyDescent="0.25">
      <c r="F1194" s="20"/>
      <c r="G1194" s="20"/>
    </row>
    <row r="1195" spans="6:7" x14ac:dyDescent="0.25">
      <c r="F1195" s="20"/>
      <c r="G1195" s="20"/>
    </row>
    <row r="1196" spans="6:7" x14ac:dyDescent="0.25">
      <c r="F1196" s="20"/>
      <c r="G1196" s="20"/>
    </row>
    <row r="1197" spans="6:7" x14ac:dyDescent="0.25">
      <c r="F1197" s="20"/>
      <c r="G1197" s="20"/>
    </row>
    <row r="1198" spans="6:7" x14ac:dyDescent="0.25">
      <c r="F1198" s="20"/>
      <c r="G1198" s="20"/>
    </row>
    <row r="1199" spans="6:7" x14ac:dyDescent="0.25">
      <c r="F1199" s="20"/>
      <c r="G1199" s="20"/>
    </row>
    <row r="1200" spans="6:7" x14ac:dyDescent="0.25">
      <c r="F1200" s="20"/>
      <c r="G1200" s="20"/>
    </row>
    <row r="1201" spans="6:7" x14ac:dyDescent="0.25">
      <c r="F1201" s="20"/>
      <c r="G1201" s="20"/>
    </row>
    <row r="1202" spans="6:7" x14ac:dyDescent="0.25">
      <c r="F1202" s="20"/>
      <c r="G1202" s="20"/>
    </row>
    <row r="1203" spans="6:7" x14ac:dyDescent="0.25">
      <c r="F1203" s="20"/>
      <c r="G1203" s="20"/>
    </row>
    <row r="1204" spans="6:7" x14ac:dyDescent="0.25">
      <c r="F1204" s="20"/>
      <c r="G1204" s="20"/>
    </row>
    <row r="1205" spans="6:7" x14ac:dyDescent="0.25">
      <c r="F1205" s="20"/>
      <c r="G1205" s="20"/>
    </row>
    <row r="1206" spans="6:7" x14ac:dyDescent="0.25">
      <c r="F1206" s="20"/>
      <c r="G1206" s="20"/>
    </row>
    <row r="1207" spans="6:7" x14ac:dyDescent="0.25">
      <c r="F1207" s="20"/>
      <c r="G1207" s="20"/>
    </row>
    <row r="1208" spans="6:7" x14ac:dyDescent="0.25">
      <c r="F1208" s="20"/>
      <c r="G1208" s="20"/>
    </row>
    <row r="1209" spans="6:7" x14ac:dyDescent="0.25">
      <c r="F1209" s="20"/>
      <c r="G1209" s="20"/>
    </row>
    <row r="1210" spans="6:7" x14ac:dyDescent="0.25">
      <c r="F1210" s="20"/>
      <c r="G1210" s="20"/>
    </row>
    <row r="1211" spans="6:7" x14ac:dyDescent="0.25">
      <c r="F1211" s="20"/>
      <c r="G1211" s="20"/>
    </row>
    <row r="1212" spans="6:7" x14ac:dyDescent="0.25">
      <c r="F1212" s="20"/>
      <c r="G1212" s="20"/>
    </row>
    <row r="1213" spans="6:7" x14ac:dyDescent="0.25">
      <c r="F1213" s="20"/>
      <c r="G1213" s="20"/>
    </row>
    <row r="1214" spans="6:7" x14ac:dyDescent="0.25">
      <c r="F1214" s="20"/>
      <c r="G1214" s="20"/>
    </row>
    <row r="1215" spans="6:7" x14ac:dyDescent="0.25">
      <c r="F1215" s="20"/>
      <c r="G1215" s="20"/>
    </row>
    <row r="1216" spans="6:7" x14ac:dyDescent="0.25">
      <c r="F1216" s="20"/>
      <c r="G1216" s="20"/>
    </row>
    <row r="1217" spans="6:7" x14ac:dyDescent="0.25">
      <c r="F1217" s="20"/>
      <c r="G1217" s="20"/>
    </row>
    <row r="1218" spans="6:7" x14ac:dyDescent="0.25">
      <c r="F1218" s="20"/>
      <c r="G1218" s="20"/>
    </row>
    <row r="1219" spans="6:7" x14ac:dyDescent="0.25">
      <c r="F1219" s="20"/>
      <c r="G1219" s="20"/>
    </row>
    <row r="1220" spans="6:7" x14ac:dyDescent="0.25">
      <c r="F1220" s="20"/>
      <c r="G1220" s="20"/>
    </row>
    <row r="1221" spans="6:7" x14ac:dyDescent="0.25">
      <c r="F1221" s="20"/>
      <c r="G1221" s="20"/>
    </row>
    <row r="1222" spans="6:7" x14ac:dyDescent="0.25">
      <c r="F1222" s="20"/>
      <c r="G1222" s="20"/>
    </row>
    <row r="1223" spans="6:7" x14ac:dyDescent="0.25">
      <c r="F1223" s="20"/>
      <c r="G1223" s="20"/>
    </row>
    <row r="1224" spans="6:7" x14ac:dyDescent="0.25">
      <c r="F1224" s="20"/>
      <c r="G1224" s="20"/>
    </row>
    <row r="1225" spans="6:7" x14ac:dyDescent="0.25">
      <c r="F1225" s="20"/>
      <c r="G1225" s="20"/>
    </row>
    <row r="1226" spans="6:7" x14ac:dyDescent="0.25">
      <c r="F1226" s="20"/>
      <c r="G1226" s="20"/>
    </row>
    <row r="1227" spans="6:7" x14ac:dyDescent="0.25">
      <c r="F1227" s="20"/>
      <c r="G1227" s="20"/>
    </row>
    <row r="1228" spans="6:7" x14ac:dyDescent="0.25">
      <c r="F1228" s="20"/>
      <c r="G1228" s="20"/>
    </row>
    <row r="1229" spans="6:7" x14ac:dyDescent="0.25">
      <c r="F1229" s="20"/>
      <c r="G1229" s="20"/>
    </row>
    <row r="1230" spans="6:7" x14ac:dyDescent="0.25">
      <c r="F1230" s="20"/>
      <c r="G1230" s="20"/>
    </row>
    <row r="1231" spans="6:7" x14ac:dyDescent="0.25">
      <c r="F1231" s="20"/>
      <c r="G1231" s="20"/>
    </row>
    <row r="1232" spans="6:7" x14ac:dyDescent="0.25">
      <c r="F1232" s="20"/>
      <c r="G1232" s="20"/>
    </row>
    <row r="1233" spans="6:7" x14ac:dyDescent="0.25">
      <c r="F1233" s="20"/>
      <c r="G1233" s="20"/>
    </row>
    <row r="1234" spans="6:7" x14ac:dyDescent="0.25">
      <c r="F1234" s="20"/>
      <c r="G1234" s="20"/>
    </row>
    <row r="1235" spans="6:7" x14ac:dyDescent="0.25">
      <c r="F1235" s="20"/>
      <c r="G1235" s="20"/>
    </row>
    <row r="1236" spans="6:7" x14ac:dyDescent="0.25">
      <c r="F1236" s="20"/>
      <c r="G1236" s="20"/>
    </row>
    <row r="1237" spans="6:7" x14ac:dyDescent="0.25">
      <c r="F1237" s="20"/>
      <c r="G1237" s="20"/>
    </row>
    <row r="1238" spans="6:7" x14ac:dyDescent="0.25">
      <c r="F1238" s="20"/>
      <c r="G1238" s="20"/>
    </row>
    <row r="1239" spans="6:7" x14ac:dyDescent="0.25">
      <c r="F1239" s="20"/>
      <c r="G1239" s="20"/>
    </row>
    <row r="1240" spans="6:7" x14ac:dyDescent="0.25">
      <c r="F1240" s="20"/>
      <c r="G1240" s="20"/>
    </row>
    <row r="1241" spans="6:7" x14ac:dyDescent="0.25">
      <c r="F1241" s="20"/>
      <c r="G1241" s="20"/>
    </row>
    <row r="1242" spans="6:7" x14ac:dyDescent="0.25">
      <c r="F1242" s="20"/>
      <c r="G1242" s="20"/>
    </row>
    <row r="1243" spans="6:7" x14ac:dyDescent="0.25">
      <c r="F1243" s="20"/>
      <c r="G1243" s="20"/>
    </row>
    <row r="1244" spans="6:7" x14ac:dyDescent="0.25">
      <c r="F1244" s="20"/>
      <c r="G1244" s="20"/>
    </row>
    <row r="1245" spans="6:7" x14ac:dyDescent="0.25">
      <c r="F1245" s="20"/>
      <c r="G1245" s="20"/>
    </row>
    <row r="1246" spans="6:7" x14ac:dyDescent="0.25">
      <c r="F1246" s="20"/>
      <c r="G1246" s="20"/>
    </row>
    <row r="1247" spans="6:7" x14ac:dyDescent="0.25">
      <c r="F1247" s="20"/>
      <c r="G1247" s="20"/>
    </row>
    <row r="1248" spans="6:7" x14ac:dyDescent="0.25">
      <c r="F1248" s="20"/>
      <c r="G1248" s="20"/>
    </row>
    <row r="1249" spans="6:7" x14ac:dyDescent="0.25">
      <c r="F1249" s="20"/>
      <c r="G1249" s="20"/>
    </row>
    <row r="1250" spans="6:7" x14ac:dyDescent="0.25">
      <c r="F1250" s="20"/>
      <c r="G1250" s="20"/>
    </row>
    <row r="1251" spans="6:7" x14ac:dyDescent="0.25">
      <c r="F1251" s="20"/>
      <c r="G1251" s="20"/>
    </row>
    <row r="1252" spans="6:7" x14ac:dyDescent="0.25">
      <c r="F1252" s="20"/>
      <c r="G1252" s="20"/>
    </row>
    <row r="1253" spans="6:7" x14ac:dyDescent="0.25">
      <c r="F1253" s="20"/>
      <c r="G1253" s="20"/>
    </row>
    <row r="1254" spans="6:7" x14ac:dyDescent="0.25">
      <c r="F1254" s="20"/>
      <c r="G1254" s="20"/>
    </row>
    <row r="1255" spans="6:7" x14ac:dyDescent="0.25">
      <c r="F1255" s="20"/>
      <c r="G1255" s="20"/>
    </row>
    <row r="1256" spans="6:7" x14ac:dyDescent="0.25">
      <c r="F1256" s="20"/>
      <c r="G1256" s="20"/>
    </row>
    <row r="1257" spans="6:7" x14ac:dyDescent="0.25">
      <c r="F1257" s="20"/>
      <c r="G1257" s="20"/>
    </row>
    <row r="1258" spans="6:7" x14ac:dyDescent="0.25">
      <c r="F1258" s="20"/>
      <c r="G1258" s="20"/>
    </row>
    <row r="1259" spans="6:7" x14ac:dyDescent="0.25">
      <c r="F1259" s="20"/>
      <c r="G1259" s="20"/>
    </row>
    <row r="1260" spans="6:7" x14ac:dyDescent="0.25">
      <c r="F1260" s="20"/>
      <c r="G1260" s="20"/>
    </row>
    <row r="1261" spans="6:7" x14ac:dyDescent="0.25">
      <c r="F1261" s="20"/>
      <c r="G1261" s="20"/>
    </row>
    <row r="1262" spans="6:7" x14ac:dyDescent="0.25">
      <c r="F1262" s="20"/>
      <c r="G1262" s="20"/>
    </row>
    <row r="1263" spans="6:7" x14ac:dyDescent="0.25">
      <c r="F1263" s="20"/>
      <c r="G1263" s="20"/>
    </row>
    <row r="1264" spans="6:7" x14ac:dyDescent="0.25">
      <c r="F1264" s="20"/>
      <c r="G1264" s="20"/>
    </row>
    <row r="1265" spans="6:7" x14ac:dyDescent="0.25">
      <c r="F1265" s="20"/>
      <c r="G1265" s="20"/>
    </row>
    <row r="1266" spans="6:7" x14ac:dyDescent="0.25">
      <c r="F1266" s="20"/>
      <c r="G1266" s="20"/>
    </row>
    <row r="1267" spans="6:7" x14ac:dyDescent="0.25">
      <c r="F1267" s="20"/>
      <c r="G1267" s="20"/>
    </row>
    <row r="1268" spans="6:7" x14ac:dyDescent="0.25">
      <c r="F1268" s="20"/>
      <c r="G1268" s="20"/>
    </row>
    <row r="1269" spans="6:7" x14ac:dyDescent="0.25">
      <c r="F1269" s="20"/>
      <c r="G1269" s="20"/>
    </row>
    <row r="1270" spans="6:7" x14ac:dyDescent="0.25">
      <c r="F1270" s="20"/>
      <c r="G1270" s="20"/>
    </row>
    <row r="1271" spans="6:7" x14ac:dyDescent="0.25">
      <c r="F1271" s="20"/>
      <c r="G1271" s="20"/>
    </row>
    <row r="1272" spans="6:7" x14ac:dyDescent="0.25">
      <c r="F1272" s="20"/>
      <c r="G1272" s="20"/>
    </row>
    <row r="1273" spans="6:7" x14ac:dyDescent="0.25">
      <c r="F1273" s="20"/>
      <c r="G1273" s="20"/>
    </row>
    <row r="1274" spans="6:7" x14ac:dyDescent="0.25">
      <c r="F1274" s="20"/>
      <c r="G1274" s="20"/>
    </row>
    <row r="1275" spans="6:7" x14ac:dyDescent="0.25">
      <c r="F1275" s="20"/>
      <c r="G1275" s="20"/>
    </row>
    <row r="1276" spans="6:7" x14ac:dyDescent="0.25">
      <c r="F1276" s="20"/>
      <c r="G1276" s="20"/>
    </row>
    <row r="1277" spans="6:7" x14ac:dyDescent="0.25">
      <c r="F1277" s="20"/>
      <c r="G1277" s="20"/>
    </row>
    <row r="1278" spans="6:7" x14ac:dyDescent="0.25">
      <c r="F1278" s="20"/>
      <c r="G1278" s="20"/>
    </row>
    <row r="1279" spans="6:7" x14ac:dyDescent="0.25">
      <c r="F1279" s="20"/>
      <c r="G1279" s="20"/>
    </row>
    <row r="1280" spans="6:7" x14ac:dyDescent="0.25">
      <c r="F1280" s="20"/>
      <c r="G1280" s="20"/>
    </row>
    <row r="1281" spans="6:7" x14ac:dyDescent="0.25">
      <c r="F1281" s="20"/>
      <c r="G1281" s="20"/>
    </row>
    <row r="1282" spans="6:7" x14ac:dyDescent="0.25">
      <c r="F1282" s="20"/>
      <c r="G1282" s="20"/>
    </row>
    <row r="1283" spans="6:7" x14ac:dyDescent="0.25">
      <c r="F1283" s="20"/>
      <c r="G1283" s="20"/>
    </row>
    <row r="1284" spans="6:7" x14ac:dyDescent="0.25">
      <c r="F1284" s="20"/>
      <c r="G1284" s="20"/>
    </row>
    <row r="1285" spans="6:7" x14ac:dyDescent="0.25">
      <c r="F1285" s="20"/>
      <c r="G1285" s="20"/>
    </row>
    <row r="1286" spans="6:7" x14ac:dyDescent="0.25">
      <c r="F1286" s="20"/>
      <c r="G1286" s="20"/>
    </row>
    <row r="1287" spans="6:7" x14ac:dyDescent="0.25">
      <c r="F1287" s="20"/>
      <c r="G1287" s="20"/>
    </row>
    <row r="1288" spans="6:7" x14ac:dyDescent="0.25">
      <c r="F1288" s="20"/>
      <c r="G1288" s="20"/>
    </row>
    <row r="1289" spans="6:7" x14ac:dyDescent="0.25">
      <c r="F1289" s="20"/>
      <c r="G1289" s="20"/>
    </row>
    <row r="1290" spans="6:7" x14ac:dyDescent="0.25">
      <c r="F1290" s="20"/>
      <c r="G1290" s="20"/>
    </row>
    <row r="1291" spans="6:7" x14ac:dyDescent="0.25">
      <c r="F1291" s="20"/>
      <c r="G1291" s="20"/>
    </row>
    <row r="1292" spans="6:7" x14ac:dyDescent="0.25">
      <c r="F1292" s="20"/>
      <c r="G1292" s="20"/>
    </row>
    <row r="1293" spans="6:7" x14ac:dyDescent="0.25">
      <c r="F1293" s="20"/>
      <c r="G1293" s="20"/>
    </row>
    <row r="1294" spans="6:7" x14ac:dyDescent="0.25">
      <c r="F1294" s="20"/>
      <c r="G1294" s="20"/>
    </row>
    <row r="1295" spans="6:7" x14ac:dyDescent="0.25">
      <c r="F1295" s="20"/>
      <c r="G1295" s="20"/>
    </row>
    <row r="1296" spans="6:7" x14ac:dyDescent="0.25">
      <c r="F1296" s="20"/>
      <c r="G1296" s="20"/>
    </row>
    <row r="1297" spans="6:7" x14ac:dyDescent="0.25">
      <c r="F1297" s="20"/>
      <c r="G1297" s="20"/>
    </row>
    <row r="1298" spans="6:7" x14ac:dyDescent="0.25">
      <c r="F1298" s="20"/>
      <c r="G1298" s="20"/>
    </row>
    <row r="1299" spans="6:7" x14ac:dyDescent="0.25">
      <c r="F1299" s="20"/>
      <c r="G1299" s="20"/>
    </row>
    <row r="1300" spans="6:7" x14ac:dyDescent="0.25">
      <c r="F1300" s="20"/>
      <c r="G1300" s="20"/>
    </row>
    <row r="1301" spans="6:7" x14ac:dyDescent="0.25">
      <c r="F1301" s="20"/>
      <c r="G1301" s="20"/>
    </row>
    <row r="1302" spans="6:7" x14ac:dyDescent="0.25">
      <c r="F1302" s="20"/>
      <c r="G1302" s="20"/>
    </row>
    <row r="1303" spans="6:7" x14ac:dyDescent="0.25">
      <c r="F1303" s="20"/>
      <c r="G1303" s="20"/>
    </row>
    <row r="1304" spans="6:7" x14ac:dyDescent="0.25">
      <c r="F1304" s="20"/>
      <c r="G1304" s="20"/>
    </row>
    <row r="1305" spans="6:7" x14ac:dyDescent="0.25">
      <c r="F1305" s="20"/>
      <c r="G1305" s="20"/>
    </row>
    <row r="1306" spans="6:7" x14ac:dyDescent="0.25">
      <c r="F1306" s="20"/>
      <c r="G1306" s="20"/>
    </row>
    <row r="1307" spans="6:7" x14ac:dyDescent="0.25">
      <c r="F1307" s="20"/>
      <c r="G1307" s="20"/>
    </row>
    <row r="1308" spans="6:7" x14ac:dyDescent="0.25">
      <c r="F1308" s="20"/>
      <c r="G1308" s="20"/>
    </row>
    <row r="1309" spans="6:7" x14ac:dyDescent="0.25">
      <c r="F1309" s="20"/>
      <c r="G1309" s="20"/>
    </row>
    <row r="1310" spans="6:7" x14ac:dyDescent="0.25">
      <c r="F1310" s="20"/>
      <c r="G1310" s="20"/>
    </row>
    <row r="1311" spans="6:7" x14ac:dyDescent="0.25">
      <c r="F1311" s="20"/>
      <c r="G1311" s="20"/>
    </row>
    <row r="1312" spans="6:7" x14ac:dyDescent="0.25">
      <c r="F1312" s="20"/>
      <c r="G1312" s="20"/>
    </row>
    <row r="1313" spans="6:7" x14ac:dyDescent="0.25">
      <c r="F1313" s="20"/>
      <c r="G1313" s="20"/>
    </row>
    <row r="1314" spans="6:7" x14ac:dyDescent="0.25">
      <c r="F1314" s="20"/>
      <c r="G1314" s="20"/>
    </row>
    <row r="1315" spans="6:7" x14ac:dyDescent="0.25">
      <c r="F1315" s="20"/>
      <c r="G1315" s="20"/>
    </row>
    <row r="1316" spans="6:7" x14ac:dyDescent="0.25">
      <c r="F1316" s="20"/>
      <c r="G1316" s="20"/>
    </row>
    <row r="1317" spans="6:7" x14ac:dyDescent="0.25">
      <c r="F1317" s="20"/>
      <c r="G1317" s="20"/>
    </row>
    <row r="1318" spans="6:7" x14ac:dyDescent="0.25">
      <c r="F1318" s="20"/>
      <c r="G1318" s="20"/>
    </row>
    <row r="1319" spans="6:7" x14ac:dyDescent="0.25">
      <c r="F1319" s="20"/>
      <c r="G1319" s="20"/>
    </row>
    <row r="1320" spans="6:7" x14ac:dyDescent="0.25">
      <c r="F1320" s="20"/>
      <c r="G1320" s="20"/>
    </row>
    <row r="1321" spans="6:7" x14ac:dyDescent="0.25">
      <c r="F1321" s="20"/>
      <c r="G1321" s="20"/>
    </row>
    <row r="1322" spans="6:7" x14ac:dyDescent="0.25">
      <c r="F1322" s="20"/>
      <c r="G1322" s="20"/>
    </row>
    <row r="1323" spans="6:7" x14ac:dyDescent="0.25">
      <c r="F1323" s="20"/>
      <c r="G1323" s="20"/>
    </row>
    <row r="1324" spans="6:7" x14ac:dyDescent="0.25">
      <c r="F1324" s="20"/>
      <c r="G1324" s="20"/>
    </row>
    <row r="1325" spans="6:7" x14ac:dyDescent="0.25">
      <c r="F1325" s="20"/>
      <c r="G1325" s="20"/>
    </row>
    <row r="1326" spans="6:7" x14ac:dyDescent="0.25">
      <c r="F1326" s="20"/>
      <c r="G1326" s="20"/>
    </row>
    <row r="1327" spans="6:7" x14ac:dyDescent="0.25">
      <c r="F1327" s="20"/>
      <c r="G1327" s="20"/>
    </row>
    <row r="1328" spans="6:7" x14ac:dyDescent="0.25">
      <c r="F1328" s="20"/>
      <c r="G1328" s="20"/>
    </row>
    <row r="1329" spans="6:7" x14ac:dyDescent="0.25">
      <c r="F1329" s="20"/>
      <c r="G1329" s="20"/>
    </row>
    <row r="1330" spans="6:7" x14ac:dyDescent="0.25">
      <c r="F1330" s="20"/>
      <c r="G1330" s="20"/>
    </row>
    <row r="1331" spans="6:7" x14ac:dyDescent="0.25">
      <c r="F1331" s="20"/>
      <c r="G1331" s="20"/>
    </row>
    <row r="1332" spans="6:7" x14ac:dyDescent="0.25">
      <c r="F1332" s="20"/>
      <c r="G1332" s="20"/>
    </row>
    <row r="1333" spans="6:7" x14ac:dyDescent="0.25">
      <c r="F1333" s="20"/>
      <c r="G1333" s="20"/>
    </row>
    <row r="1334" spans="6:7" x14ac:dyDescent="0.25">
      <c r="F1334" s="20"/>
      <c r="G1334" s="20"/>
    </row>
    <row r="1335" spans="6:7" x14ac:dyDescent="0.25">
      <c r="F1335" s="20"/>
      <c r="G1335" s="20"/>
    </row>
    <row r="1336" spans="6:7" x14ac:dyDescent="0.25">
      <c r="F1336" s="20"/>
      <c r="G1336" s="20"/>
    </row>
    <row r="1337" spans="6:7" x14ac:dyDescent="0.25">
      <c r="F1337" s="20"/>
      <c r="G1337" s="20"/>
    </row>
    <row r="1338" spans="6:7" x14ac:dyDescent="0.25">
      <c r="F1338" s="20"/>
      <c r="G1338" s="20"/>
    </row>
    <row r="1339" spans="6:7" x14ac:dyDescent="0.25">
      <c r="F1339" s="20"/>
      <c r="G1339" s="20"/>
    </row>
    <row r="1340" spans="6:7" x14ac:dyDescent="0.25">
      <c r="F1340" s="20"/>
      <c r="G1340" s="20"/>
    </row>
    <row r="1341" spans="6:7" x14ac:dyDescent="0.25">
      <c r="F1341" s="20"/>
      <c r="G1341" s="20"/>
    </row>
    <row r="1342" spans="6:7" x14ac:dyDescent="0.25">
      <c r="F1342" s="20"/>
      <c r="G1342" s="20"/>
    </row>
    <row r="1343" spans="6:7" x14ac:dyDescent="0.25">
      <c r="F1343" s="20"/>
      <c r="G1343" s="20"/>
    </row>
    <row r="1344" spans="6:7" x14ac:dyDescent="0.25">
      <c r="F1344" s="20"/>
      <c r="G1344" s="20"/>
    </row>
    <row r="1345" spans="6:7" x14ac:dyDescent="0.25">
      <c r="F1345" s="20"/>
      <c r="G1345" s="20"/>
    </row>
    <row r="1346" spans="6:7" x14ac:dyDescent="0.25">
      <c r="F1346" s="20"/>
      <c r="G1346" s="20"/>
    </row>
    <row r="1347" spans="6:7" x14ac:dyDescent="0.25">
      <c r="F1347" s="20"/>
      <c r="G1347" s="20"/>
    </row>
    <row r="1348" spans="6:7" x14ac:dyDescent="0.25">
      <c r="F1348" s="20"/>
      <c r="G1348" s="20"/>
    </row>
    <row r="1349" spans="6:7" x14ac:dyDescent="0.25">
      <c r="F1349" s="20"/>
      <c r="G1349" s="20"/>
    </row>
    <row r="1350" spans="6:7" x14ac:dyDescent="0.25">
      <c r="F1350" s="20"/>
      <c r="G1350" s="20"/>
    </row>
    <row r="1351" spans="6:7" x14ac:dyDescent="0.25">
      <c r="F1351" s="20"/>
      <c r="G1351" s="20"/>
    </row>
    <row r="1352" spans="6:7" x14ac:dyDescent="0.25">
      <c r="F1352" s="20"/>
      <c r="G1352" s="20"/>
    </row>
    <row r="1353" spans="6:7" x14ac:dyDescent="0.25">
      <c r="F1353" s="20"/>
      <c r="G1353" s="20"/>
    </row>
    <row r="1354" spans="6:7" x14ac:dyDescent="0.25">
      <c r="F1354" s="20"/>
      <c r="G1354" s="20"/>
    </row>
    <row r="1355" spans="6:7" x14ac:dyDescent="0.25">
      <c r="F1355" s="20"/>
      <c r="G1355" s="20"/>
    </row>
    <row r="1356" spans="6:7" x14ac:dyDescent="0.25">
      <c r="F1356" s="20"/>
      <c r="G1356" s="20"/>
    </row>
    <row r="1357" spans="6:7" x14ac:dyDescent="0.25">
      <c r="F1357" s="20"/>
      <c r="G1357" s="20"/>
    </row>
    <row r="1358" spans="6:7" x14ac:dyDescent="0.25">
      <c r="F1358" s="20"/>
      <c r="G1358" s="20"/>
    </row>
    <row r="1359" spans="6:7" x14ac:dyDescent="0.25">
      <c r="F1359" s="20"/>
      <c r="G1359" s="20"/>
    </row>
    <row r="1360" spans="6:7" x14ac:dyDescent="0.25">
      <c r="F1360" s="20"/>
      <c r="G1360" s="20"/>
    </row>
    <row r="1361" spans="6:7" x14ac:dyDescent="0.25">
      <c r="F1361" s="20"/>
      <c r="G1361" s="20"/>
    </row>
    <row r="1362" spans="6:7" x14ac:dyDescent="0.25">
      <c r="F1362" s="20"/>
      <c r="G1362" s="20"/>
    </row>
    <row r="1363" spans="6:7" x14ac:dyDescent="0.25">
      <c r="F1363" s="20"/>
      <c r="G1363" s="20"/>
    </row>
    <row r="1364" spans="6:7" x14ac:dyDescent="0.25">
      <c r="F1364" s="20"/>
      <c r="G1364" s="20"/>
    </row>
    <row r="1365" spans="6:7" x14ac:dyDescent="0.25">
      <c r="F1365" s="20"/>
      <c r="G1365" s="20"/>
    </row>
    <row r="1366" spans="6:7" x14ac:dyDescent="0.25">
      <c r="F1366" s="20"/>
      <c r="G1366" s="20"/>
    </row>
    <row r="1367" spans="6:7" x14ac:dyDescent="0.25">
      <c r="F1367" s="20"/>
      <c r="G1367" s="20"/>
    </row>
    <row r="1368" spans="6:7" x14ac:dyDescent="0.25">
      <c r="F1368" s="20"/>
      <c r="G1368" s="20"/>
    </row>
    <row r="1369" spans="6:7" x14ac:dyDescent="0.25">
      <c r="F1369" s="20"/>
      <c r="G1369" s="20"/>
    </row>
    <row r="1370" spans="6:7" x14ac:dyDescent="0.25">
      <c r="F1370" s="20"/>
      <c r="G1370" s="20"/>
    </row>
    <row r="1371" spans="6:7" x14ac:dyDescent="0.25">
      <c r="F1371" s="20"/>
      <c r="G1371" s="20"/>
    </row>
    <row r="1372" spans="6:7" x14ac:dyDescent="0.25">
      <c r="F1372" s="20"/>
      <c r="G1372" s="20"/>
    </row>
    <row r="1373" spans="6:7" x14ac:dyDescent="0.25">
      <c r="F1373" s="20"/>
      <c r="G1373" s="20"/>
    </row>
    <row r="1374" spans="6:7" x14ac:dyDescent="0.25">
      <c r="F1374" s="20"/>
      <c r="G1374" s="20"/>
    </row>
    <row r="1375" spans="6:7" x14ac:dyDescent="0.25">
      <c r="F1375" s="20"/>
      <c r="G1375" s="20"/>
    </row>
    <row r="1376" spans="6:7" x14ac:dyDescent="0.25">
      <c r="F1376" s="20"/>
      <c r="G1376" s="20"/>
    </row>
    <row r="1377" spans="6:7" x14ac:dyDescent="0.25">
      <c r="F1377" s="20"/>
      <c r="G1377" s="20"/>
    </row>
    <row r="1378" spans="6:7" x14ac:dyDescent="0.25">
      <c r="F1378" s="20"/>
      <c r="G1378" s="20"/>
    </row>
    <row r="1379" spans="6:7" x14ac:dyDescent="0.25">
      <c r="F1379" s="20"/>
      <c r="G1379" s="20"/>
    </row>
    <row r="1380" spans="6:7" x14ac:dyDescent="0.25">
      <c r="F1380" s="20"/>
      <c r="G1380" s="20"/>
    </row>
    <row r="1381" spans="6:7" x14ac:dyDescent="0.25">
      <c r="F1381" s="20"/>
      <c r="G1381" s="20"/>
    </row>
    <row r="1382" spans="6:7" x14ac:dyDescent="0.25">
      <c r="F1382" s="20"/>
      <c r="G1382" s="20"/>
    </row>
    <row r="1383" spans="6:7" x14ac:dyDescent="0.25">
      <c r="F1383" s="20"/>
      <c r="G1383" s="20"/>
    </row>
    <row r="1384" spans="6:7" x14ac:dyDescent="0.25">
      <c r="F1384" s="20"/>
      <c r="G1384" s="20"/>
    </row>
    <row r="1385" spans="6:7" x14ac:dyDescent="0.25">
      <c r="F1385" s="20"/>
      <c r="G1385" s="20"/>
    </row>
    <row r="1386" spans="6:7" x14ac:dyDescent="0.25">
      <c r="F1386" s="20"/>
      <c r="G1386" s="20"/>
    </row>
    <row r="1387" spans="6:7" x14ac:dyDescent="0.25">
      <c r="F1387" s="20"/>
      <c r="G1387" s="20"/>
    </row>
    <row r="1388" spans="6:7" x14ac:dyDescent="0.25">
      <c r="F1388" s="20"/>
      <c r="G1388" s="20"/>
    </row>
    <row r="1389" spans="6:7" x14ac:dyDescent="0.25">
      <c r="F1389" s="20"/>
      <c r="G1389" s="20"/>
    </row>
    <row r="1390" spans="6:7" x14ac:dyDescent="0.25">
      <c r="F1390" s="20"/>
      <c r="G1390" s="20"/>
    </row>
    <row r="1391" spans="6:7" x14ac:dyDescent="0.25">
      <c r="F1391" s="20"/>
      <c r="G1391" s="20"/>
    </row>
    <row r="1392" spans="6:7" x14ac:dyDescent="0.25">
      <c r="F1392" s="20"/>
      <c r="G1392" s="20"/>
    </row>
    <row r="1393" spans="6:7" x14ac:dyDescent="0.25">
      <c r="F1393" s="20"/>
      <c r="G1393" s="20"/>
    </row>
    <row r="1394" spans="6:7" x14ac:dyDescent="0.25">
      <c r="F1394" s="20"/>
      <c r="G1394" s="20"/>
    </row>
    <row r="1395" spans="6:7" x14ac:dyDescent="0.25">
      <c r="F1395" s="20"/>
      <c r="G1395" s="20"/>
    </row>
    <row r="1396" spans="6:7" x14ac:dyDescent="0.25">
      <c r="F1396" s="20"/>
      <c r="G1396" s="20"/>
    </row>
    <row r="1397" spans="6:7" x14ac:dyDescent="0.25">
      <c r="F1397" s="20"/>
      <c r="G1397" s="20"/>
    </row>
    <row r="1398" spans="6:7" x14ac:dyDescent="0.25">
      <c r="F1398" s="20"/>
      <c r="G1398" s="20"/>
    </row>
    <row r="1399" spans="6:7" x14ac:dyDescent="0.25">
      <c r="F1399" s="20"/>
      <c r="G1399" s="20"/>
    </row>
    <row r="1400" spans="6:7" x14ac:dyDescent="0.25">
      <c r="F1400" s="20"/>
      <c r="G1400" s="20"/>
    </row>
    <row r="1401" spans="6:7" x14ac:dyDescent="0.25">
      <c r="F1401" s="20"/>
      <c r="G1401" s="20"/>
    </row>
    <row r="1402" spans="6:7" x14ac:dyDescent="0.25">
      <c r="F1402" s="20"/>
      <c r="G1402" s="20"/>
    </row>
    <row r="1403" spans="6:7" x14ac:dyDescent="0.25">
      <c r="F1403" s="20"/>
      <c r="G1403" s="20"/>
    </row>
    <row r="1404" spans="6:7" x14ac:dyDescent="0.25">
      <c r="F1404" s="20"/>
      <c r="G1404" s="20"/>
    </row>
    <row r="1405" spans="6:7" x14ac:dyDescent="0.25">
      <c r="F1405" s="20"/>
      <c r="G1405" s="20"/>
    </row>
    <row r="1406" spans="6:7" x14ac:dyDescent="0.25">
      <c r="F1406" s="20"/>
      <c r="G1406" s="20"/>
    </row>
    <row r="1407" spans="6:7" x14ac:dyDescent="0.25">
      <c r="F1407" s="20"/>
      <c r="G1407" s="20"/>
    </row>
    <row r="1408" spans="6:7" x14ac:dyDescent="0.25">
      <c r="F1408" s="20"/>
      <c r="G1408" s="20"/>
    </row>
    <row r="1409" spans="6:7" x14ac:dyDescent="0.25">
      <c r="F1409" s="20"/>
      <c r="G1409" s="20"/>
    </row>
    <row r="1410" spans="6:7" x14ac:dyDescent="0.25">
      <c r="F1410" s="20"/>
      <c r="G1410" s="20"/>
    </row>
    <row r="1411" spans="6:7" x14ac:dyDescent="0.25">
      <c r="F1411" s="20"/>
      <c r="G1411" s="20"/>
    </row>
    <row r="1412" spans="6:7" x14ac:dyDescent="0.25">
      <c r="F1412" s="20"/>
      <c r="G1412" s="20"/>
    </row>
    <row r="1413" spans="6:7" x14ac:dyDescent="0.25">
      <c r="F1413" s="20"/>
      <c r="G1413" s="20"/>
    </row>
    <row r="1414" spans="6:7" x14ac:dyDescent="0.25">
      <c r="F1414" s="20"/>
      <c r="G1414" s="20"/>
    </row>
    <row r="1415" spans="6:7" x14ac:dyDescent="0.25">
      <c r="F1415" s="20"/>
      <c r="G1415" s="20"/>
    </row>
    <row r="1416" spans="6:7" x14ac:dyDescent="0.25">
      <c r="F1416" s="20"/>
      <c r="G1416" s="20"/>
    </row>
    <row r="1417" spans="6:7" x14ac:dyDescent="0.25">
      <c r="F1417" s="20"/>
      <c r="G1417" s="20"/>
    </row>
    <row r="1418" spans="6:7" x14ac:dyDescent="0.25">
      <c r="F1418" s="20"/>
      <c r="G1418" s="20"/>
    </row>
    <row r="1419" spans="6:7" x14ac:dyDescent="0.25">
      <c r="F1419" s="20"/>
      <c r="G1419" s="20"/>
    </row>
    <row r="1420" spans="6:7" x14ac:dyDescent="0.25">
      <c r="F1420" s="20"/>
      <c r="G1420" s="20"/>
    </row>
    <row r="1421" spans="6:7" x14ac:dyDescent="0.25">
      <c r="F1421" s="20"/>
      <c r="G1421" s="20"/>
    </row>
    <row r="1422" spans="6:7" x14ac:dyDescent="0.25">
      <c r="F1422" s="20"/>
      <c r="G1422" s="20"/>
    </row>
    <row r="1423" spans="6:7" x14ac:dyDescent="0.25">
      <c r="F1423" s="20"/>
      <c r="G1423" s="20"/>
    </row>
    <row r="1424" spans="6:7" x14ac:dyDescent="0.25">
      <c r="F1424" s="20"/>
      <c r="G1424" s="20"/>
    </row>
    <row r="1425" spans="6:7" x14ac:dyDescent="0.25">
      <c r="F1425" s="20"/>
      <c r="G1425" s="20"/>
    </row>
    <row r="1426" spans="6:7" x14ac:dyDescent="0.25">
      <c r="F1426" s="20"/>
      <c r="G1426" s="20"/>
    </row>
    <row r="1427" spans="6:7" x14ac:dyDescent="0.25">
      <c r="F1427" s="20"/>
      <c r="G1427" s="20"/>
    </row>
    <row r="1428" spans="6:7" x14ac:dyDescent="0.25">
      <c r="F1428" s="20"/>
      <c r="G1428" s="20"/>
    </row>
    <row r="1429" spans="6:7" x14ac:dyDescent="0.25">
      <c r="F1429" s="20"/>
      <c r="G1429" s="20"/>
    </row>
    <row r="1430" spans="6:7" x14ac:dyDescent="0.25">
      <c r="F1430" s="20"/>
      <c r="G1430" s="20"/>
    </row>
    <row r="1431" spans="6:7" x14ac:dyDescent="0.25">
      <c r="F1431" s="20"/>
      <c r="G1431" s="20"/>
    </row>
    <row r="1432" spans="6:7" x14ac:dyDescent="0.25">
      <c r="F1432" s="20"/>
      <c r="G1432" s="20"/>
    </row>
    <row r="1433" spans="6:7" x14ac:dyDescent="0.25">
      <c r="F1433" s="20"/>
      <c r="G1433" s="20"/>
    </row>
    <row r="1434" spans="6:7" x14ac:dyDescent="0.25">
      <c r="F1434" s="20"/>
      <c r="G1434" s="20"/>
    </row>
    <row r="1435" spans="6:7" x14ac:dyDescent="0.25">
      <c r="F1435" s="20"/>
      <c r="G1435" s="20"/>
    </row>
    <row r="1436" spans="6:7" x14ac:dyDescent="0.25">
      <c r="F1436" s="20"/>
      <c r="G1436" s="20"/>
    </row>
    <row r="1437" spans="6:7" x14ac:dyDescent="0.25">
      <c r="F1437" s="20"/>
      <c r="G1437" s="20"/>
    </row>
    <row r="1438" spans="6:7" x14ac:dyDescent="0.25">
      <c r="F1438" s="20"/>
      <c r="G1438" s="20"/>
    </row>
    <row r="1439" spans="6:7" x14ac:dyDescent="0.25">
      <c r="F1439" s="20"/>
      <c r="G1439" s="20"/>
    </row>
    <row r="1440" spans="6:7" x14ac:dyDescent="0.25">
      <c r="F1440" s="20"/>
      <c r="G1440" s="20"/>
    </row>
    <row r="1441" spans="6:7" x14ac:dyDescent="0.25">
      <c r="F1441" s="20"/>
      <c r="G1441" s="20"/>
    </row>
    <row r="1442" spans="6:7" x14ac:dyDescent="0.25">
      <c r="F1442" s="20"/>
      <c r="G1442" s="20"/>
    </row>
    <row r="1443" spans="6:7" x14ac:dyDescent="0.25">
      <c r="F1443" s="20"/>
      <c r="G1443" s="20"/>
    </row>
    <row r="1444" spans="6:7" x14ac:dyDescent="0.25">
      <c r="F1444" s="20"/>
      <c r="G1444" s="20"/>
    </row>
    <row r="1445" spans="6:7" x14ac:dyDescent="0.25">
      <c r="F1445" s="20"/>
      <c r="G1445" s="20"/>
    </row>
    <row r="1446" spans="6:7" x14ac:dyDescent="0.25">
      <c r="F1446" s="20"/>
      <c r="G1446" s="20"/>
    </row>
    <row r="1447" spans="6:7" x14ac:dyDescent="0.25">
      <c r="F1447" s="20"/>
      <c r="G1447" s="20"/>
    </row>
    <row r="1448" spans="6:7" x14ac:dyDescent="0.25">
      <c r="F1448" s="20"/>
      <c r="G1448" s="20"/>
    </row>
    <row r="1449" spans="6:7" x14ac:dyDescent="0.25">
      <c r="F1449" s="20"/>
      <c r="G1449" s="20"/>
    </row>
    <row r="1450" spans="6:7" x14ac:dyDescent="0.25">
      <c r="F1450" s="20"/>
      <c r="G1450" s="20"/>
    </row>
    <row r="1451" spans="6:7" x14ac:dyDescent="0.25">
      <c r="F1451" s="20"/>
      <c r="G1451" s="20"/>
    </row>
    <row r="1452" spans="6:7" x14ac:dyDescent="0.25">
      <c r="F1452" s="20"/>
      <c r="G1452" s="20"/>
    </row>
    <row r="1453" spans="6:7" x14ac:dyDescent="0.25">
      <c r="F1453" s="20"/>
      <c r="G1453" s="20"/>
    </row>
    <row r="1454" spans="6:7" x14ac:dyDescent="0.25">
      <c r="F1454" s="20"/>
      <c r="G1454" s="20"/>
    </row>
    <row r="1455" spans="6:7" x14ac:dyDescent="0.25">
      <c r="F1455" s="20"/>
      <c r="G1455" s="20"/>
    </row>
    <row r="1456" spans="6:7" x14ac:dyDescent="0.25">
      <c r="F1456" s="20"/>
      <c r="G1456" s="20"/>
    </row>
    <row r="1457" spans="6:7" x14ac:dyDescent="0.25">
      <c r="F1457" s="20"/>
      <c r="G1457" s="20"/>
    </row>
    <row r="1458" spans="6:7" x14ac:dyDescent="0.25">
      <c r="F1458" s="20"/>
      <c r="G1458" s="20"/>
    </row>
    <row r="1459" spans="6:7" x14ac:dyDescent="0.25">
      <c r="F1459" s="20"/>
      <c r="G1459" s="20"/>
    </row>
    <row r="1460" spans="6:7" x14ac:dyDescent="0.25">
      <c r="F1460" s="20"/>
      <c r="G1460" s="20"/>
    </row>
    <row r="1461" spans="6:7" x14ac:dyDescent="0.25">
      <c r="F1461" s="20"/>
      <c r="G1461" s="20"/>
    </row>
    <row r="1462" spans="6:7" x14ac:dyDescent="0.25">
      <c r="F1462" s="20"/>
      <c r="G1462" s="20"/>
    </row>
    <row r="1463" spans="6:7" x14ac:dyDescent="0.25">
      <c r="F1463" s="20"/>
      <c r="G1463" s="20"/>
    </row>
    <row r="1464" spans="6:7" x14ac:dyDescent="0.25">
      <c r="F1464" s="20"/>
      <c r="G1464" s="20"/>
    </row>
    <row r="1465" spans="6:7" x14ac:dyDescent="0.25">
      <c r="F1465" s="20"/>
      <c r="G1465" s="20"/>
    </row>
    <row r="1466" spans="6:7" x14ac:dyDescent="0.25">
      <c r="F1466" s="20"/>
      <c r="G1466" s="20"/>
    </row>
    <row r="1467" spans="6:7" x14ac:dyDescent="0.25">
      <c r="F1467" s="20"/>
      <c r="G1467" s="20"/>
    </row>
    <row r="1468" spans="6:7" x14ac:dyDescent="0.25">
      <c r="F1468" s="20"/>
      <c r="G1468" s="20"/>
    </row>
    <row r="1469" spans="6:7" x14ac:dyDescent="0.25">
      <c r="F1469" s="20"/>
      <c r="G1469" s="20"/>
    </row>
    <row r="1470" spans="6:7" x14ac:dyDescent="0.25">
      <c r="F1470" s="20"/>
      <c r="G1470" s="20"/>
    </row>
    <row r="1471" spans="6:7" x14ac:dyDescent="0.25">
      <c r="F1471" s="20"/>
      <c r="G1471" s="20"/>
    </row>
    <row r="1472" spans="6:7" x14ac:dyDescent="0.25">
      <c r="F1472" s="20"/>
      <c r="G1472" s="20"/>
    </row>
    <row r="1473" spans="6:7" x14ac:dyDescent="0.25">
      <c r="F1473" s="20"/>
      <c r="G1473" s="20"/>
    </row>
    <row r="1474" spans="6:7" x14ac:dyDescent="0.25">
      <c r="F1474" s="20"/>
      <c r="G1474" s="20"/>
    </row>
    <row r="1475" spans="6:7" x14ac:dyDescent="0.25">
      <c r="F1475" s="20"/>
      <c r="G1475" s="20"/>
    </row>
    <row r="1476" spans="6:7" x14ac:dyDescent="0.25">
      <c r="F1476" s="20"/>
      <c r="G1476" s="20"/>
    </row>
    <row r="1477" spans="6:7" x14ac:dyDescent="0.25">
      <c r="F1477" s="20"/>
      <c r="G1477" s="20"/>
    </row>
    <row r="1478" spans="6:7" x14ac:dyDescent="0.25">
      <c r="F1478" s="20"/>
      <c r="G1478" s="20"/>
    </row>
    <row r="1479" spans="6:7" x14ac:dyDescent="0.25">
      <c r="F1479" s="20"/>
      <c r="G1479" s="20"/>
    </row>
    <row r="1480" spans="6:7" x14ac:dyDescent="0.25">
      <c r="F1480" s="20"/>
      <c r="G1480" s="20"/>
    </row>
    <row r="1481" spans="6:7" x14ac:dyDescent="0.25">
      <c r="F1481" s="20"/>
      <c r="G1481" s="20"/>
    </row>
    <row r="1482" spans="6:7" x14ac:dyDescent="0.25">
      <c r="F1482" s="20"/>
      <c r="G1482" s="20"/>
    </row>
    <row r="1483" spans="6:7" x14ac:dyDescent="0.25">
      <c r="F1483" s="20"/>
      <c r="G1483" s="20"/>
    </row>
    <row r="1484" spans="6:7" x14ac:dyDescent="0.25">
      <c r="F1484" s="20"/>
      <c r="G1484" s="20"/>
    </row>
    <row r="1485" spans="6:7" x14ac:dyDescent="0.25">
      <c r="F1485" s="20"/>
      <c r="G1485" s="20"/>
    </row>
    <row r="1486" spans="6:7" x14ac:dyDescent="0.25">
      <c r="F1486" s="20"/>
      <c r="G1486" s="20"/>
    </row>
    <row r="1487" spans="6:7" x14ac:dyDescent="0.25">
      <c r="F1487" s="20"/>
      <c r="G1487" s="20"/>
    </row>
    <row r="1488" spans="6:7" x14ac:dyDescent="0.25">
      <c r="F1488" s="20"/>
      <c r="G1488" s="20"/>
    </row>
    <row r="1489" spans="6:7" x14ac:dyDescent="0.25">
      <c r="F1489" s="20"/>
      <c r="G1489" s="20"/>
    </row>
    <row r="1490" spans="6:7" x14ac:dyDescent="0.25">
      <c r="F1490" s="20"/>
      <c r="G1490" s="20"/>
    </row>
    <row r="1491" spans="6:7" x14ac:dyDescent="0.25">
      <c r="F1491" s="20"/>
      <c r="G1491" s="20"/>
    </row>
    <row r="1492" spans="6:7" x14ac:dyDescent="0.25">
      <c r="F1492" s="20"/>
      <c r="G1492" s="20"/>
    </row>
    <row r="1493" spans="6:7" x14ac:dyDescent="0.25">
      <c r="F1493" s="20"/>
      <c r="G1493" s="20"/>
    </row>
    <row r="1494" spans="6:7" x14ac:dyDescent="0.25">
      <c r="F1494" s="20"/>
      <c r="G1494" s="20"/>
    </row>
    <row r="1495" spans="6:7" x14ac:dyDescent="0.25">
      <c r="F1495" s="20"/>
      <c r="G1495" s="20"/>
    </row>
    <row r="1496" spans="6:7" x14ac:dyDescent="0.25">
      <c r="F1496" s="20"/>
      <c r="G1496" s="20"/>
    </row>
    <row r="1497" spans="6:7" x14ac:dyDescent="0.25">
      <c r="F1497" s="20"/>
      <c r="G1497" s="20"/>
    </row>
    <row r="1498" spans="6:7" x14ac:dyDescent="0.25">
      <c r="F1498" s="20"/>
      <c r="G1498" s="20"/>
    </row>
    <row r="1499" spans="6:7" x14ac:dyDescent="0.25">
      <c r="F1499" s="20"/>
      <c r="G1499" s="20"/>
    </row>
    <row r="1500" spans="6:7" x14ac:dyDescent="0.25">
      <c r="F1500" s="20"/>
      <c r="G1500" s="20"/>
    </row>
    <row r="1501" spans="6:7" x14ac:dyDescent="0.25">
      <c r="F1501" s="20"/>
      <c r="G1501" s="20"/>
    </row>
    <row r="1502" spans="6:7" x14ac:dyDescent="0.25">
      <c r="F1502" s="20"/>
      <c r="G1502" s="20"/>
    </row>
    <row r="1503" spans="6:7" x14ac:dyDescent="0.25">
      <c r="F1503" s="20"/>
      <c r="G1503" s="20"/>
    </row>
    <row r="1504" spans="6:7" x14ac:dyDescent="0.25">
      <c r="F1504" s="20"/>
      <c r="G1504" s="20"/>
    </row>
    <row r="1505" spans="6:7" x14ac:dyDescent="0.25">
      <c r="F1505" s="20"/>
      <c r="G1505" s="20"/>
    </row>
    <row r="1506" spans="6:7" x14ac:dyDescent="0.25">
      <c r="F1506" s="20"/>
      <c r="G1506" s="20"/>
    </row>
    <row r="1507" spans="6:7" x14ac:dyDescent="0.25">
      <c r="F1507" s="20"/>
      <c r="G1507" s="20"/>
    </row>
    <row r="1508" spans="6:7" x14ac:dyDescent="0.25">
      <c r="F1508" s="20"/>
      <c r="G1508" s="20"/>
    </row>
    <row r="1509" spans="6:7" x14ac:dyDescent="0.25">
      <c r="F1509" s="20"/>
      <c r="G1509" s="20"/>
    </row>
    <row r="1510" spans="6:7" x14ac:dyDescent="0.25">
      <c r="F1510" s="20"/>
      <c r="G1510" s="20"/>
    </row>
    <row r="1511" spans="6:7" x14ac:dyDescent="0.25">
      <c r="F1511" s="20"/>
      <c r="G1511" s="20"/>
    </row>
    <row r="1512" spans="6:7" x14ac:dyDescent="0.25">
      <c r="F1512" s="20"/>
      <c r="G1512" s="20"/>
    </row>
    <row r="1513" spans="6:7" x14ac:dyDescent="0.25">
      <c r="F1513" s="20"/>
      <c r="G1513" s="20"/>
    </row>
    <row r="1514" spans="6:7" x14ac:dyDescent="0.25">
      <c r="F1514" s="20"/>
      <c r="G1514" s="20"/>
    </row>
    <row r="1515" spans="6:7" x14ac:dyDescent="0.25">
      <c r="F1515" s="20"/>
      <c r="G1515" s="20"/>
    </row>
    <row r="1516" spans="6:7" x14ac:dyDescent="0.25">
      <c r="F1516" s="20"/>
      <c r="G1516" s="20"/>
    </row>
    <row r="1517" spans="6:7" x14ac:dyDescent="0.25">
      <c r="F1517" s="20"/>
      <c r="G1517" s="20"/>
    </row>
    <row r="1518" spans="6:7" x14ac:dyDescent="0.25">
      <c r="F1518" s="20"/>
      <c r="G1518" s="20"/>
    </row>
    <row r="1519" spans="6:7" x14ac:dyDescent="0.25">
      <c r="F1519" s="20"/>
      <c r="G1519" s="20"/>
    </row>
    <row r="1520" spans="6:7" x14ac:dyDescent="0.25">
      <c r="F1520" s="20"/>
      <c r="G1520" s="20"/>
    </row>
    <row r="1521" spans="6:7" x14ac:dyDescent="0.25">
      <c r="F1521" s="20"/>
      <c r="G1521" s="20"/>
    </row>
    <row r="1522" spans="6:7" x14ac:dyDescent="0.25">
      <c r="F1522" s="20"/>
      <c r="G1522" s="20"/>
    </row>
    <row r="1523" spans="6:7" x14ac:dyDescent="0.25">
      <c r="F1523" s="20"/>
      <c r="G1523" s="20"/>
    </row>
    <row r="1524" spans="6:7" x14ac:dyDescent="0.25">
      <c r="F1524" s="20"/>
      <c r="G1524" s="20"/>
    </row>
    <row r="1525" spans="6:7" x14ac:dyDescent="0.25">
      <c r="F1525" s="20"/>
      <c r="G1525" s="20"/>
    </row>
    <row r="1526" spans="6:7" x14ac:dyDescent="0.25">
      <c r="F1526" s="20"/>
      <c r="G1526" s="20"/>
    </row>
    <row r="1527" spans="6:7" x14ac:dyDescent="0.25">
      <c r="F1527" s="20"/>
      <c r="G1527" s="20"/>
    </row>
    <row r="1528" spans="6:7" x14ac:dyDescent="0.25">
      <c r="F1528" s="20"/>
      <c r="G1528" s="20"/>
    </row>
    <row r="1529" spans="6:7" x14ac:dyDescent="0.25">
      <c r="F1529" s="20"/>
      <c r="G1529" s="20"/>
    </row>
    <row r="1530" spans="6:7" x14ac:dyDescent="0.25">
      <c r="F1530" s="20"/>
      <c r="G1530" s="20"/>
    </row>
    <row r="1531" spans="6:7" x14ac:dyDescent="0.25">
      <c r="F1531" s="20"/>
      <c r="G1531" s="20"/>
    </row>
    <row r="1532" spans="6:7" x14ac:dyDescent="0.25">
      <c r="F1532" s="20"/>
      <c r="G1532" s="20"/>
    </row>
    <row r="1533" spans="6:7" x14ac:dyDescent="0.25">
      <c r="F1533" s="20"/>
      <c r="G1533" s="20"/>
    </row>
    <row r="1534" spans="6:7" x14ac:dyDescent="0.25">
      <c r="F1534" s="20"/>
      <c r="G1534" s="20"/>
    </row>
    <row r="1535" spans="6:7" x14ac:dyDescent="0.25">
      <c r="F1535" s="20"/>
      <c r="G1535" s="20"/>
    </row>
    <row r="1536" spans="6:7" x14ac:dyDescent="0.25">
      <c r="F1536" s="20"/>
      <c r="G1536" s="20"/>
    </row>
    <row r="1537" spans="6:7" x14ac:dyDescent="0.25">
      <c r="F1537" s="20"/>
      <c r="G1537" s="20"/>
    </row>
    <row r="1538" spans="6:7" x14ac:dyDescent="0.25">
      <c r="F1538" s="20"/>
      <c r="G1538" s="20"/>
    </row>
    <row r="1539" spans="6:7" x14ac:dyDescent="0.25">
      <c r="F1539" s="20"/>
      <c r="G1539" s="20"/>
    </row>
    <row r="1540" spans="6:7" x14ac:dyDescent="0.25">
      <c r="F1540" s="20"/>
      <c r="G1540" s="20"/>
    </row>
    <row r="1541" spans="6:7" x14ac:dyDescent="0.25">
      <c r="F1541" s="20"/>
      <c r="G1541" s="20"/>
    </row>
    <row r="1542" spans="6:7" x14ac:dyDescent="0.25">
      <c r="F1542" s="20"/>
      <c r="G1542" s="20"/>
    </row>
    <row r="1543" spans="6:7" x14ac:dyDescent="0.25">
      <c r="F1543" s="20"/>
      <c r="G1543" s="20"/>
    </row>
    <row r="1544" spans="6:7" x14ac:dyDescent="0.25">
      <c r="F1544" s="20"/>
      <c r="G1544" s="20"/>
    </row>
    <row r="1545" spans="6:7" x14ac:dyDescent="0.25">
      <c r="F1545" s="20"/>
      <c r="G1545" s="20"/>
    </row>
    <row r="1546" spans="6:7" x14ac:dyDescent="0.25">
      <c r="F1546" s="20"/>
      <c r="G1546" s="20"/>
    </row>
    <row r="1547" spans="6:7" x14ac:dyDescent="0.25">
      <c r="F1547" s="20"/>
      <c r="G1547" s="20"/>
    </row>
    <row r="1548" spans="6:7" x14ac:dyDescent="0.25">
      <c r="F1548" s="20"/>
      <c r="G1548" s="20"/>
    </row>
    <row r="1549" spans="6:7" x14ac:dyDescent="0.25">
      <c r="F1549" s="20"/>
      <c r="G1549" s="20"/>
    </row>
    <row r="1550" spans="6:7" x14ac:dyDescent="0.25">
      <c r="F1550" s="20"/>
      <c r="G1550" s="20"/>
    </row>
    <row r="1551" spans="6:7" x14ac:dyDescent="0.25">
      <c r="F1551" s="20"/>
      <c r="G1551" s="20"/>
    </row>
    <row r="1552" spans="6:7" x14ac:dyDescent="0.25">
      <c r="F1552" s="20"/>
      <c r="G1552" s="20"/>
    </row>
    <row r="1553" spans="6:7" x14ac:dyDescent="0.25">
      <c r="F1553" s="20"/>
      <c r="G1553" s="20"/>
    </row>
    <row r="1554" spans="6:7" x14ac:dyDescent="0.25">
      <c r="F1554" s="20"/>
      <c r="G1554" s="20"/>
    </row>
    <row r="1555" spans="6:7" x14ac:dyDescent="0.25">
      <c r="F1555" s="20"/>
      <c r="G1555" s="20"/>
    </row>
    <row r="1556" spans="6:7" x14ac:dyDescent="0.25">
      <c r="F1556" s="20"/>
      <c r="G1556" s="20"/>
    </row>
    <row r="1557" spans="6:7" x14ac:dyDescent="0.25">
      <c r="F1557" s="20"/>
      <c r="G1557" s="20"/>
    </row>
    <row r="1558" spans="6:7" x14ac:dyDescent="0.25">
      <c r="F1558" s="20"/>
      <c r="G1558" s="20"/>
    </row>
    <row r="1559" spans="6:7" x14ac:dyDescent="0.25">
      <c r="F1559" s="20"/>
      <c r="G1559" s="20"/>
    </row>
    <row r="1560" spans="6:7" x14ac:dyDescent="0.25">
      <c r="F1560" s="20"/>
      <c r="G1560" s="20"/>
    </row>
    <row r="1561" spans="6:7" x14ac:dyDescent="0.25">
      <c r="F1561" s="20"/>
      <c r="G1561" s="20"/>
    </row>
    <row r="1562" spans="6:7" x14ac:dyDescent="0.25">
      <c r="F1562" s="20"/>
      <c r="G1562" s="20"/>
    </row>
    <row r="1563" spans="6:7" x14ac:dyDescent="0.25">
      <c r="F1563" s="20"/>
      <c r="G1563" s="20"/>
    </row>
    <row r="1564" spans="6:7" x14ac:dyDescent="0.25">
      <c r="F1564" s="20"/>
      <c r="G1564" s="20"/>
    </row>
    <row r="1565" spans="6:7" x14ac:dyDescent="0.25">
      <c r="F1565" s="20"/>
      <c r="G1565" s="20"/>
    </row>
    <row r="1566" spans="6:7" x14ac:dyDescent="0.25">
      <c r="F1566" s="20"/>
      <c r="G1566" s="20"/>
    </row>
    <row r="1567" spans="6:7" x14ac:dyDescent="0.25">
      <c r="F1567" s="20"/>
      <c r="G1567" s="20"/>
    </row>
    <row r="1568" spans="6:7" x14ac:dyDescent="0.25">
      <c r="F1568" s="20"/>
      <c r="G1568" s="20"/>
    </row>
    <row r="1569" spans="6:7" x14ac:dyDescent="0.25">
      <c r="F1569" s="20"/>
      <c r="G1569" s="20"/>
    </row>
    <row r="1570" spans="6:7" x14ac:dyDescent="0.25">
      <c r="F1570" s="20"/>
      <c r="G1570" s="20"/>
    </row>
    <row r="1571" spans="6:7" x14ac:dyDescent="0.25">
      <c r="F1571" s="20"/>
      <c r="G1571" s="20"/>
    </row>
    <row r="1572" spans="6:7" x14ac:dyDescent="0.25">
      <c r="F1572" s="20"/>
      <c r="G1572" s="20"/>
    </row>
    <row r="1573" spans="6:7" x14ac:dyDescent="0.25">
      <c r="F1573" s="20"/>
      <c r="G1573" s="20"/>
    </row>
    <row r="1574" spans="6:7" x14ac:dyDescent="0.25">
      <c r="F1574" s="20"/>
      <c r="G1574" s="20"/>
    </row>
    <row r="1575" spans="6:7" x14ac:dyDescent="0.25">
      <c r="F1575" s="20"/>
      <c r="G1575" s="20"/>
    </row>
    <row r="1576" spans="6:7" x14ac:dyDescent="0.25">
      <c r="F1576" s="20"/>
      <c r="G1576" s="20"/>
    </row>
    <row r="1577" spans="6:7" x14ac:dyDescent="0.25">
      <c r="F1577" s="20"/>
      <c r="G1577" s="20"/>
    </row>
    <row r="1578" spans="6:7" x14ac:dyDescent="0.25">
      <c r="F1578" s="20"/>
      <c r="G1578" s="20"/>
    </row>
    <row r="1579" spans="6:7" x14ac:dyDescent="0.25">
      <c r="F1579" s="20"/>
      <c r="G1579" s="20"/>
    </row>
    <row r="1580" spans="6:7" x14ac:dyDescent="0.25">
      <c r="F1580" s="20"/>
      <c r="G1580" s="20"/>
    </row>
    <row r="1581" spans="6:7" x14ac:dyDescent="0.25">
      <c r="F1581" s="20"/>
      <c r="G1581" s="20"/>
    </row>
    <row r="1582" spans="6:7" x14ac:dyDescent="0.25">
      <c r="F1582" s="20"/>
      <c r="G1582" s="20"/>
    </row>
    <row r="1583" spans="6:7" x14ac:dyDescent="0.25">
      <c r="F1583" s="20"/>
      <c r="G1583" s="20"/>
    </row>
    <row r="1584" spans="6:7" x14ac:dyDescent="0.25">
      <c r="F1584" s="20"/>
      <c r="G1584" s="20"/>
    </row>
    <row r="1585" spans="6:7" x14ac:dyDescent="0.25">
      <c r="F1585" s="20"/>
      <c r="G1585" s="20"/>
    </row>
    <row r="1586" spans="6:7" x14ac:dyDescent="0.25">
      <c r="F1586" s="20"/>
      <c r="G1586" s="20"/>
    </row>
    <row r="1587" spans="6:7" x14ac:dyDescent="0.25">
      <c r="F1587" s="20"/>
      <c r="G1587" s="20"/>
    </row>
    <row r="1588" spans="6:7" x14ac:dyDescent="0.25">
      <c r="F1588" s="20"/>
      <c r="G1588" s="20"/>
    </row>
    <row r="1589" spans="6:7" x14ac:dyDescent="0.25">
      <c r="F1589" s="20"/>
      <c r="G1589" s="20"/>
    </row>
    <row r="1590" spans="6:7" x14ac:dyDescent="0.25">
      <c r="F1590" s="20"/>
      <c r="G1590" s="20"/>
    </row>
    <row r="1591" spans="6:7" x14ac:dyDescent="0.25">
      <c r="F1591" s="20"/>
      <c r="G1591" s="20"/>
    </row>
    <row r="1592" spans="6:7" x14ac:dyDescent="0.25">
      <c r="F1592" s="20"/>
      <c r="G1592" s="20"/>
    </row>
    <row r="1593" spans="6:7" x14ac:dyDescent="0.25">
      <c r="F1593" s="20"/>
      <c r="G1593" s="20"/>
    </row>
    <row r="1594" spans="6:7" x14ac:dyDescent="0.25">
      <c r="F1594" s="20"/>
      <c r="G1594" s="20"/>
    </row>
    <row r="1595" spans="6:7" x14ac:dyDescent="0.25">
      <c r="F1595" s="20"/>
      <c r="G1595" s="20"/>
    </row>
    <row r="1596" spans="6:7" x14ac:dyDescent="0.25">
      <c r="F1596" s="20"/>
      <c r="G1596" s="20"/>
    </row>
    <row r="1597" spans="6:7" x14ac:dyDescent="0.25">
      <c r="F1597" s="20"/>
      <c r="G1597" s="20"/>
    </row>
    <row r="1598" spans="6:7" x14ac:dyDescent="0.25">
      <c r="F1598" s="20"/>
      <c r="G1598" s="20"/>
    </row>
    <row r="1599" spans="6:7" x14ac:dyDescent="0.25">
      <c r="F1599" s="20"/>
      <c r="G1599" s="20"/>
    </row>
    <row r="1600" spans="6:7" x14ac:dyDescent="0.25">
      <c r="F1600" s="20"/>
      <c r="G1600" s="20"/>
    </row>
    <row r="1601" spans="6:7" x14ac:dyDescent="0.25">
      <c r="F1601" s="20"/>
      <c r="G1601" s="20"/>
    </row>
    <row r="1602" spans="6:7" x14ac:dyDescent="0.25">
      <c r="F1602" s="20"/>
      <c r="G1602" s="20"/>
    </row>
    <row r="1603" spans="6:7" x14ac:dyDescent="0.25">
      <c r="F1603" s="20"/>
      <c r="G1603" s="20"/>
    </row>
    <row r="1604" spans="6:7" x14ac:dyDescent="0.25">
      <c r="F1604" s="20"/>
      <c r="G1604" s="20"/>
    </row>
    <row r="1605" spans="6:7" x14ac:dyDescent="0.25">
      <c r="F1605" s="20"/>
      <c r="G1605" s="20"/>
    </row>
    <row r="1606" spans="6:7" x14ac:dyDescent="0.25">
      <c r="F1606" s="20"/>
      <c r="G1606" s="20"/>
    </row>
    <row r="1607" spans="6:7" x14ac:dyDescent="0.25">
      <c r="F1607" s="20"/>
      <c r="G1607" s="20"/>
    </row>
    <row r="1608" spans="6:7" x14ac:dyDescent="0.25">
      <c r="F1608" s="20"/>
      <c r="G1608" s="20"/>
    </row>
    <row r="1609" spans="6:7" x14ac:dyDescent="0.25">
      <c r="F1609" s="20"/>
      <c r="G1609" s="20"/>
    </row>
    <row r="1610" spans="6:7" x14ac:dyDescent="0.25">
      <c r="F1610" s="20"/>
      <c r="G1610" s="20"/>
    </row>
    <row r="1611" spans="6:7" x14ac:dyDescent="0.25">
      <c r="F1611" s="20"/>
      <c r="G1611" s="20"/>
    </row>
    <row r="1612" spans="6:7" x14ac:dyDescent="0.25">
      <c r="F1612" s="20"/>
      <c r="G1612" s="20"/>
    </row>
    <row r="1613" spans="6:7" x14ac:dyDescent="0.25">
      <c r="F1613" s="20"/>
      <c r="G1613" s="20"/>
    </row>
    <row r="1614" spans="6:7" x14ac:dyDescent="0.25">
      <c r="F1614" s="20"/>
      <c r="G1614" s="20"/>
    </row>
    <row r="1615" spans="6:7" x14ac:dyDescent="0.25">
      <c r="F1615" s="20"/>
      <c r="G1615" s="20"/>
    </row>
    <row r="1616" spans="6:7" x14ac:dyDescent="0.25">
      <c r="F1616" s="20"/>
      <c r="G1616" s="20"/>
    </row>
    <row r="1617" spans="6:7" x14ac:dyDescent="0.25">
      <c r="F1617" s="20"/>
      <c r="G1617" s="20"/>
    </row>
    <row r="1618" spans="6:7" x14ac:dyDescent="0.25">
      <c r="F1618" s="20"/>
      <c r="G1618" s="20"/>
    </row>
    <row r="1619" spans="6:7" x14ac:dyDescent="0.25">
      <c r="F1619" s="20"/>
      <c r="G1619" s="20"/>
    </row>
    <row r="1620" spans="6:7" x14ac:dyDescent="0.25">
      <c r="F1620" s="20"/>
      <c r="G1620" s="20"/>
    </row>
    <row r="1621" spans="6:7" x14ac:dyDescent="0.25">
      <c r="F1621" s="20"/>
      <c r="G1621" s="20"/>
    </row>
    <row r="1622" spans="6:7" x14ac:dyDescent="0.25">
      <c r="F1622" s="20"/>
      <c r="G1622" s="20"/>
    </row>
    <row r="1623" spans="6:7" x14ac:dyDescent="0.25">
      <c r="F1623" s="20"/>
      <c r="G1623" s="20"/>
    </row>
    <row r="1624" spans="6:7" x14ac:dyDescent="0.25">
      <c r="F1624" s="20"/>
      <c r="G1624" s="20"/>
    </row>
    <row r="1625" spans="6:7" x14ac:dyDescent="0.25">
      <c r="F1625" s="20"/>
      <c r="G1625" s="20"/>
    </row>
    <row r="1626" spans="6:7" x14ac:dyDescent="0.25">
      <c r="F1626" s="20"/>
      <c r="G1626" s="20"/>
    </row>
    <row r="1627" spans="6:7" x14ac:dyDescent="0.25">
      <c r="F1627" s="20"/>
      <c r="G1627" s="20"/>
    </row>
    <row r="1628" spans="6:7" x14ac:dyDescent="0.25">
      <c r="F1628" s="20"/>
      <c r="G1628" s="20"/>
    </row>
    <row r="1629" spans="6:7" x14ac:dyDescent="0.25">
      <c r="F1629" s="20"/>
      <c r="G1629" s="20"/>
    </row>
    <row r="1630" spans="6:7" x14ac:dyDescent="0.25">
      <c r="F1630" s="20"/>
      <c r="G1630" s="20"/>
    </row>
    <row r="1631" spans="6:7" x14ac:dyDescent="0.25">
      <c r="F1631" s="20"/>
      <c r="G1631" s="20"/>
    </row>
    <row r="1632" spans="6:7" x14ac:dyDescent="0.25">
      <c r="F1632" s="20"/>
      <c r="G1632" s="20"/>
    </row>
    <row r="1633" spans="6:7" x14ac:dyDescent="0.25">
      <c r="F1633" s="20"/>
      <c r="G1633" s="20"/>
    </row>
    <row r="1634" spans="6:7" x14ac:dyDescent="0.25">
      <c r="F1634" s="20"/>
      <c r="G1634" s="20"/>
    </row>
    <row r="1635" spans="6:7" x14ac:dyDescent="0.25">
      <c r="F1635" s="20"/>
      <c r="G1635" s="20"/>
    </row>
    <row r="1636" spans="6:7" x14ac:dyDescent="0.25">
      <c r="F1636" s="20"/>
      <c r="G1636" s="20"/>
    </row>
    <row r="1637" spans="6:7" x14ac:dyDescent="0.25">
      <c r="F1637" s="20"/>
      <c r="G1637" s="20"/>
    </row>
    <row r="1638" spans="6:7" x14ac:dyDescent="0.25">
      <c r="F1638" s="20"/>
      <c r="G1638" s="20"/>
    </row>
    <row r="1639" spans="6:7" x14ac:dyDescent="0.25">
      <c r="F1639" s="20"/>
      <c r="G1639" s="20"/>
    </row>
    <row r="1640" spans="6:7" x14ac:dyDescent="0.25">
      <c r="F1640" s="20"/>
      <c r="G1640" s="20"/>
    </row>
    <row r="1641" spans="6:7" x14ac:dyDescent="0.25">
      <c r="F1641" s="20"/>
      <c r="G1641" s="20"/>
    </row>
    <row r="1642" spans="6:7" x14ac:dyDescent="0.25">
      <c r="F1642" s="20"/>
      <c r="G1642" s="20"/>
    </row>
    <row r="1643" spans="6:7" x14ac:dyDescent="0.25">
      <c r="F1643" s="20"/>
      <c r="G1643" s="20"/>
    </row>
    <row r="1644" spans="6:7" x14ac:dyDescent="0.25">
      <c r="F1644" s="20"/>
      <c r="G1644" s="20"/>
    </row>
    <row r="1645" spans="6:7" x14ac:dyDescent="0.25">
      <c r="F1645" s="20"/>
      <c r="G1645" s="20"/>
    </row>
    <row r="1646" spans="6:7" x14ac:dyDescent="0.25">
      <c r="F1646" s="20"/>
      <c r="G1646" s="20"/>
    </row>
    <row r="1647" spans="6:7" x14ac:dyDescent="0.25">
      <c r="F1647" s="20"/>
      <c r="G1647" s="20"/>
    </row>
    <row r="1648" spans="6:7" x14ac:dyDescent="0.25">
      <c r="F1648" s="20"/>
      <c r="G1648" s="20"/>
    </row>
    <row r="1649" spans="6:7" x14ac:dyDescent="0.25">
      <c r="F1649" s="20"/>
      <c r="G1649" s="20"/>
    </row>
    <row r="1650" spans="6:7" x14ac:dyDescent="0.25">
      <c r="F1650" s="20"/>
      <c r="G1650" s="20"/>
    </row>
    <row r="1651" spans="6:7" x14ac:dyDescent="0.25">
      <c r="F1651" s="20"/>
      <c r="G1651" s="20"/>
    </row>
    <row r="1652" spans="6:7" x14ac:dyDescent="0.25">
      <c r="F1652" s="20"/>
      <c r="G1652" s="20"/>
    </row>
    <row r="1653" spans="6:7" x14ac:dyDescent="0.25">
      <c r="F1653" s="20"/>
      <c r="G1653" s="20"/>
    </row>
    <row r="1654" spans="6:7" x14ac:dyDescent="0.25">
      <c r="F1654" s="20"/>
      <c r="G1654" s="20"/>
    </row>
    <row r="1655" spans="6:7" x14ac:dyDescent="0.25">
      <c r="F1655" s="20"/>
      <c r="G1655" s="20"/>
    </row>
    <row r="1656" spans="6:7" x14ac:dyDescent="0.25">
      <c r="F1656" s="20"/>
      <c r="G1656" s="20"/>
    </row>
    <row r="1657" spans="6:7" x14ac:dyDescent="0.25">
      <c r="F1657" s="20"/>
      <c r="G1657" s="20"/>
    </row>
    <row r="1658" spans="6:7" x14ac:dyDescent="0.25">
      <c r="F1658" s="20"/>
      <c r="G1658" s="20"/>
    </row>
    <row r="1659" spans="6:7" x14ac:dyDescent="0.25">
      <c r="F1659" s="20"/>
      <c r="G1659" s="20"/>
    </row>
    <row r="1660" spans="6:7" x14ac:dyDescent="0.25">
      <c r="F1660" s="20"/>
      <c r="G1660" s="20"/>
    </row>
    <row r="1661" spans="6:7" x14ac:dyDescent="0.25">
      <c r="F1661" s="20"/>
      <c r="G1661" s="20"/>
    </row>
    <row r="1662" spans="6:7" x14ac:dyDescent="0.25">
      <c r="F1662" s="20"/>
      <c r="G1662" s="20"/>
    </row>
    <row r="1663" spans="6:7" x14ac:dyDescent="0.25">
      <c r="F1663" s="20"/>
      <c r="G1663" s="20"/>
    </row>
    <row r="1664" spans="6:7" x14ac:dyDescent="0.25">
      <c r="F1664" s="20"/>
      <c r="G1664" s="20"/>
    </row>
    <row r="1665" spans="6:7" x14ac:dyDescent="0.25">
      <c r="F1665" s="20"/>
      <c r="G1665" s="20"/>
    </row>
    <row r="1666" spans="6:7" x14ac:dyDescent="0.25">
      <c r="F1666" s="20"/>
      <c r="G1666" s="20"/>
    </row>
    <row r="1667" spans="6:7" x14ac:dyDescent="0.25">
      <c r="F1667" s="20"/>
      <c r="G1667" s="20"/>
    </row>
    <row r="1668" spans="6:7" x14ac:dyDescent="0.25">
      <c r="F1668" s="20"/>
      <c r="G1668" s="20"/>
    </row>
    <row r="1669" spans="6:7" x14ac:dyDescent="0.25">
      <c r="F1669" s="20"/>
      <c r="G1669" s="20"/>
    </row>
    <row r="1670" spans="6:7" x14ac:dyDescent="0.25">
      <c r="F1670" s="20"/>
      <c r="G1670" s="20"/>
    </row>
    <row r="1671" spans="6:7" x14ac:dyDescent="0.25">
      <c r="F1671" s="20"/>
      <c r="G1671" s="20"/>
    </row>
    <row r="1672" spans="6:7" x14ac:dyDescent="0.25">
      <c r="F1672" s="20"/>
      <c r="G1672" s="20"/>
    </row>
    <row r="1673" spans="6:7" x14ac:dyDescent="0.25">
      <c r="F1673" s="20"/>
      <c r="G1673" s="20"/>
    </row>
    <row r="1674" spans="6:7" x14ac:dyDescent="0.25">
      <c r="F1674" s="20"/>
      <c r="G1674" s="20"/>
    </row>
    <row r="1675" spans="6:7" x14ac:dyDescent="0.25">
      <c r="F1675" s="20"/>
      <c r="G1675" s="20"/>
    </row>
    <row r="1676" spans="6:7" x14ac:dyDescent="0.25">
      <c r="F1676" s="20"/>
      <c r="G1676" s="20"/>
    </row>
    <row r="1677" spans="6:7" x14ac:dyDescent="0.25">
      <c r="F1677" s="20"/>
      <c r="G1677" s="20"/>
    </row>
    <row r="1678" spans="6:7" x14ac:dyDescent="0.25">
      <c r="F1678" s="20"/>
      <c r="G1678" s="20"/>
    </row>
    <row r="1679" spans="6:7" x14ac:dyDescent="0.25">
      <c r="F1679" s="20"/>
      <c r="G1679" s="20"/>
    </row>
    <row r="1680" spans="6:7" x14ac:dyDescent="0.25">
      <c r="F1680" s="20"/>
      <c r="G1680" s="20"/>
    </row>
    <row r="1681" spans="6:7" x14ac:dyDescent="0.25">
      <c r="F1681" s="20"/>
      <c r="G1681" s="20"/>
    </row>
    <row r="1682" spans="6:7" x14ac:dyDescent="0.25">
      <c r="F1682" s="20"/>
      <c r="G1682" s="20"/>
    </row>
    <row r="1683" spans="6:7" x14ac:dyDescent="0.25">
      <c r="F1683" s="20"/>
      <c r="G1683" s="20"/>
    </row>
    <row r="1684" spans="6:7" x14ac:dyDescent="0.25">
      <c r="F1684" s="20"/>
      <c r="G1684" s="20"/>
    </row>
    <row r="1685" spans="6:7" x14ac:dyDescent="0.25">
      <c r="F1685" s="20"/>
      <c r="G1685" s="20"/>
    </row>
    <row r="1686" spans="6:7" x14ac:dyDescent="0.25">
      <c r="F1686" s="20"/>
      <c r="G1686" s="20"/>
    </row>
    <row r="1687" spans="6:7" x14ac:dyDescent="0.25">
      <c r="F1687" s="20"/>
      <c r="G1687" s="20"/>
    </row>
    <row r="1688" spans="6:7" x14ac:dyDescent="0.25">
      <c r="F1688" s="20"/>
      <c r="G1688" s="20"/>
    </row>
    <row r="1689" spans="6:7" x14ac:dyDescent="0.25">
      <c r="F1689" s="20"/>
      <c r="G1689" s="20"/>
    </row>
    <row r="1690" spans="6:7" x14ac:dyDescent="0.25">
      <c r="F1690" s="20"/>
      <c r="G1690" s="20"/>
    </row>
    <row r="1691" spans="6:7" x14ac:dyDescent="0.25">
      <c r="F1691" s="20"/>
      <c r="G1691" s="20"/>
    </row>
    <row r="1692" spans="6:7" x14ac:dyDescent="0.25">
      <c r="F1692" s="20"/>
      <c r="G1692" s="20"/>
    </row>
    <row r="1693" spans="6:7" x14ac:dyDescent="0.25">
      <c r="F1693" s="20"/>
      <c r="G1693" s="20"/>
    </row>
    <row r="1694" spans="6:7" x14ac:dyDescent="0.25">
      <c r="F1694" s="20"/>
      <c r="G1694" s="20"/>
    </row>
    <row r="1695" spans="6:7" x14ac:dyDescent="0.25">
      <c r="F1695" s="20"/>
      <c r="G1695" s="20"/>
    </row>
    <row r="1696" spans="6:7" x14ac:dyDescent="0.25">
      <c r="F1696" s="20"/>
      <c r="G1696" s="20"/>
    </row>
    <row r="1697" spans="6:7" x14ac:dyDescent="0.25">
      <c r="F1697" s="20"/>
      <c r="G1697" s="20"/>
    </row>
    <row r="1698" spans="6:7" x14ac:dyDescent="0.25">
      <c r="F1698" s="20"/>
      <c r="G1698" s="20"/>
    </row>
    <row r="1699" spans="6:7" x14ac:dyDescent="0.25">
      <c r="F1699" s="20"/>
      <c r="G1699" s="20"/>
    </row>
    <row r="1700" spans="6:7" x14ac:dyDescent="0.25">
      <c r="F1700" s="20"/>
      <c r="G1700" s="20"/>
    </row>
    <row r="1701" spans="6:7" x14ac:dyDescent="0.25">
      <c r="F1701" s="20"/>
      <c r="G1701" s="20"/>
    </row>
    <row r="1702" spans="6:7" x14ac:dyDescent="0.25">
      <c r="F1702" s="20"/>
      <c r="G1702" s="20"/>
    </row>
    <row r="1703" spans="6:7" x14ac:dyDescent="0.25">
      <c r="F1703" s="20"/>
      <c r="G1703" s="20"/>
    </row>
    <row r="1704" spans="6:7" x14ac:dyDescent="0.25">
      <c r="F1704" s="20"/>
      <c r="G1704" s="20"/>
    </row>
    <row r="1705" spans="6:7" x14ac:dyDescent="0.25">
      <c r="F1705" s="20"/>
      <c r="G1705" s="20"/>
    </row>
    <row r="1706" spans="6:7" x14ac:dyDescent="0.25">
      <c r="F1706" s="20"/>
      <c r="G1706" s="20"/>
    </row>
    <row r="1707" spans="6:7" x14ac:dyDescent="0.25">
      <c r="F1707" s="20"/>
      <c r="G1707" s="20"/>
    </row>
    <row r="1708" spans="6:7" x14ac:dyDescent="0.25">
      <c r="F1708" s="20"/>
      <c r="G1708" s="20"/>
    </row>
    <row r="1709" spans="6:7" x14ac:dyDescent="0.25">
      <c r="F1709" s="20"/>
      <c r="G1709" s="20"/>
    </row>
    <row r="1710" spans="6:7" x14ac:dyDescent="0.25">
      <c r="F1710" s="20"/>
      <c r="G1710" s="20"/>
    </row>
    <row r="1711" spans="6:7" x14ac:dyDescent="0.25">
      <c r="F1711" s="20"/>
      <c r="G1711" s="20"/>
    </row>
    <row r="1712" spans="6:7" x14ac:dyDescent="0.25">
      <c r="F1712" s="20"/>
      <c r="G1712" s="20"/>
    </row>
    <row r="1713" spans="6:7" x14ac:dyDescent="0.25">
      <c r="F1713" s="20"/>
      <c r="G1713" s="20"/>
    </row>
    <row r="1714" spans="6:7" x14ac:dyDescent="0.25">
      <c r="F1714" s="20"/>
      <c r="G1714" s="20"/>
    </row>
    <row r="1715" spans="6:7" x14ac:dyDescent="0.25">
      <c r="F1715" s="20"/>
      <c r="G1715" s="20"/>
    </row>
    <row r="1716" spans="6:7" x14ac:dyDescent="0.25">
      <c r="F1716" s="20"/>
      <c r="G1716" s="20"/>
    </row>
    <row r="1717" spans="6:7" x14ac:dyDescent="0.25">
      <c r="F1717" s="20"/>
      <c r="G1717" s="20"/>
    </row>
    <row r="1718" spans="6:7" x14ac:dyDescent="0.25">
      <c r="F1718" s="20"/>
      <c r="G1718" s="20"/>
    </row>
    <row r="1719" spans="6:7" x14ac:dyDescent="0.25">
      <c r="F1719" s="20"/>
      <c r="G1719" s="20"/>
    </row>
    <row r="1720" spans="6:7" x14ac:dyDescent="0.25">
      <c r="F1720" s="20"/>
      <c r="G1720" s="20"/>
    </row>
    <row r="1721" spans="6:7" x14ac:dyDescent="0.25">
      <c r="F1721" s="20"/>
      <c r="G1721" s="20"/>
    </row>
    <row r="1722" spans="6:7" x14ac:dyDescent="0.25">
      <c r="F1722" s="20"/>
      <c r="G1722" s="20"/>
    </row>
    <row r="1723" spans="6:7" x14ac:dyDescent="0.25">
      <c r="F1723" s="20"/>
      <c r="G1723" s="20"/>
    </row>
    <row r="1724" spans="6:7" x14ac:dyDescent="0.25">
      <c r="F1724" s="20"/>
      <c r="G1724" s="20"/>
    </row>
    <row r="1725" spans="6:7" x14ac:dyDescent="0.25">
      <c r="F1725" s="20"/>
      <c r="G1725" s="20"/>
    </row>
    <row r="1726" spans="6:7" x14ac:dyDescent="0.25">
      <c r="F1726" s="20"/>
      <c r="G1726" s="20"/>
    </row>
    <row r="1727" spans="6:7" x14ac:dyDescent="0.25">
      <c r="F1727" s="20"/>
      <c r="G1727" s="20"/>
    </row>
    <row r="1728" spans="6:7" x14ac:dyDescent="0.25">
      <c r="F1728" s="20"/>
      <c r="G1728" s="20"/>
    </row>
    <row r="1729" spans="6:7" x14ac:dyDescent="0.25">
      <c r="F1729" s="20"/>
      <c r="G1729" s="20"/>
    </row>
    <row r="1730" spans="6:7" x14ac:dyDescent="0.25">
      <c r="F1730" s="20"/>
      <c r="G1730" s="20"/>
    </row>
    <row r="1731" spans="6:7" x14ac:dyDescent="0.25">
      <c r="F1731" s="20"/>
      <c r="G1731" s="20"/>
    </row>
    <row r="1732" spans="6:7" x14ac:dyDescent="0.25">
      <c r="F1732" s="20"/>
      <c r="G1732" s="20"/>
    </row>
    <row r="1733" spans="6:7" x14ac:dyDescent="0.25">
      <c r="F1733" s="20"/>
      <c r="G1733" s="20"/>
    </row>
    <row r="1734" spans="6:7" x14ac:dyDescent="0.25">
      <c r="F1734" s="20"/>
      <c r="G1734" s="20"/>
    </row>
    <row r="1735" spans="6:7" x14ac:dyDescent="0.25">
      <c r="F1735" s="20"/>
      <c r="G1735" s="20"/>
    </row>
    <row r="1736" spans="6:7" x14ac:dyDescent="0.25">
      <c r="F1736" s="20"/>
      <c r="G1736" s="20"/>
    </row>
    <row r="1737" spans="6:7" x14ac:dyDescent="0.25">
      <c r="F1737" s="20"/>
      <c r="G1737" s="20"/>
    </row>
    <row r="1738" spans="6:7" x14ac:dyDescent="0.25">
      <c r="F1738" s="20"/>
      <c r="G1738" s="20"/>
    </row>
    <row r="1739" spans="6:7" x14ac:dyDescent="0.25">
      <c r="F1739" s="20"/>
      <c r="G1739" s="20"/>
    </row>
    <row r="1740" spans="6:7" x14ac:dyDescent="0.25">
      <c r="F1740" s="20"/>
      <c r="G1740" s="20"/>
    </row>
    <row r="1741" spans="6:7" x14ac:dyDescent="0.25">
      <c r="F1741" s="20"/>
      <c r="G1741" s="20"/>
    </row>
    <row r="1742" spans="6:7" x14ac:dyDescent="0.25">
      <c r="F1742" s="20"/>
      <c r="G1742" s="20"/>
    </row>
    <row r="1743" spans="6:7" x14ac:dyDescent="0.25">
      <c r="F1743" s="20"/>
      <c r="G1743" s="20"/>
    </row>
    <row r="1744" spans="6:7" x14ac:dyDescent="0.25">
      <c r="F1744" s="20"/>
      <c r="G1744" s="20"/>
    </row>
    <row r="1745" spans="6:7" x14ac:dyDescent="0.25">
      <c r="F1745" s="20"/>
      <c r="G1745" s="20"/>
    </row>
    <row r="1746" spans="6:7" x14ac:dyDescent="0.25">
      <c r="F1746" s="20"/>
      <c r="G1746" s="20"/>
    </row>
    <row r="1747" spans="6:7" x14ac:dyDescent="0.25">
      <c r="F1747" s="20"/>
      <c r="G1747" s="20"/>
    </row>
    <row r="1748" spans="6:7" x14ac:dyDescent="0.25">
      <c r="F1748" s="20"/>
      <c r="G1748" s="20"/>
    </row>
    <row r="1749" spans="6:7" x14ac:dyDescent="0.25">
      <c r="F1749" s="20"/>
      <c r="G1749" s="20"/>
    </row>
    <row r="1750" spans="6:7" x14ac:dyDescent="0.25">
      <c r="F1750" s="20"/>
      <c r="G1750" s="20"/>
    </row>
    <row r="1751" spans="6:7" x14ac:dyDescent="0.25">
      <c r="F1751" s="20"/>
      <c r="G1751" s="20"/>
    </row>
    <row r="1752" spans="6:7" x14ac:dyDescent="0.25">
      <c r="F1752" s="20"/>
      <c r="G1752" s="20"/>
    </row>
    <row r="1753" spans="6:7" x14ac:dyDescent="0.25">
      <c r="F1753" s="20"/>
      <c r="G1753" s="20"/>
    </row>
    <row r="1754" spans="6:7" x14ac:dyDescent="0.25">
      <c r="F1754" s="20"/>
      <c r="G1754" s="20"/>
    </row>
    <row r="1755" spans="6:7" x14ac:dyDescent="0.25">
      <c r="F1755" s="20"/>
      <c r="G1755" s="20"/>
    </row>
    <row r="1756" spans="6:7" x14ac:dyDescent="0.25">
      <c r="F1756" s="20"/>
      <c r="G1756" s="20"/>
    </row>
    <row r="1757" spans="6:7" x14ac:dyDescent="0.25">
      <c r="F1757" s="20"/>
      <c r="G1757" s="20"/>
    </row>
    <row r="1758" spans="6:7" x14ac:dyDescent="0.25">
      <c r="F1758" s="20"/>
      <c r="G1758" s="20"/>
    </row>
    <row r="1759" spans="6:7" x14ac:dyDescent="0.25">
      <c r="F1759" s="20"/>
      <c r="G1759" s="20"/>
    </row>
    <row r="1760" spans="6:7" x14ac:dyDescent="0.25">
      <c r="F1760" s="20"/>
      <c r="G1760" s="20"/>
    </row>
    <row r="1761" spans="6:7" x14ac:dyDescent="0.25">
      <c r="F1761" s="20"/>
      <c r="G1761" s="20"/>
    </row>
    <row r="1762" spans="6:7" x14ac:dyDescent="0.25">
      <c r="F1762" s="20"/>
      <c r="G1762" s="20"/>
    </row>
    <row r="1763" spans="6:7" x14ac:dyDescent="0.25">
      <c r="F1763" s="20"/>
      <c r="G1763" s="20"/>
    </row>
    <row r="1764" spans="6:7" x14ac:dyDescent="0.25">
      <c r="F1764" s="20"/>
      <c r="G1764" s="20"/>
    </row>
    <row r="1765" spans="6:7" x14ac:dyDescent="0.25">
      <c r="F1765" s="20"/>
      <c r="G1765" s="20"/>
    </row>
    <row r="1766" spans="6:7" x14ac:dyDescent="0.25">
      <c r="F1766" s="20"/>
      <c r="G1766" s="20"/>
    </row>
    <row r="1767" spans="6:7" x14ac:dyDescent="0.25">
      <c r="F1767" s="20"/>
      <c r="G1767" s="20"/>
    </row>
    <row r="1768" spans="6:7" x14ac:dyDescent="0.25">
      <c r="F1768" s="20"/>
      <c r="G1768" s="20"/>
    </row>
    <row r="1769" spans="6:7" x14ac:dyDescent="0.25">
      <c r="F1769" s="20"/>
      <c r="G1769" s="20"/>
    </row>
    <row r="1770" spans="6:7" x14ac:dyDescent="0.25">
      <c r="F1770" s="20"/>
      <c r="G1770" s="20"/>
    </row>
    <row r="1771" spans="6:7" x14ac:dyDescent="0.25">
      <c r="F1771" s="20"/>
      <c r="G1771" s="20"/>
    </row>
    <row r="1772" spans="6:7" x14ac:dyDescent="0.25">
      <c r="F1772" s="20"/>
      <c r="G1772" s="20"/>
    </row>
    <row r="1773" spans="6:7" x14ac:dyDescent="0.25">
      <c r="F1773" s="20"/>
      <c r="G1773" s="20"/>
    </row>
    <row r="1774" spans="6:7" x14ac:dyDescent="0.25">
      <c r="F1774" s="20"/>
      <c r="G1774" s="20"/>
    </row>
    <row r="1775" spans="6:7" x14ac:dyDescent="0.25">
      <c r="F1775" s="20"/>
      <c r="G1775" s="20"/>
    </row>
    <row r="1776" spans="6:7" x14ac:dyDescent="0.25">
      <c r="F1776" s="20"/>
      <c r="G1776" s="20"/>
    </row>
    <row r="1777" spans="6:7" x14ac:dyDescent="0.25">
      <c r="F1777" s="20"/>
      <c r="G1777" s="20"/>
    </row>
    <row r="1778" spans="6:7" x14ac:dyDescent="0.25">
      <c r="F1778" s="20"/>
      <c r="G1778" s="20"/>
    </row>
    <row r="1779" spans="6:7" x14ac:dyDescent="0.25">
      <c r="F1779" s="20"/>
      <c r="G1779" s="20"/>
    </row>
    <row r="1780" spans="6:7" x14ac:dyDescent="0.25">
      <c r="F1780" s="20"/>
      <c r="G1780" s="20"/>
    </row>
    <row r="1781" spans="6:7" x14ac:dyDescent="0.25">
      <c r="F1781" s="20"/>
      <c r="G1781" s="20"/>
    </row>
    <row r="1782" spans="6:7" x14ac:dyDescent="0.25">
      <c r="F1782" s="20"/>
      <c r="G1782" s="20"/>
    </row>
    <row r="1783" spans="6:7" x14ac:dyDescent="0.25">
      <c r="F1783" s="20"/>
      <c r="G1783" s="20"/>
    </row>
    <row r="1784" spans="6:7" x14ac:dyDescent="0.25">
      <c r="F1784" s="20"/>
      <c r="G1784" s="20"/>
    </row>
    <row r="1785" spans="6:7" x14ac:dyDescent="0.25">
      <c r="F1785" s="20"/>
      <c r="G1785" s="20"/>
    </row>
    <row r="1786" spans="6:7" x14ac:dyDescent="0.25">
      <c r="F1786" s="20"/>
      <c r="G1786" s="20"/>
    </row>
    <row r="1787" spans="6:7" x14ac:dyDescent="0.25">
      <c r="F1787" s="20"/>
      <c r="G1787" s="20"/>
    </row>
    <row r="1788" spans="6:7" x14ac:dyDescent="0.25">
      <c r="F1788" s="20"/>
      <c r="G1788" s="20"/>
    </row>
    <row r="1789" spans="6:7" x14ac:dyDescent="0.25">
      <c r="F1789" s="20"/>
      <c r="G1789" s="20"/>
    </row>
    <row r="1790" spans="6:7" x14ac:dyDescent="0.25">
      <c r="F1790" s="20"/>
      <c r="G1790" s="20"/>
    </row>
    <row r="1791" spans="6:7" x14ac:dyDescent="0.25">
      <c r="F1791" s="20"/>
      <c r="G1791" s="20"/>
    </row>
    <row r="1792" spans="6:7" x14ac:dyDescent="0.25">
      <c r="F1792" s="20"/>
      <c r="G1792" s="20"/>
    </row>
    <row r="1793" spans="6:7" x14ac:dyDescent="0.25">
      <c r="F1793" s="20"/>
      <c r="G1793" s="20"/>
    </row>
    <row r="1794" spans="6:7" x14ac:dyDescent="0.25">
      <c r="F1794" s="20"/>
      <c r="G1794" s="20"/>
    </row>
    <row r="1795" spans="6:7" x14ac:dyDescent="0.25">
      <c r="F1795" s="20"/>
      <c r="G1795" s="20"/>
    </row>
    <row r="1796" spans="6:7" x14ac:dyDescent="0.25">
      <c r="F1796" s="20"/>
      <c r="G1796" s="20"/>
    </row>
    <row r="1797" spans="6:7" x14ac:dyDescent="0.25">
      <c r="F1797" s="20"/>
      <c r="G1797" s="20"/>
    </row>
    <row r="1798" spans="6:7" x14ac:dyDescent="0.25">
      <c r="F1798" s="20"/>
      <c r="G1798" s="20"/>
    </row>
    <row r="1799" spans="6:7" x14ac:dyDescent="0.25">
      <c r="F1799" s="20"/>
      <c r="G1799" s="20"/>
    </row>
    <row r="1800" spans="6:7" x14ac:dyDescent="0.25">
      <c r="F1800" s="20"/>
      <c r="G1800" s="20"/>
    </row>
    <row r="1801" spans="6:7" x14ac:dyDescent="0.25">
      <c r="F1801" s="20"/>
      <c r="G1801" s="20"/>
    </row>
    <row r="1802" spans="6:7" x14ac:dyDescent="0.25">
      <c r="F1802" s="20"/>
      <c r="G1802" s="20"/>
    </row>
    <row r="1803" spans="6:7" x14ac:dyDescent="0.25">
      <c r="F1803" s="20"/>
      <c r="G1803" s="20"/>
    </row>
    <row r="1804" spans="6:7" x14ac:dyDescent="0.25">
      <c r="F1804" s="20"/>
      <c r="G1804" s="20"/>
    </row>
    <row r="1805" spans="6:7" x14ac:dyDescent="0.25">
      <c r="F1805" s="20"/>
      <c r="G1805" s="20"/>
    </row>
    <row r="1806" spans="6:7" x14ac:dyDescent="0.25">
      <c r="F1806" s="20"/>
      <c r="G1806" s="20"/>
    </row>
    <row r="1807" spans="6:7" x14ac:dyDescent="0.25">
      <c r="F1807" s="20"/>
      <c r="G1807" s="20"/>
    </row>
    <row r="1808" spans="6:7" x14ac:dyDescent="0.25">
      <c r="F1808" s="20"/>
      <c r="G1808" s="20"/>
    </row>
    <row r="1809" spans="6:7" x14ac:dyDescent="0.25">
      <c r="F1809" s="20"/>
      <c r="G1809" s="20"/>
    </row>
    <row r="1810" spans="6:7" x14ac:dyDescent="0.25">
      <c r="F1810" s="20"/>
      <c r="G1810" s="20"/>
    </row>
    <row r="1811" spans="6:7" x14ac:dyDescent="0.25">
      <c r="F1811" s="20"/>
      <c r="G1811" s="20"/>
    </row>
    <row r="1812" spans="6:7" x14ac:dyDescent="0.25">
      <c r="F1812" s="20"/>
      <c r="G1812" s="20"/>
    </row>
    <row r="1813" spans="6:7" x14ac:dyDescent="0.25">
      <c r="F1813" s="20"/>
      <c r="G1813" s="20"/>
    </row>
    <row r="1814" spans="6:7" x14ac:dyDescent="0.25">
      <c r="F1814" s="20"/>
      <c r="G1814" s="20"/>
    </row>
    <row r="1815" spans="6:7" x14ac:dyDescent="0.25">
      <c r="F1815" s="20"/>
      <c r="G1815" s="20"/>
    </row>
    <row r="1816" spans="6:7" x14ac:dyDescent="0.25">
      <c r="F1816" s="20"/>
      <c r="G1816" s="20"/>
    </row>
    <row r="1817" spans="6:7" x14ac:dyDescent="0.25">
      <c r="F1817" s="20"/>
      <c r="G1817" s="20"/>
    </row>
    <row r="1818" spans="6:7" x14ac:dyDescent="0.25">
      <c r="F1818" s="20"/>
      <c r="G1818" s="20"/>
    </row>
    <row r="1819" spans="6:7" x14ac:dyDescent="0.25">
      <c r="F1819" s="20"/>
      <c r="G1819" s="20"/>
    </row>
    <row r="1820" spans="6:7" x14ac:dyDescent="0.25">
      <c r="F1820" s="20"/>
      <c r="G1820" s="20"/>
    </row>
    <row r="1821" spans="6:7" x14ac:dyDescent="0.25">
      <c r="F1821" s="20"/>
      <c r="G1821" s="20"/>
    </row>
    <row r="1822" spans="6:7" x14ac:dyDescent="0.25">
      <c r="F1822" s="20"/>
      <c r="G1822" s="20"/>
    </row>
    <row r="1823" spans="6:7" x14ac:dyDescent="0.25">
      <c r="F1823" s="20"/>
      <c r="G1823" s="20"/>
    </row>
    <row r="1824" spans="6:7" x14ac:dyDescent="0.25">
      <c r="F1824" s="20"/>
      <c r="G1824" s="20"/>
    </row>
    <row r="1825" spans="6:7" x14ac:dyDescent="0.25">
      <c r="F1825" s="20"/>
      <c r="G1825" s="20"/>
    </row>
    <row r="1826" spans="6:7" x14ac:dyDescent="0.25">
      <c r="F1826" s="20"/>
      <c r="G1826" s="20"/>
    </row>
    <row r="1827" spans="6:7" x14ac:dyDescent="0.25">
      <c r="F1827" s="20"/>
      <c r="G1827" s="20"/>
    </row>
    <row r="1828" spans="6:7" x14ac:dyDescent="0.25">
      <c r="F1828" s="20"/>
      <c r="G1828" s="20"/>
    </row>
    <row r="1829" spans="6:7" x14ac:dyDescent="0.25">
      <c r="F1829" s="20"/>
      <c r="G1829" s="20"/>
    </row>
    <row r="1830" spans="6:7" x14ac:dyDescent="0.25">
      <c r="F1830" s="20"/>
      <c r="G1830" s="20"/>
    </row>
    <row r="1831" spans="6:7" x14ac:dyDescent="0.25">
      <c r="F1831" s="20"/>
      <c r="G1831" s="20"/>
    </row>
    <row r="1832" spans="6:7" x14ac:dyDescent="0.25">
      <c r="F1832" s="20"/>
      <c r="G1832" s="20"/>
    </row>
    <row r="1833" spans="6:7" x14ac:dyDescent="0.25">
      <c r="F1833" s="20"/>
      <c r="G1833" s="20"/>
    </row>
    <row r="1834" spans="6:7" x14ac:dyDescent="0.25">
      <c r="F1834" s="20"/>
      <c r="G1834" s="20"/>
    </row>
    <row r="1835" spans="6:7" x14ac:dyDescent="0.25">
      <c r="F1835" s="20"/>
      <c r="G1835" s="20"/>
    </row>
    <row r="1836" spans="6:7" x14ac:dyDescent="0.25">
      <c r="F1836" s="20"/>
      <c r="G1836" s="20"/>
    </row>
    <row r="1837" spans="6:7" x14ac:dyDescent="0.25">
      <c r="F1837" s="20"/>
      <c r="G1837" s="20"/>
    </row>
    <row r="1838" spans="6:7" x14ac:dyDescent="0.25">
      <c r="F1838" s="20"/>
      <c r="G1838" s="20"/>
    </row>
    <row r="1839" spans="6:7" x14ac:dyDescent="0.25">
      <c r="F1839" s="20"/>
      <c r="G1839" s="20"/>
    </row>
    <row r="1840" spans="6:7" x14ac:dyDescent="0.25">
      <c r="F1840" s="20"/>
      <c r="G1840" s="20"/>
    </row>
    <row r="1841" spans="6:7" x14ac:dyDescent="0.25">
      <c r="F1841" s="20"/>
      <c r="G1841" s="20"/>
    </row>
    <row r="1842" spans="6:7" x14ac:dyDescent="0.25">
      <c r="F1842" s="20"/>
      <c r="G1842" s="20"/>
    </row>
    <row r="1843" spans="6:7" x14ac:dyDescent="0.25">
      <c r="F1843" s="20"/>
      <c r="G1843" s="20"/>
    </row>
    <row r="1844" spans="6:7" x14ac:dyDescent="0.25">
      <c r="F1844" s="20"/>
      <c r="G1844" s="20"/>
    </row>
    <row r="1845" spans="6:7" x14ac:dyDescent="0.25">
      <c r="F1845" s="20"/>
      <c r="G1845" s="20"/>
    </row>
    <row r="1846" spans="6:7" x14ac:dyDescent="0.25">
      <c r="F1846" s="20"/>
      <c r="G1846" s="20"/>
    </row>
    <row r="1847" spans="6:7" x14ac:dyDescent="0.25">
      <c r="F1847" s="20"/>
      <c r="G1847" s="20"/>
    </row>
    <row r="1848" spans="6:7" x14ac:dyDescent="0.25">
      <c r="F1848" s="20"/>
      <c r="G1848" s="20"/>
    </row>
    <row r="1849" spans="6:7" x14ac:dyDescent="0.25">
      <c r="F1849" s="20"/>
      <c r="G1849" s="20"/>
    </row>
    <row r="1850" spans="6:7" x14ac:dyDescent="0.25">
      <c r="F1850" s="20"/>
      <c r="G1850" s="20"/>
    </row>
    <row r="1851" spans="6:7" x14ac:dyDescent="0.25">
      <c r="F1851" s="20"/>
      <c r="G1851" s="20"/>
    </row>
    <row r="1852" spans="6:7" x14ac:dyDescent="0.25">
      <c r="F1852" s="20"/>
      <c r="G1852" s="20"/>
    </row>
    <row r="1853" spans="6:7" x14ac:dyDescent="0.25">
      <c r="F1853" s="20"/>
      <c r="G1853" s="20"/>
    </row>
    <row r="1854" spans="6:7" x14ac:dyDescent="0.25">
      <c r="F1854" s="20"/>
      <c r="G1854" s="20"/>
    </row>
    <row r="1855" spans="6:7" x14ac:dyDescent="0.25">
      <c r="F1855" s="20"/>
      <c r="G1855" s="20"/>
    </row>
    <row r="1856" spans="6:7" x14ac:dyDescent="0.25">
      <c r="F1856" s="20"/>
      <c r="G1856" s="20"/>
    </row>
    <row r="1857" spans="6:7" x14ac:dyDescent="0.25">
      <c r="F1857" s="20"/>
      <c r="G1857" s="20"/>
    </row>
    <row r="1858" spans="6:7" x14ac:dyDescent="0.25">
      <c r="F1858" s="20"/>
      <c r="G1858" s="20"/>
    </row>
    <row r="1859" spans="6:7" x14ac:dyDescent="0.25">
      <c r="F1859" s="20"/>
      <c r="G1859" s="20"/>
    </row>
    <row r="1860" spans="6:7" x14ac:dyDescent="0.25">
      <c r="F1860" s="20"/>
      <c r="G1860" s="20"/>
    </row>
    <row r="1861" spans="6:7" x14ac:dyDescent="0.25">
      <c r="F1861" s="20"/>
      <c r="G1861" s="20"/>
    </row>
    <row r="1862" spans="6:7" x14ac:dyDescent="0.25">
      <c r="F1862" s="20"/>
      <c r="G1862" s="20"/>
    </row>
    <row r="1863" spans="6:7" x14ac:dyDescent="0.25">
      <c r="F1863" s="20"/>
      <c r="G1863" s="20"/>
    </row>
    <row r="1864" spans="6:7" x14ac:dyDescent="0.25">
      <c r="F1864" s="20"/>
      <c r="G1864" s="20"/>
    </row>
    <row r="1865" spans="6:7" x14ac:dyDescent="0.25">
      <c r="F1865" s="20"/>
      <c r="G1865" s="20"/>
    </row>
    <row r="1866" spans="6:7" x14ac:dyDescent="0.25">
      <c r="F1866" s="20"/>
      <c r="G1866" s="20"/>
    </row>
    <row r="1867" spans="6:7" x14ac:dyDescent="0.25">
      <c r="F1867" s="20"/>
      <c r="G1867" s="20"/>
    </row>
    <row r="1868" spans="6:7" x14ac:dyDescent="0.25">
      <c r="F1868" s="20"/>
      <c r="G1868" s="20"/>
    </row>
    <row r="1869" spans="6:7" x14ac:dyDescent="0.25">
      <c r="F1869" s="20"/>
      <c r="G1869" s="20"/>
    </row>
    <row r="1870" spans="6:7" x14ac:dyDescent="0.25">
      <c r="F1870" s="20"/>
      <c r="G1870" s="20"/>
    </row>
    <row r="1871" spans="6:7" x14ac:dyDescent="0.25">
      <c r="F1871" s="20"/>
      <c r="G1871" s="20"/>
    </row>
    <row r="1872" spans="6:7" x14ac:dyDescent="0.25">
      <c r="F1872" s="20"/>
      <c r="G1872" s="20"/>
    </row>
    <row r="1873" spans="6:7" x14ac:dyDescent="0.25">
      <c r="F1873" s="20"/>
      <c r="G1873" s="20"/>
    </row>
    <row r="1874" spans="6:7" x14ac:dyDescent="0.25">
      <c r="F1874" s="20"/>
      <c r="G1874" s="20"/>
    </row>
    <row r="1875" spans="6:7" x14ac:dyDescent="0.25">
      <c r="F1875" s="20"/>
      <c r="G1875" s="20"/>
    </row>
    <row r="1876" spans="6:7" x14ac:dyDescent="0.25">
      <c r="F1876" s="20"/>
      <c r="G1876" s="20"/>
    </row>
    <row r="1877" spans="6:7" x14ac:dyDescent="0.25">
      <c r="F1877" s="20"/>
      <c r="G1877" s="20"/>
    </row>
    <row r="1878" spans="6:7" x14ac:dyDescent="0.25">
      <c r="F1878" s="20"/>
      <c r="G1878" s="20"/>
    </row>
    <row r="1879" spans="6:7" x14ac:dyDescent="0.25">
      <c r="F1879" s="20"/>
      <c r="G1879" s="20"/>
    </row>
    <row r="1880" spans="6:7" x14ac:dyDescent="0.25">
      <c r="F1880" s="20"/>
      <c r="G1880" s="20"/>
    </row>
    <row r="1881" spans="6:7" x14ac:dyDescent="0.25">
      <c r="F1881" s="20"/>
      <c r="G1881" s="20"/>
    </row>
    <row r="1882" spans="6:7" x14ac:dyDescent="0.25">
      <c r="F1882" s="20"/>
      <c r="G1882" s="20"/>
    </row>
    <row r="1883" spans="6:7" x14ac:dyDescent="0.25">
      <c r="F1883" s="20"/>
      <c r="G1883" s="20"/>
    </row>
    <row r="1884" spans="6:7" x14ac:dyDescent="0.25">
      <c r="F1884" s="20"/>
      <c r="G1884" s="20"/>
    </row>
    <row r="1885" spans="6:7" x14ac:dyDescent="0.25">
      <c r="F1885" s="20"/>
      <c r="G1885" s="20"/>
    </row>
    <row r="1886" spans="6:7" x14ac:dyDescent="0.25">
      <c r="F1886" s="20"/>
      <c r="G1886" s="20"/>
    </row>
    <row r="1887" spans="6:7" x14ac:dyDescent="0.25">
      <c r="F1887" s="20"/>
      <c r="G1887" s="20"/>
    </row>
    <row r="1888" spans="6:7" x14ac:dyDescent="0.25">
      <c r="F1888" s="20"/>
      <c r="G1888" s="20"/>
    </row>
    <row r="1889" spans="6:7" x14ac:dyDescent="0.25">
      <c r="F1889" s="20"/>
      <c r="G1889" s="20"/>
    </row>
    <row r="1890" spans="6:7" x14ac:dyDescent="0.25">
      <c r="F1890" s="20"/>
      <c r="G1890" s="20"/>
    </row>
    <row r="1891" spans="6:7" x14ac:dyDescent="0.25">
      <c r="F1891" s="20"/>
      <c r="G1891" s="20"/>
    </row>
    <row r="1892" spans="6:7" x14ac:dyDescent="0.25">
      <c r="F1892" s="20"/>
      <c r="G1892" s="20"/>
    </row>
    <row r="1893" spans="6:7" x14ac:dyDescent="0.25">
      <c r="F1893" s="20"/>
      <c r="G1893" s="20"/>
    </row>
    <row r="1894" spans="6:7" x14ac:dyDescent="0.25">
      <c r="F1894" s="20"/>
      <c r="G1894" s="20"/>
    </row>
    <row r="1895" spans="6:7" x14ac:dyDescent="0.25">
      <c r="F1895" s="20"/>
      <c r="G1895" s="20"/>
    </row>
    <row r="1896" spans="6:7" x14ac:dyDescent="0.25">
      <c r="F1896" s="20"/>
      <c r="G1896" s="20"/>
    </row>
    <row r="1897" spans="6:7" x14ac:dyDescent="0.25">
      <c r="F1897" s="20"/>
      <c r="G1897" s="20"/>
    </row>
    <row r="1898" spans="6:7" x14ac:dyDescent="0.25">
      <c r="F1898" s="20"/>
      <c r="G1898" s="20"/>
    </row>
    <row r="1899" spans="6:7" x14ac:dyDescent="0.25">
      <c r="F1899" s="20"/>
      <c r="G1899" s="20"/>
    </row>
    <row r="1900" spans="6:7" x14ac:dyDescent="0.25">
      <c r="F1900" s="20"/>
      <c r="G1900" s="20"/>
    </row>
    <row r="1901" spans="6:7" x14ac:dyDescent="0.25">
      <c r="F1901" s="20"/>
      <c r="G1901" s="20"/>
    </row>
    <row r="1902" spans="6:7" x14ac:dyDescent="0.25">
      <c r="F1902" s="20"/>
      <c r="G1902" s="20"/>
    </row>
    <row r="1903" spans="6:7" x14ac:dyDescent="0.25">
      <c r="F1903" s="20"/>
      <c r="G1903" s="20"/>
    </row>
    <row r="1904" spans="6:7" x14ac:dyDescent="0.25">
      <c r="F1904" s="20"/>
      <c r="G1904" s="20"/>
    </row>
    <row r="1905" spans="6:7" x14ac:dyDescent="0.25">
      <c r="F1905" s="20"/>
      <c r="G1905" s="20"/>
    </row>
    <row r="1906" spans="6:7" x14ac:dyDescent="0.25">
      <c r="F1906" s="20"/>
      <c r="G1906" s="20"/>
    </row>
    <row r="1907" spans="6:7" x14ac:dyDescent="0.25">
      <c r="F1907" s="20"/>
      <c r="G1907" s="20"/>
    </row>
    <row r="1908" spans="6:7" x14ac:dyDescent="0.25">
      <c r="F1908" s="20"/>
      <c r="G1908" s="20"/>
    </row>
    <row r="1909" spans="6:7" x14ac:dyDescent="0.25">
      <c r="F1909" s="20"/>
      <c r="G1909" s="20"/>
    </row>
    <row r="1910" spans="6:7" x14ac:dyDescent="0.25">
      <c r="F1910" s="20"/>
      <c r="G1910" s="20"/>
    </row>
    <row r="1911" spans="6:7" x14ac:dyDescent="0.25">
      <c r="F1911" s="20"/>
      <c r="G1911" s="20"/>
    </row>
    <row r="1912" spans="6:7" x14ac:dyDescent="0.25">
      <c r="F1912" s="20"/>
      <c r="G1912" s="20"/>
    </row>
    <row r="1913" spans="6:7" x14ac:dyDescent="0.25">
      <c r="F1913" s="20"/>
      <c r="G1913" s="20"/>
    </row>
    <row r="1914" spans="6:7" x14ac:dyDescent="0.25">
      <c r="F1914" s="20"/>
      <c r="G1914" s="20"/>
    </row>
    <row r="1915" spans="6:7" x14ac:dyDescent="0.25">
      <c r="F1915" s="20"/>
      <c r="G1915" s="20"/>
    </row>
    <row r="1916" spans="6:7" x14ac:dyDescent="0.25">
      <c r="F1916" s="20"/>
      <c r="G1916" s="20"/>
    </row>
    <row r="1917" spans="6:7" x14ac:dyDescent="0.25">
      <c r="F1917" s="20"/>
      <c r="G1917" s="20"/>
    </row>
    <row r="1918" spans="6:7" x14ac:dyDescent="0.25">
      <c r="F1918" s="20"/>
      <c r="G1918" s="20"/>
    </row>
    <row r="1919" spans="6:7" x14ac:dyDescent="0.25">
      <c r="F1919" s="20"/>
      <c r="G1919" s="20"/>
    </row>
    <row r="1920" spans="6:7" x14ac:dyDescent="0.25">
      <c r="F1920" s="20"/>
      <c r="G1920" s="20"/>
    </row>
    <row r="1921" spans="6:7" x14ac:dyDescent="0.25">
      <c r="F1921" s="20"/>
      <c r="G1921" s="20"/>
    </row>
    <row r="1922" spans="6:7" x14ac:dyDescent="0.25">
      <c r="F1922" s="20"/>
      <c r="G1922" s="20"/>
    </row>
    <row r="1923" spans="6:7" x14ac:dyDescent="0.25">
      <c r="F1923" s="20"/>
      <c r="G1923" s="20"/>
    </row>
    <row r="1924" spans="6:7" x14ac:dyDescent="0.25">
      <c r="F1924" s="20"/>
      <c r="G1924" s="20"/>
    </row>
    <row r="1925" spans="6:7" x14ac:dyDescent="0.25">
      <c r="F1925" s="20"/>
      <c r="G1925" s="20"/>
    </row>
    <row r="1926" spans="6:7" x14ac:dyDescent="0.25">
      <c r="F1926" s="20"/>
      <c r="G1926" s="20"/>
    </row>
    <row r="1927" spans="6:7" x14ac:dyDescent="0.25">
      <c r="F1927" s="20"/>
      <c r="G1927" s="20"/>
    </row>
    <row r="1928" spans="6:7" x14ac:dyDescent="0.25">
      <c r="F1928" s="20"/>
      <c r="G1928" s="20"/>
    </row>
    <row r="1929" spans="6:7" x14ac:dyDescent="0.25">
      <c r="F1929" s="20"/>
      <c r="G1929" s="20"/>
    </row>
    <row r="1930" spans="6:7" x14ac:dyDescent="0.25">
      <c r="F1930" s="20"/>
      <c r="G1930" s="20"/>
    </row>
    <row r="1931" spans="6:7" x14ac:dyDescent="0.25">
      <c r="F1931" s="20"/>
      <c r="G1931" s="20"/>
    </row>
    <row r="1932" spans="6:7" x14ac:dyDescent="0.25">
      <c r="F1932" s="20"/>
      <c r="G1932" s="20"/>
    </row>
    <row r="1933" spans="6:7" x14ac:dyDescent="0.25">
      <c r="F1933" s="20"/>
      <c r="G1933" s="20"/>
    </row>
    <row r="1934" spans="6:7" x14ac:dyDescent="0.25">
      <c r="F1934" s="20"/>
      <c r="G1934" s="20"/>
    </row>
    <row r="1935" spans="6:7" x14ac:dyDescent="0.25">
      <c r="F1935" s="20"/>
      <c r="G1935" s="20"/>
    </row>
    <row r="1936" spans="6:7" x14ac:dyDescent="0.25">
      <c r="F1936" s="20"/>
      <c r="G1936" s="20"/>
    </row>
    <row r="1937" spans="6:7" x14ac:dyDescent="0.25">
      <c r="F1937" s="20"/>
      <c r="G1937" s="20"/>
    </row>
    <row r="1938" spans="6:7" x14ac:dyDescent="0.25">
      <c r="F1938" s="20"/>
      <c r="G1938" s="20"/>
    </row>
    <row r="1939" spans="6:7" x14ac:dyDescent="0.25">
      <c r="F1939" s="20"/>
      <c r="G1939" s="20"/>
    </row>
    <row r="1940" spans="6:7" x14ac:dyDescent="0.25">
      <c r="F1940" s="20"/>
      <c r="G1940" s="20"/>
    </row>
    <row r="1941" spans="6:7" x14ac:dyDescent="0.25">
      <c r="F1941" s="20"/>
      <c r="G1941" s="20"/>
    </row>
    <row r="1942" spans="6:7" x14ac:dyDescent="0.25">
      <c r="F1942" s="20"/>
      <c r="G1942" s="20"/>
    </row>
    <row r="1943" spans="6:7" x14ac:dyDescent="0.25">
      <c r="F1943" s="20"/>
      <c r="G1943" s="20"/>
    </row>
    <row r="1944" spans="6:7" x14ac:dyDescent="0.25">
      <c r="F1944" s="20"/>
      <c r="G1944" s="20"/>
    </row>
    <row r="1945" spans="6:7" x14ac:dyDescent="0.25">
      <c r="F1945" s="20"/>
      <c r="G1945" s="20"/>
    </row>
    <row r="1946" spans="6:7" x14ac:dyDescent="0.25">
      <c r="F1946" s="20"/>
      <c r="G1946" s="20"/>
    </row>
    <row r="1947" spans="6:7" x14ac:dyDescent="0.25">
      <c r="F1947" s="20"/>
      <c r="G1947" s="20"/>
    </row>
    <row r="1948" spans="6:7" x14ac:dyDescent="0.25">
      <c r="F1948" s="20"/>
      <c r="G1948" s="20"/>
    </row>
    <row r="1949" spans="6:7" x14ac:dyDescent="0.25">
      <c r="F1949" s="20"/>
      <c r="G1949" s="20"/>
    </row>
    <row r="1950" spans="6:7" x14ac:dyDescent="0.25">
      <c r="F1950" s="20"/>
      <c r="G1950" s="20"/>
    </row>
    <row r="1951" spans="6:7" x14ac:dyDescent="0.25">
      <c r="F1951" s="20"/>
      <c r="G1951" s="20"/>
    </row>
    <row r="1952" spans="6:7" x14ac:dyDescent="0.25">
      <c r="F1952" s="20"/>
      <c r="G1952" s="20"/>
    </row>
    <row r="1953" spans="6:7" x14ac:dyDescent="0.25">
      <c r="F1953" s="20"/>
      <c r="G1953" s="20"/>
    </row>
    <row r="1954" spans="6:7" x14ac:dyDescent="0.25">
      <c r="F1954" s="20"/>
      <c r="G1954" s="20"/>
    </row>
    <row r="1955" spans="6:7" x14ac:dyDescent="0.25">
      <c r="F1955" s="20"/>
      <c r="G1955" s="20"/>
    </row>
    <row r="1956" spans="6:7" x14ac:dyDescent="0.25">
      <c r="F1956" s="20"/>
      <c r="G1956" s="20"/>
    </row>
    <row r="1957" spans="6:7" x14ac:dyDescent="0.25">
      <c r="F1957" s="20"/>
      <c r="G1957" s="20"/>
    </row>
    <row r="1958" spans="6:7" x14ac:dyDescent="0.25">
      <c r="F1958" s="20"/>
      <c r="G1958" s="20"/>
    </row>
    <row r="1959" spans="6:7" x14ac:dyDescent="0.25">
      <c r="F1959" s="20"/>
      <c r="G1959" s="20"/>
    </row>
    <row r="1960" spans="6:7" x14ac:dyDescent="0.25">
      <c r="F1960" s="20"/>
      <c r="G1960" s="20"/>
    </row>
    <row r="1961" spans="6:7" x14ac:dyDescent="0.25">
      <c r="F1961" s="20"/>
      <c r="G1961" s="20"/>
    </row>
    <row r="1962" spans="6:7" x14ac:dyDescent="0.25">
      <c r="F1962" s="20"/>
      <c r="G1962" s="20"/>
    </row>
    <row r="1963" spans="6:7" x14ac:dyDescent="0.25">
      <c r="F1963" s="20"/>
      <c r="G1963" s="20"/>
    </row>
    <row r="1964" spans="6:7" x14ac:dyDescent="0.25">
      <c r="F1964" s="20"/>
      <c r="G1964" s="20"/>
    </row>
    <row r="1965" spans="6:7" x14ac:dyDescent="0.25">
      <c r="F1965" s="20"/>
      <c r="G1965" s="20"/>
    </row>
    <row r="1966" spans="6:7" x14ac:dyDescent="0.25">
      <c r="F1966" s="20"/>
      <c r="G1966" s="20"/>
    </row>
    <row r="1967" spans="6:7" x14ac:dyDescent="0.25">
      <c r="F1967" s="20"/>
      <c r="G1967" s="20"/>
    </row>
    <row r="1968" spans="6:7" x14ac:dyDescent="0.25">
      <c r="F1968" s="20"/>
      <c r="G1968" s="20"/>
    </row>
    <row r="1969" spans="6:7" x14ac:dyDescent="0.25">
      <c r="F1969" s="20"/>
      <c r="G1969" s="20"/>
    </row>
    <row r="1970" spans="6:7" x14ac:dyDescent="0.25">
      <c r="F1970" s="20"/>
      <c r="G1970" s="20"/>
    </row>
    <row r="1971" spans="6:7" x14ac:dyDescent="0.25">
      <c r="F1971" s="20"/>
      <c r="G1971" s="20"/>
    </row>
    <row r="1972" spans="6:7" x14ac:dyDescent="0.25">
      <c r="F1972" s="20"/>
      <c r="G1972" s="20"/>
    </row>
    <row r="1973" spans="6:7" x14ac:dyDescent="0.25">
      <c r="F1973" s="20"/>
      <c r="G1973" s="20"/>
    </row>
    <row r="1974" spans="6:7" x14ac:dyDescent="0.25">
      <c r="F1974" s="20"/>
      <c r="G1974" s="20"/>
    </row>
    <row r="1975" spans="6:7" x14ac:dyDescent="0.25">
      <c r="F1975" s="20"/>
      <c r="G1975" s="20"/>
    </row>
    <row r="1976" spans="6:7" x14ac:dyDescent="0.25">
      <c r="F1976" s="20"/>
      <c r="G1976" s="20"/>
    </row>
    <row r="1977" spans="6:7" x14ac:dyDescent="0.25">
      <c r="F1977" s="20"/>
      <c r="G1977" s="20"/>
    </row>
    <row r="1978" spans="6:7" x14ac:dyDescent="0.25">
      <c r="F1978" s="20"/>
      <c r="G1978" s="20"/>
    </row>
    <row r="1979" spans="6:7" x14ac:dyDescent="0.25">
      <c r="F1979" s="20"/>
      <c r="G1979" s="20"/>
    </row>
    <row r="1980" spans="6:7" x14ac:dyDescent="0.25">
      <c r="F1980" s="20"/>
      <c r="G1980" s="20"/>
    </row>
    <row r="1981" spans="6:7" x14ac:dyDescent="0.25">
      <c r="F1981" s="20"/>
      <c r="G1981" s="20"/>
    </row>
    <row r="1982" spans="6:7" x14ac:dyDescent="0.25">
      <c r="F1982" s="20"/>
      <c r="G1982" s="20"/>
    </row>
    <row r="1983" spans="6:7" x14ac:dyDescent="0.25">
      <c r="F1983" s="20"/>
      <c r="G1983" s="20"/>
    </row>
    <row r="1984" spans="6:7" x14ac:dyDescent="0.25">
      <c r="F1984" s="20"/>
      <c r="G1984" s="20"/>
    </row>
    <row r="1985" spans="6:7" x14ac:dyDescent="0.25">
      <c r="F1985" s="20"/>
      <c r="G1985" s="20"/>
    </row>
  </sheetData>
  <conditionalFormatting sqref="H58:BT74">
    <cfRule type="colorScale" priority="5">
      <colorScale>
        <cfvo type="min"/>
        <cfvo type="max"/>
        <color theme="0" tint="-0.499984740745262"/>
        <color theme="0" tint="-4.9989318521683403E-2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67ED0-7121-49FE-A2D7-70372A2A13B9}">
  <dimension ref="A1:CL1985"/>
  <sheetViews>
    <sheetView workbookViewId="0">
      <selection activeCell="J8" sqref="J8"/>
    </sheetView>
  </sheetViews>
  <sheetFormatPr defaultRowHeight="15" x14ac:dyDescent="0.25"/>
  <sheetData>
    <row r="1" spans="1:90" ht="18" x14ac:dyDescent="0.25">
      <c r="A1" s="6"/>
      <c r="B1" s="81" t="s">
        <v>71</v>
      </c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  <c r="BY1" s="81"/>
      <c r="BZ1" s="81"/>
      <c r="CA1" s="81"/>
      <c r="CB1" s="81"/>
      <c r="CC1" s="81"/>
      <c r="CD1" s="81"/>
      <c r="CE1" s="81"/>
      <c r="CF1" s="81"/>
      <c r="CG1" s="81"/>
      <c r="CH1" s="81"/>
      <c r="CI1" s="81"/>
      <c r="CJ1" s="81"/>
      <c r="CK1" s="81"/>
      <c r="CL1" s="81"/>
    </row>
    <row r="2" spans="1:90" ht="15.75" x14ac:dyDescent="0.25">
      <c r="A2" s="80"/>
      <c r="B2" s="80" t="s">
        <v>223</v>
      </c>
      <c r="C2" s="80"/>
      <c r="D2" s="82" t="s">
        <v>72</v>
      </c>
      <c r="E2" s="82" t="s">
        <v>222</v>
      </c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</row>
    <row r="3" spans="1:90" ht="15.75" x14ac:dyDescent="0.25">
      <c r="A3" s="80"/>
      <c r="B3" s="80"/>
      <c r="C3" s="80"/>
      <c r="D3" s="83">
        <v>45527.572025462963</v>
      </c>
      <c r="E3" s="83">
        <v>45527.572025462963</v>
      </c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80"/>
      <c r="CF3" s="80"/>
      <c r="CG3" s="80"/>
      <c r="CH3" s="80"/>
      <c r="CI3" s="80"/>
      <c r="CJ3" s="80"/>
      <c r="CK3" s="80"/>
      <c r="CL3" s="80"/>
    </row>
    <row r="4" spans="1:90" x14ac:dyDescent="0.25">
      <c r="A4" s="84"/>
      <c r="B4" s="85"/>
      <c r="C4" s="86"/>
      <c r="D4" s="86"/>
      <c r="E4" s="87"/>
      <c r="F4" s="87"/>
      <c r="G4" s="89"/>
      <c r="H4" s="91" t="s">
        <v>113</v>
      </c>
      <c r="I4" s="91" t="s">
        <v>114</v>
      </c>
      <c r="J4" s="91" t="s">
        <v>115</v>
      </c>
      <c r="K4" s="91" t="s">
        <v>116</v>
      </c>
      <c r="L4" s="91" t="s">
        <v>117</v>
      </c>
      <c r="M4" s="91" t="s">
        <v>118</v>
      </c>
      <c r="N4" s="91" t="s">
        <v>119</v>
      </c>
      <c r="O4" s="91" t="s">
        <v>120</v>
      </c>
      <c r="P4" s="91" t="s">
        <v>121</v>
      </c>
      <c r="Q4" s="91" t="s">
        <v>122</v>
      </c>
      <c r="R4" s="91" t="s">
        <v>123</v>
      </c>
      <c r="S4" s="91" t="s">
        <v>124</v>
      </c>
      <c r="T4" s="91" t="s">
        <v>125</v>
      </c>
      <c r="U4" s="91" t="s">
        <v>126</v>
      </c>
      <c r="V4" s="91" t="s">
        <v>127</v>
      </c>
      <c r="W4" s="91" t="s">
        <v>128</v>
      </c>
      <c r="X4" s="91" t="s">
        <v>129</v>
      </c>
      <c r="Y4" s="91" t="s">
        <v>130</v>
      </c>
      <c r="Z4" s="91" t="s">
        <v>131</v>
      </c>
      <c r="AA4" s="91" t="s">
        <v>132</v>
      </c>
      <c r="AB4" s="91" t="s">
        <v>133</v>
      </c>
      <c r="AC4" s="91" t="s">
        <v>134</v>
      </c>
      <c r="AD4" s="91" t="s">
        <v>135</v>
      </c>
      <c r="AE4" s="91" t="s">
        <v>136</v>
      </c>
      <c r="AF4" s="91" t="s">
        <v>137</v>
      </c>
      <c r="AG4" s="91" t="s">
        <v>138</v>
      </c>
      <c r="AH4" s="91" t="s">
        <v>139</v>
      </c>
      <c r="AI4" s="91" t="s">
        <v>140</v>
      </c>
      <c r="AJ4" s="91" t="s">
        <v>141</v>
      </c>
      <c r="AK4" s="91" t="s">
        <v>142</v>
      </c>
      <c r="AL4" s="91" t="s">
        <v>143</v>
      </c>
      <c r="AM4" s="91" t="s">
        <v>144</v>
      </c>
      <c r="AN4" s="91" t="s">
        <v>103</v>
      </c>
      <c r="AO4" s="91" t="s">
        <v>104</v>
      </c>
      <c r="AP4" s="91" t="s">
        <v>105</v>
      </c>
      <c r="AQ4" s="91" t="s">
        <v>106</v>
      </c>
      <c r="AR4" s="91" t="s">
        <v>107</v>
      </c>
      <c r="AS4" s="91" t="s">
        <v>108</v>
      </c>
      <c r="AT4" s="91" t="s">
        <v>109</v>
      </c>
      <c r="AU4" s="91" t="s">
        <v>110</v>
      </c>
      <c r="AV4" s="91" t="s">
        <v>58</v>
      </c>
      <c r="AW4" s="91" t="s">
        <v>59</v>
      </c>
      <c r="AX4" s="91" t="s">
        <v>60</v>
      </c>
      <c r="AY4" s="91" t="s">
        <v>61</v>
      </c>
      <c r="AZ4" s="91" t="s">
        <v>62</v>
      </c>
      <c r="BA4" s="91" t="s">
        <v>63</v>
      </c>
      <c r="BB4" s="91" t="s">
        <v>64</v>
      </c>
      <c r="BC4" s="91" t="s">
        <v>65</v>
      </c>
      <c r="BD4" s="91" t="s">
        <v>66</v>
      </c>
      <c r="BE4" s="91" t="s">
        <v>67</v>
      </c>
      <c r="BF4" s="91" t="s">
        <v>68</v>
      </c>
      <c r="BG4" s="91" t="s">
        <v>69</v>
      </c>
      <c r="BH4" s="91" t="s">
        <v>70</v>
      </c>
      <c r="BI4" s="91" t="s">
        <v>111</v>
      </c>
      <c r="BJ4" s="91" t="s">
        <v>145</v>
      </c>
      <c r="BK4" s="91" t="s">
        <v>146</v>
      </c>
      <c r="BL4" s="91" t="s">
        <v>147</v>
      </c>
      <c r="BM4" s="91" t="s">
        <v>148</v>
      </c>
      <c r="BN4" s="91" t="s">
        <v>149</v>
      </c>
      <c r="BO4" s="91" t="s">
        <v>184</v>
      </c>
      <c r="BP4" s="91" t="s">
        <v>150</v>
      </c>
      <c r="BQ4" s="91" t="s">
        <v>151</v>
      </c>
      <c r="BR4" s="91" t="s">
        <v>152</v>
      </c>
      <c r="BS4" s="88" t="s">
        <v>153</v>
      </c>
      <c r="BT4" s="91" t="s">
        <v>185</v>
      </c>
      <c r="BU4" s="91"/>
      <c r="BV4" s="91"/>
      <c r="BW4" s="88"/>
      <c r="BX4" s="7"/>
      <c r="BY4" s="7"/>
      <c r="BZ4" s="7"/>
      <c r="CA4" s="7"/>
      <c r="CB4" s="7"/>
      <c r="CC4" s="7"/>
      <c r="CD4" s="7"/>
      <c r="CE4" s="7"/>
      <c r="CF4" s="7"/>
      <c r="CG4" s="8"/>
      <c r="CH4" s="8"/>
      <c r="CI4" s="8"/>
      <c r="CJ4" s="8"/>
      <c r="CK4" s="8"/>
      <c r="CL4" s="8"/>
    </row>
    <row r="5" spans="1:90" x14ac:dyDescent="0.25">
      <c r="A5" s="9"/>
      <c r="B5" s="9"/>
      <c r="C5" s="9"/>
      <c r="D5" s="9"/>
      <c r="E5" s="9"/>
      <c r="F5" s="9"/>
      <c r="G5" s="9"/>
      <c r="H5" s="92"/>
      <c r="I5" s="93"/>
      <c r="J5" s="93"/>
      <c r="K5" s="94"/>
      <c r="L5" s="92"/>
      <c r="M5" s="93"/>
      <c r="N5" s="93"/>
      <c r="O5" s="94"/>
      <c r="P5" s="92"/>
      <c r="Q5" s="93"/>
      <c r="R5" s="93"/>
      <c r="S5" s="94"/>
      <c r="T5" s="93"/>
      <c r="U5" s="93"/>
      <c r="V5" s="93"/>
      <c r="W5" s="94"/>
      <c r="X5" s="93"/>
      <c r="Y5" s="93"/>
      <c r="Z5" s="93"/>
      <c r="AA5" s="94"/>
      <c r="AB5" s="93"/>
      <c r="AC5" s="93"/>
      <c r="AD5" s="93"/>
      <c r="AE5" s="94"/>
      <c r="AF5" s="93"/>
      <c r="AG5" s="93"/>
      <c r="AH5" s="93"/>
      <c r="AI5" s="94"/>
      <c r="AJ5" s="93"/>
      <c r="AK5" s="93"/>
      <c r="AL5" s="93"/>
      <c r="AM5" s="94"/>
      <c r="AN5" s="93"/>
      <c r="AO5" s="93"/>
      <c r="AP5" s="93"/>
      <c r="AQ5" s="94"/>
      <c r="AR5" s="93"/>
      <c r="AS5" s="93"/>
      <c r="AT5" s="93"/>
      <c r="AU5" s="94"/>
      <c r="AV5" s="93"/>
      <c r="AW5" s="93"/>
      <c r="AX5" s="93"/>
      <c r="AY5" s="94"/>
      <c r="AZ5" s="93"/>
      <c r="BA5" s="93"/>
      <c r="BB5" s="93"/>
      <c r="BC5" s="94"/>
      <c r="BD5" s="93"/>
      <c r="BE5" s="93"/>
      <c r="BF5" s="93"/>
      <c r="BG5" s="94"/>
      <c r="BH5" s="93"/>
      <c r="BI5" s="93"/>
      <c r="BJ5" s="93"/>
      <c r="BK5" s="94"/>
      <c r="BL5" s="93"/>
      <c r="BM5" s="93"/>
      <c r="BN5" s="93"/>
      <c r="BO5" s="94"/>
      <c r="BP5" s="93"/>
      <c r="BQ5" s="93"/>
      <c r="BR5" s="93"/>
      <c r="BS5" s="12"/>
      <c r="BT5" s="93"/>
      <c r="BU5" s="93"/>
      <c r="BV5" s="93"/>
      <c r="BW5" s="12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</row>
    <row r="6" spans="1:90" x14ac:dyDescent="0.25">
      <c r="A6" s="9"/>
      <c r="B6" s="9"/>
      <c r="C6" s="3"/>
      <c r="D6" s="3"/>
      <c r="E6" s="3"/>
      <c r="F6" s="13"/>
      <c r="G6" s="13"/>
      <c r="H6" s="95"/>
      <c r="I6" s="96"/>
      <c r="J6" s="96"/>
      <c r="K6" s="97"/>
      <c r="L6" s="95"/>
      <c r="M6" s="96"/>
      <c r="N6" s="96"/>
      <c r="O6" s="97"/>
      <c r="P6" s="95"/>
      <c r="Q6" s="96"/>
      <c r="R6" s="96"/>
      <c r="S6" s="97"/>
      <c r="T6" s="96"/>
      <c r="U6" s="96"/>
      <c r="V6" s="96"/>
      <c r="W6" s="98"/>
      <c r="X6" s="99"/>
      <c r="Y6" s="99"/>
      <c r="Z6" s="99"/>
      <c r="AA6" s="98"/>
      <c r="AB6" s="99"/>
      <c r="AC6" s="99"/>
      <c r="AD6" s="100"/>
      <c r="AE6" s="98"/>
      <c r="AF6" s="99"/>
      <c r="AG6" s="99"/>
      <c r="AH6" s="99"/>
      <c r="AI6" s="98"/>
      <c r="AJ6" s="99"/>
      <c r="AK6" s="99"/>
      <c r="AL6" s="99"/>
      <c r="AM6" s="98"/>
      <c r="AN6" s="99"/>
      <c r="AO6" s="99"/>
      <c r="AP6" s="99"/>
      <c r="AQ6" s="98"/>
      <c r="AR6" s="99"/>
      <c r="AS6" s="99"/>
      <c r="AT6" s="99"/>
      <c r="AU6" s="98"/>
      <c r="AV6" s="99"/>
      <c r="AW6" s="99"/>
      <c r="AX6" s="99"/>
      <c r="AY6" s="98"/>
      <c r="AZ6" s="99"/>
      <c r="BA6" s="99"/>
      <c r="BB6" s="99"/>
      <c r="BC6" s="98"/>
      <c r="BD6" s="99"/>
      <c r="BE6" s="99"/>
      <c r="BF6" s="99"/>
      <c r="BG6" s="98"/>
      <c r="BH6" s="99"/>
      <c r="BI6" s="99"/>
      <c r="BJ6" s="99"/>
      <c r="BK6" s="98"/>
      <c r="BL6" s="99"/>
      <c r="BM6" s="99"/>
      <c r="BN6" s="99"/>
      <c r="BO6" s="98"/>
      <c r="BP6" s="99"/>
      <c r="BQ6" s="99"/>
      <c r="BR6" s="99"/>
      <c r="BS6" s="14"/>
      <c r="BT6" s="99"/>
      <c r="BU6" s="99"/>
      <c r="BV6" s="99"/>
      <c r="BW6" s="14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</row>
    <row r="7" spans="1:90" x14ac:dyDescent="0.25">
      <c r="A7" s="9"/>
      <c r="B7" s="9"/>
      <c r="C7" s="1" t="s">
        <v>0</v>
      </c>
      <c r="D7" s="16"/>
      <c r="E7" s="16"/>
      <c r="F7" s="17" t="s">
        <v>89</v>
      </c>
      <c r="G7" s="17" t="s">
        <v>90</v>
      </c>
      <c r="H7" s="101"/>
      <c r="I7" s="102"/>
      <c r="J7" s="102"/>
      <c r="K7" s="103"/>
      <c r="L7" s="101"/>
      <c r="M7" s="102"/>
      <c r="N7" s="102"/>
      <c r="O7" s="104"/>
      <c r="P7" s="105"/>
      <c r="Q7" s="106"/>
      <c r="R7" s="106"/>
      <c r="S7" s="104"/>
      <c r="T7" s="106"/>
      <c r="U7" s="106"/>
      <c r="V7" s="106"/>
      <c r="W7" s="104"/>
      <c r="X7" s="106"/>
      <c r="Y7" s="106"/>
      <c r="Z7" s="106"/>
      <c r="AA7" s="104"/>
      <c r="AB7" s="106"/>
      <c r="AC7" s="106"/>
      <c r="AD7" s="106"/>
      <c r="AE7" s="104"/>
      <c r="AF7" s="106"/>
      <c r="AG7" s="106"/>
      <c r="AH7" s="106"/>
      <c r="AI7" s="104"/>
      <c r="AJ7" s="106"/>
      <c r="AK7" s="106"/>
      <c r="AL7" s="106"/>
      <c r="AM7" s="104"/>
      <c r="AN7" s="106"/>
      <c r="AO7" s="106"/>
      <c r="AP7" s="106"/>
      <c r="AQ7" s="104"/>
      <c r="AR7" s="106"/>
      <c r="AS7" s="106"/>
      <c r="AT7" s="106"/>
      <c r="AU7" s="104"/>
      <c r="AV7" s="106"/>
      <c r="AW7" s="106"/>
      <c r="AX7" s="106"/>
      <c r="AY7" s="104"/>
      <c r="AZ7" s="106"/>
      <c r="BA7" s="106"/>
      <c r="BB7" s="106"/>
      <c r="BC7" s="104"/>
      <c r="BD7" s="106"/>
      <c r="BE7" s="106"/>
      <c r="BF7" s="106"/>
      <c r="BG7" s="104"/>
      <c r="BH7" s="106"/>
      <c r="BI7" s="106"/>
      <c r="BJ7" s="106"/>
      <c r="BK7" s="104"/>
      <c r="BL7" s="106"/>
      <c r="BM7" s="106"/>
      <c r="BN7" s="106"/>
      <c r="BO7" s="104"/>
      <c r="BP7" s="106"/>
      <c r="BQ7" s="106"/>
      <c r="BR7" s="106"/>
      <c r="BS7" s="18"/>
      <c r="BT7" s="106"/>
      <c r="BU7" s="106"/>
      <c r="BV7" s="106"/>
      <c r="BW7" s="18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</row>
    <row r="8" spans="1:90" x14ac:dyDescent="0.25">
      <c r="A8" s="9"/>
      <c r="B8" s="9"/>
      <c r="C8" s="2" t="s">
        <v>208</v>
      </c>
      <c r="D8" s="3" t="s">
        <v>210</v>
      </c>
      <c r="E8" s="3"/>
      <c r="F8" s="20" t="s">
        <v>161</v>
      </c>
      <c r="G8" s="20" t="s">
        <v>187</v>
      </c>
      <c r="H8" s="107">
        <v>4.1854263920671242</v>
      </c>
      <c r="I8" s="108">
        <v>4.361992063492063</v>
      </c>
      <c r="J8" s="108">
        <v>4.1221376811594199</v>
      </c>
      <c r="K8" s="109">
        <v>3.330222222222222</v>
      </c>
      <c r="L8" s="108">
        <v>2.4434928229665069</v>
      </c>
      <c r="M8" s="108">
        <v>2.2814855320118479</v>
      </c>
      <c r="N8" s="108">
        <v>2.8850956937799039</v>
      </c>
      <c r="O8" s="108">
        <v>3.39954347826087</v>
      </c>
      <c r="P8" s="107">
        <v>3.4838079676314968</v>
      </c>
      <c r="Q8" s="108">
        <v>4.00953823953824</v>
      </c>
      <c r="R8" s="108">
        <v>3.4766666666666666</v>
      </c>
      <c r="S8" s="108">
        <v>3.7867777777777776</v>
      </c>
      <c r="T8" s="107">
        <v>5.1916245791245794</v>
      </c>
      <c r="U8" s="108">
        <v>4.6159967320261437</v>
      </c>
      <c r="V8" s="108">
        <v>3.9354191919191917</v>
      </c>
      <c r="W8" s="109">
        <v>3.9391428571428571</v>
      </c>
      <c r="X8" s="107">
        <v>2.96</v>
      </c>
      <c r="Y8" s="108">
        <v>2.5499999999999998</v>
      </c>
      <c r="Z8" s="108"/>
      <c r="AA8" s="109"/>
      <c r="AB8" s="107">
        <v>1.8024714285714285</v>
      </c>
      <c r="AC8" s="108">
        <v>2.0513555555555558</v>
      </c>
      <c r="AD8" s="108">
        <v>3.05</v>
      </c>
      <c r="AE8" s="109">
        <v>2.9950000000000001</v>
      </c>
      <c r="AF8" s="107">
        <v>2.9233333333333329</v>
      </c>
      <c r="AG8" s="108">
        <v>3.0149999999999997</v>
      </c>
      <c r="AH8" s="108"/>
      <c r="AI8" s="110">
        <v>2.9766666666666666</v>
      </c>
      <c r="AJ8" s="107">
        <v>2.9718782249742</v>
      </c>
      <c r="AK8" s="108">
        <v>2.8572137161084528</v>
      </c>
      <c r="AL8" s="108">
        <v>2.9240962254120149</v>
      </c>
      <c r="AM8" s="110">
        <v>3.8261417810831424</v>
      </c>
      <c r="AN8" s="107">
        <v>2.9109523809523807</v>
      </c>
      <c r="AO8" s="108">
        <v>2.5604074074074075</v>
      </c>
      <c r="AP8" s="108">
        <v>2.3903091060985795</v>
      </c>
      <c r="AQ8" s="110">
        <v>2.4081102212051868</v>
      </c>
      <c r="AR8" s="107">
        <v>1.9129976456292246</v>
      </c>
      <c r="AS8" s="108">
        <v>1.6971825396825395</v>
      </c>
      <c r="AT8" s="108">
        <v>1.9782106782106783</v>
      </c>
      <c r="AU8" s="110">
        <v>2.4362499999999998</v>
      </c>
      <c r="AV8" s="107">
        <v>3.4250000000000003</v>
      </c>
      <c r="AW8" s="108">
        <v>2.9091666666666662</v>
      </c>
      <c r="AX8" s="108">
        <v>4.2934173669467794</v>
      </c>
      <c r="AY8" s="110">
        <v>4.7296783625730994</v>
      </c>
      <c r="AZ8" s="107">
        <v>4.6243344774980928</v>
      </c>
      <c r="BA8" s="108">
        <v>7.4456851851851846</v>
      </c>
      <c r="BB8" s="108">
        <v>7.9422920938710417</v>
      </c>
      <c r="BC8" s="110">
        <v>5.5074379324379317</v>
      </c>
      <c r="BD8" s="107">
        <v>2.6611194653299917</v>
      </c>
      <c r="BE8" s="108">
        <v>2.1703668261562998</v>
      </c>
      <c r="BF8" s="108">
        <v>2.5924111963626033</v>
      </c>
      <c r="BG8" s="109">
        <v>2.7390810582606249</v>
      </c>
      <c r="BH8" s="107">
        <v>2.1537320261437909</v>
      </c>
      <c r="BI8" s="108">
        <v>2.0934722222222222</v>
      </c>
      <c r="BJ8" s="108">
        <v>2.0523793859649122</v>
      </c>
      <c r="BK8" s="109">
        <v>2.7370000000000001</v>
      </c>
      <c r="BL8" s="107">
        <v>3.3286666666666669</v>
      </c>
      <c r="BM8" s="108">
        <v>2.9563333333333333</v>
      </c>
      <c r="BN8" s="108">
        <v>3.2723333333333335</v>
      </c>
      <c r="BO8" s="109">
        <v>3.6296666666666666</v>
      </c>
      <c r="BP8" s="107">
        <v>3.9283333333333332</v>
      </c>
      <c r="BQ8" s="108">
        <v>3.2029999999999998</v>
      </c>
      <c r="BR8" s="108">
        <v>3.4636666666666667</v>
      </c>
      <c r="BS8" s="109">
        <v>3.8316666666666666</v>
      </c>
      <c r="BT8" s="107">
        <v>4.3484999999999996</v>
      </c>
      <c r="BU8" s="111"/>
      <c r="BV8" s="111"/>
      <c r="BW8" s="26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</row>
    <row r="9" spans="1:90" x14ac:dyDescent="0.25">
      <c r="A9" s="9"/>
      <c r="B9" s="9"/>
      <c r="C9" s="3" t="s">
        <v>2</v>
      </c>
      <c r="D9" s="3" t="s">
        <v>212</v>
      </c>
      <c r="E9" s="3"/>
      <c r="F9" s="20" t="s">
        <v>162</v>
      </c>
      <c r="G9" s="20"/>
      <c r="H9" s="107">
        <v>77.077018633540376</v>
      </c>
      <c r="I9" s="108">
        <v>78.73015873015872</v>
      </c>
      <c r="J9" s="108">
        <v>80.015079365079373</v>
      </c>
      <c r="K9" s="109">
        <v>78.942352092352095</v>
      </c>
      <c r="L9" s="108">
        <v>70.245851370851369</v>
      </c>
      <c r="M9" s="108">
        <v>60.088888888888896</v>
      </c>
      <c r="N9" s="108">
        <v>61.177803030303032</v>
      </c>
      <c r="O9" s="108">
        <v>66.800289855072478</v>
      </c>
      <c r="P9" s="107">
        <v>66.590066889632112</v>
      </c>
      <c r="Q9" s="108">
        <v>67.077500000000001</v>
      </c>
      <c r="R9" s="108">
        <v>63.95545454545455</v>
      </c>
      <c r="S9" s="108">
        <v>63.614598997493736</v>
      </c>
      <c r="T9" s="107">
        <v>62.406299081035918</v>
      </c>
      <c r="U9" s="108">
        <v>60.672539682539686</v>
      </c>
      <c r="V9" s="108">
        <v>57.210923520923522</v>
      </c>
      <c r="W9" s="109">
        <v>56.158973063973065</v>
      </c>
      <c r="X9" s="107">
        <v>53.349000000000011</v>
      </c>
      <c r="Y9" s="108">
        <v>52.877469696969705</v>
      </c>
      <c r="Z9" s="108">
        <v>50.631782106782111</v>
      </c>
      <c r="AA9" s="109">
        <v>46.069214703425224</v>
      </c>
      <c r="AB9" s="107">
        <v>42.296734259892155</v>
      </c>
      <c r="AC9" s="108">
        <v>41.1</v>
      </c>
      <c r="AD9" s="108">
        <v>40.947142857142858</v>
      </c>
      <c r="AE9" s="109">
        <v>44.935000000000002</v>
      </c>
      <c r="AF9" s="107">
        <v>50.054649122807014</v>
      </c>
      <c r="AG9" s="108">
        <v>52.445055821371618</v>
      </c>
      <c r="AH9" s="108">
        <v>53.009963768115938</v>
      </c>
      <c r="AI9" s="110">
        <v>58.280158730158725</v>
      </c>
      <c r="AJ9" s="107">
        <v>60.864821143768516</v>
      </c>
      <c r="AK9" s="108">
        <v>62.132815734989641</v>
      </c>
      <c r="AL9" s="108">
        <v>71.949918521600452</v>
      </c>
      <c r="AM9" s="110">
        <v>78.711742424242416</v>
      </c>
      <c r="AN9" s="107">
        <v>81.101670843776105</v>
      </c>
      <c r="AO9" s="108">
        <v>70.440001725327804</v>
      </c>
      <c r="AP9" s="108">
        <v>62.420378787878782</v>
      </c>
      <c r="AQ9" s="110">
        <v>63.709833295359623</v>
      </c>
      <c r="AR9" s="107">
        <v>58.04545454545454</v>
      </c>
      <c r="AS9" s="108">
        <v>55.236655844155848</v>
      </c>
      <c r="AT9" s="108">
        <v>55.069805194805191</v>
      </c>
      <c r="AU9" s="110">
        <v>55.178030303030305</v>
      </c>
      <c r="AV9" s="107">
        <v>56.569603356216625</v>
      </c>
      <c r="AW9" s="108">
        <v>60.498268398268401</v>
      </c>
      <c r="AX9" s="108">
        <v>64.141197691197689</v>
      </c>
      <c r="AY9" s="110">
        <v>83.808333333333337</v>
      </c>
      <c r="AZ9" s="107">
        <v>91.112206331045002</v>
      </c>
      <c r="BA9" s="108">
        <v>123.11769841269842</v>
      </c>
      <c r="BB9" s="108">
        <v>182.8948757763975</v>
      </c>
      <c r="BC9" s="110">
        <v>191.02654761904762</v>
      </c>
      <c r="BD9" s="107">
        <v>134.10812356979406</v>
      </c>
      <c r="BE9" s="108">
        <v>79.893628009417483</v>
      </c>
      <c r="BF9" s="108">
        <v>66.890579710144934</v>
      </c>
      <c r="BG9" s="109">
        <v>73.460652958152949</v>
      </c>
      <c r="BH9" s="107">
        <v>75.521626984126982</v>
      </c>
      <c r="BI9" s="108">
        <v>76.936084529505578</v>
      </c>
      <c r="BJ9" s="108">
        <v>75.281818181818181</v>
      </c>
      <c r="BK9" s="109"/>
      <c r="BL9" s="107"/>
      <c r="BM9" s="108"/>
      <c r="BN9" s="108"/>
      <c r="BO9" s="109"/>
      <c r="BP9" s="107"/>
      <c r="BQ9" s="108"/>
      <c r="BR9" s="108"/>
      <c r="BS9" s="109"/>
      <c r="BT9" s="107"/>
      <c r="BU9" s="111"/>
      <c r="BV9" s="111"/>
      <c r="BW9" s="26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</row>
    <row r="10" spans="1:90" x14ac:dyDescent="0.25">
      <c r="A10" s="9"/>
      <c r="B10" s="9"/>
      <c r="C10" s="3" t="s">
        <v>3</v>
      </c>
      <c r="D10" s="3" t="s">
        <v>212</v>
      </c>
      <c r="E10" s="3"/>
      <c r="F10" s="20" t="s">
        <v>163</v>
      </c>
      <c r="G10" s="20" t="s">
        <v>219</v>
      </c>
      <c r="H10" s="107">
        <v>13.891242236024842</v>
      </c>
      <c r="I10" s="108">
        <v>12.697619047619048</v>
      </c>
      <c r="J10" s="108">
        <v>14.270746282702804</v>
      </c>
      <c r="K10" s="109">
        <v>13.634054834054835</v>
      </c>
      <c r="L10" s="108">
        <v>9.8515151515151516</v>
      </c>
      <c r="M10" s="108">
        <v>9.0608264320220844</v>
      </c>
      <c r="N10" s="108">
        <v>8.8556818181818198</v>
      </c>
      <c r="O10" s="108">
        <v>10.088478260869564</v>
      </c>
      <c r="P10" s="107">
        <v>10.223634336677815</v>
      </c>
      <c r="Q10" s="108">
        <v>10.510833333333334</v>
      </c>
      <c r="R10" s="108">
        <v>10.380303030303031</v>
      </c>
      <c r="S10" s="108">
        <v>10.975844155844158</v>
      </c>
      <c r="T10" s="107">
        <v>12.360192147034253</v>
      </c>
      <c r="U10" s="108">
        <v>12.972063492063493</v>
      </c>
      <c r="V10" s="108">
        <v>11.941702741702741</v>
      </c>
      <c r="W10" s="109">
        <v>11.536363636363637</v>
      </c>
      <c r="X10" s="107">
        <v>11.595833333333333</v>
      </c>
      <c r="Y10" s="108">
        <v>11.550000000000002</v>
      </c>
      <c r="Z10" s="108">
        <v>11.591666666666669</v>
      </c>
      <c r="AA10" s="109">
        <v>11.21733500417711</v>
      </c>
      <c r="AB10" s="107">
        <v>9.6898951925267713</v>
      </c>
      <c r="AC10" s="108">
        <v>9.1579365079365065</v>
      </c>
      <c r="AD10" s="108">
        <v>8.630238095238095</v>
      </c>
      <c r="AE10" s="109">
        <v>9.3319444444444439</v>
      </c>
      <c r="AF10" s="107">
        <v>11.491718154080855</v>
      </c>
      <c r="AG10" s="108">
        <v>11.601881977671454</v>
      </c>
      <c r="AH10" s="108">
        <v>11.516514492753624</v>
      </c>
      <c r="AI10" s="110">
        <v>11.923015873015872</v>
      </c>
      <c r="AJ10" s="107">
        <v>12.298803827751195</v>
      </c>
      <c r="AK10" s="108">
        <v>12.407349896480332</v>
      </c>
      <c r="AL10" s="108">
        <v>12.531407322654461</v>
      </c>
      <c r="AM10" s="110">
        <v>12.012500000000001</v>
      </c>
      <c r="AN10" s="107">
        <v>12.349832915622388</v>
      </c>
      <c r="AO10" s="108">
        <v>12.498205659075225</v>
      </c>
      <c r="AP10" s="108">
        <v>12.137727272727274</v>
      </c>
      <c r="AQ10" s="110">
        <v>12.001015797068428</v>
      </c>
      <c r="AR10" s="107">
        <v>11.676953748006378</v>
      </c>
      <c r="AS10" s="108">
        <v>11.563820346320346</v>
      </c>
      <c r="AT10" s="108">
        <v>11.78676046176046</v>
      </c>
      <c r="AU10" s="110">
        <v>11.643109668109668</v>
      </c>
      <c r="AV10" s="107">
        <v>11.621510297482837</v>
      </c>
      <c r="AW10" s="108">
        <v>12.031854256854258</v>
      </c>
      <c r="AX10" s="108">
        <v>12.326443001443002</v>
      </c>
      <c r="AY10" s="110">
        <v>22.175108225108222</v>
      </c>
      <c r="AZ10" s="107">
        <v>23.171689549961865</v>
      </c>
      <c r="BA10" s="108">
        <v>15.889920634920635</v>
      </c>
      <c r="BB10" s="108">
        <v>16.339302967563835</v>
      </c>
      <c r="BC10" s="110">
        <v>16.587063492063493</v>
      </c>
      <c r="BD10" s="107">
        <v>15.369541607642295</v>
      </c>
      <c r="BE10" s="108">
        <v>14.91266043897623</v>
      </c>
      <c r="BF10" s="108">
        <v>14.314166666666667</v>
      </c>
      <c r="BG10" s="109">
        <v>14.027665945165944</v>
      </c>
      <c r="BH10" s="107">
        <v>13.910039682539681</v>
      </c>
      <c r="BI10" s="108">
        <v>13.653708133971293</v>
      </c>
      <c r="BJ10" s="108">
        <v>13.923958333333331</v>
      </c>
      <c r="BK10" s="109">
        <v>14</v>
      </c>
      <c r="BL10" s="107">
        <v>16.3</v>
      </c>
      <c r="BM10" s="108"/>
      <c r="BN10" s="108"/>
      <c r="BO10" s="109"/>
      <c r="BP10" s="107"/>
      <c r="BQ10" s="108"/>
      <c r="BR10" s="108"/>
      <c r="BS10" s="109"/>
      <c r="BT10" s="107"/>
      <c r="BU10" s="111"/>
      <c r="BV10" s="111"/>
      <c r="BW10" s="26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</row>
    <row r="11" spans="1:90" x14ac:dyDescent="0.25">
      <c r="A11" s="9"/>
      <c r="B11" s="9"/>
      <c r="C11" s="3" t="s">
        <v>190</v>
      </c>
      <c r="D11" s="3" t="s">
        <v>212</v>
      </c>
      <c r="E11" s="3"/>
      <c r="F11" s="20" t="s">
        <v>164</v>
      </c>
      <c r="G11" s="20"/>
      <c r="H11" s="107">
        <v>73.256169772256726</v>
      </c>
      <c r="I11" s="108">
        <v>77.485714285714295</v>
      </c>
      <c r="J11" s="108">
        <v>77.186660079051379</v>
      </c>
      <c r="K11" s="109">
        <v>76.44967532467534</v>
      </c>
      <c r="L11" s="108">
        <v>70.222950089126556</v>
      </c>
      <c r="M11" s="108">
        <v>65.007142857142867</v>
      </c>
      <c r="N11" s="108">
        <v>64.983333333333334</v>
      </c>
      <c r="O11" s="108">
        <v>64.317520703933752</v>
      </c>
      <c r="P11" s="107">
        <v>62.22318840579711</v>
      </c>
      <c r="Q11" s="108">
        <v>65.00333333333333</v>
      </c>
      <c r="R11" s="108">
        <v>68.147727272727266</v>
      </c>
      <c r="S11" s="108">
        <v>68.561403508771932</v>
      </c>
      <c r="T11" s="107">
        <v>68.482414369256489</v>
      </c>
      <c r="U11" s="108">
        <v>67.247460317460323</v>
      </c>
      <c r="V11" s="108">
        <v>63.535714285714285</v>
      </c>
      <c r="W11" s="109">
        <v>64.892171717171706</v>
      </c>
      <c r="X11" s="107">
        <v>62.627061403508769</v>
      </c>
      <c r="Y11" s="108">
        <v>59.859828282828282</v>
      </c>
      <c r="Z11" s="108">
        <v>52.83614718614718</v>
      </c>
      <c r="AA11" s="109">
        <v>50.318086883876354</v>
      </c>
      <c r="AB11" s="107">
        <v>48.567786891471108</v>
      </c>
      <c r="AC11" s="108">
        <v>44.060317460317457</v>
      </c>
      <c r="AD11" s="108">
        <v>42.592106625258801</v>
      </c>
      <c r="AE11" s="109">
        <v>42.849444444444451</v>
      </c>
      <c r="AF11" s="107">
        <v>45.487953852021349</v>
      </c>
      <c r="AG11" s="108">
        <v>45.599641148325361</v>
      </c>
      <c r="AH11" s="108">
        <v>45.855797101449269</v>
      </c>
      <c r="AI11" s="110">
        <v>45.895238095238092</v>
      </c>
      <c r="AJ11" s="107">
        <v>45.828639781271363</v>
      </c>
      <c r="AK11" s="108">
        <v>45.606314699792961</v>
      </c>
      <c r="AL11" s="108">
        <v>54.810921572706469</v>
      </c>
      <c r="AM11" s="110">
        <v>61.427272727272729</v>
      </c>
      <c r="AN11" s="107">
        <v>67.979532163742689</v>
      </c>
      <c r="AO11" s="108">
        <v>61.583799171842657</v>
      </c>
      <c r="AP11" s="108">
        <v>50.614696969696972</v>
      </c>
      <c r="AQ11" s="110">
        <v>55.159814308498511</v>
      </c>
      <c r="AR11" s="107">
        <v>48.625558213716111</v>
      </c>
      <c r="AS11" s="108">
        <v>44.13075396825397</v>
      </c>
      <c r="AT11" s="108">
        <v>42.561363636363637</v>
      </c>
      <c r="AU11" s="110">
        <v>43.50151515151515</v>
      </c>
      <c r="AV11" s="107">
        <v>49.018039664378335</v>
      </c>
      <c r="AW11" s="108">
        <v>53.959812409812407</v>
      </c>
      <c r="AX11" s="108">
        <v>56.760461760461759</v>
      </c>
      <c r="AY11" s="110">
        <v>69.089682539682542</v>
      </c>
      <c r="AZ11" s="107">
        <v>75.039057971014486</v>
      </c>
      <c r="BA11" s="108">
        <v>99.1207142857143</v>
      </c>
      <c r="BB11" s="108">
        <v>152.8199982746722</v>
      </c>
      <c r="BC11" s="110">
        <v>191.31313492063495</v>
      </c>
      <c r="BD11" s="107">
        <v>110.28405252261088</v>
      </c>
      <c r="BE11" s="108">
        <v>71.085649730386578</v>
      </c>
      <c r="BF11" s="108">
        <v>53.614130434782616</v>
      </c>
      <c r="BG11" s="109">
        <v>52.005818903318904</v>
      </c>
      <c r="BH11" s="107">
        <v>49.963134920634921</v>
      </c>
      <c r="BI11" s="108">
        <v>53.30163476874003</v>
      </c>
      <c r="BJ11" s="108">
        <v>47.840909090909093</v>
      </c>
      <c r="BK11" s="109"/>
      <c r="BL11" s="107"/>
      <c r="BM11" s="108"/>
      <c r="BN11" s="108"/>
      <c r="BO11" s="109"/>
      <c r="BP11" s="107"/>
      <c r="BQ11" s="108"/>
      <c r="BR11" s="108"/>
      <c r="BS11" s="109"/>
      <c r="BT11" s="107"/>
      <c r="BU11" s="111"/>
      <c r="BV11" s="111"/>
      <c r="BW11" s="26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</row>
    <row r="12" spans="1:90" x14ac:dyDescent="0.25">
      <c r="A12" s="9"/>
      <c r="B12" s="9" t="s">
        <v>192</v>
      </c>
      <c r="C12" s="3" t="s">
        <v>191</v>
      </c>
      <c r="D12" s="3" t="s">
        <v>212</v>
      </c>
      <c r="E12" s="3"/>
      <c r="F12" s="20" t="s">
        <v>188</v>
      </c>
      <c r="G12" s="20"/>
      <c r="H12" s="107">
        <v>47.5</v>
      </c>
      <c r="I12" s="108">
        <v>47.7484126984127</v>
      </c>
      <c r="J12" s="108">
        <v>47.79999999999999</v>
      </c>
      <c r="K12" s="109">
        <v>48.315079365079363</v>
      </c>
      <c r="L12" s="108">
        <v>52.354437229437231</v>
      </c>
      <c r="M12" s="108">
        <v>48.653554175293301</v>
      </c>
      <c r="N12" s="108">
        <v>47.409090909090907</v>
      </c>
      <c r="O12" s="108">
        <v>47.884782608695652</v>
      </c>
      <c r="P12" s="107">
        <v>46.91282051282051</v>
      </c>
      <c r="Q12" s="108">
        <v>45.15</v>
      </c>
      <c r="R12" s="108">
        <v>45.540151515151514</v>
      </c>
      <c r="S12" s="108">
        <v>46.127272727272725</v>
      </c>
      <c r="T12" s="107">
        <v>46.564394319131168</v>
      </c>
      <c r="U12" s="108">
        <v>46.333809523809528</v>
      </c>
      <c r="V12" s="108">
        <v>44.175324675324674</v>
      </c>
      <c r="W12" s="109">
        <v>44.593434343434346</v>
      </c>
      <c r="X12" s="107">
        <v>43.128307017543854</v>
      </c>
      <c r="Y12" s="108">
        <v>40.512</v>
      </c>
      <c r="Z12" s="108">
        <v>35.027272727272731</v>
      </c>
      <c r="AA12" s="109">
        <v>32.724477861319968</v>
      </c>
      <c r="AB12" s="107">
        <v>32.235087719298249</v>
      </c>
      <c r="AC12" s="108">
        <v>31.7</v>
      </c>
      <c r="AD12" s="108">
        <v>31.995000000000001</v>
      </c>
      <c r="AE12" s="109">
        <v>33.44444444444445</v>
      </c>
      <c r="AF12" s="107">
        <v>32.984210526315785</v>
      </c>
      <c r="AG12" s="108">
        <v>31.011403508771931</v>
      </c>
      <c r="AH12" s="108">
        <v>30.741666666666664</v>
      </c>
      <c r="AI12" s="110">
        <v>32.461111111111116</v>
      </c>
      <c r="AJ12" s="107">
        <v>32.86532999164578</v>
      </c>
      <c r="AK12" s="108">
        <v>32.739682539682541</v>
      </c>
      <c r="AL12" s="108">
        <v>33.065881353581581</v>
      </c>
      <c r="AM12" s="110">
        <v>38.171590909090916</v>
      </c>
      <c r="AN12" s="107">
        <v>38.59473684210527</v>
      </c>
      <c r="AO12" s="108">
        <v>39.488492063492068</v>
      </c>
      <c r="AP12" s="108">
        <v>39.081666666666671</v>
      </c>
      <c r="AQ12" s="110">
        <v>37.721855775803142</v>
      </c>
      <c r="AR12" s="107">
        <v>33.840151515151518</v>
      </c>
      <c r="AS12" s="108">
        <v>33.137499999999996</v>
      </c>
      <c r="AT12" s="108">
        <v>34.044696969696965</v>
      </c>
      <c r="AU12" s="110">
        <v>34.083333333333336</v>
      </c>
      <c r="AV12" s="107">
        <v>34.302059496567502</v>
      </c>
      <c r="AW12" s="108">
        <v>34.5</v>
      </c>
      <c r="AX12" s="108">
        <v>35.334956709956707</v>
      </c>
      <c r="AY12" s="110">
        <v>40.752489177489174</v>
      </c>
      <c r="AZ12" s="107">
        <v>80.879782608695663</v>
      </c>
      <c r="BA12" s="108">
        <v>119.44198412698414</v>
      </c>
      <c r="BB12" s="108">
        <v>187.71969461697722</v>
      </c>
      <c r="BC12" s="110">
        <v>182.70436507936506</v>
      </c>
      <c r="BD12" s="107">
        <v>119.84266826486505</v>
      </c>
      <c r="BE12" s="108">
        <v>67.439473684210526</v>
      </c>
      <c r="BF12" s="108">
        <v>50.245833333333337</v>
      </c>
      <c r="BG12" s="109">
        <v>47.624585137085141</v>
      </c>
      <c r="BH12" s="107">
        <v>43.337301587301589</v>
      </c>
      <c r="BI12" s="108">
        <v>44.54545454545454</v>
      </c>
      <c r="BJ12" s="108">
        <v>42.73011363636364</v>
      </c>
      <c r="BK12" s="109"/>
      <c r="BL12" s="107"/>
      <c r="BM12" s="108"/>
      <c r="BN12" s="108"/>
      <c r="BO12" s="109"/>
      <c r="BP12" s="107"/>
      <c r="BQ12" s="108"/>
      <c r="BR12" s="108"/>
      <c r="BS12" s="109"/>
      <c r="BT12" s="107"/>
      <c r="BU12" s="111"/>
      <c r="BV12" s="111"/>
      <c r="BW12" s="26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</row>
    <row r="13" spans="1:90" x14ac:dyDescent="0.25">
      <c r="A13" s="9"/>
      <c r="B13" s="9"/>
      <c r="C13" s="3" t="s">
        <v>206</v>
      </c>
      <c r="D13" s="3" t="s">
        <v>211</v>
      </c>
      <c r="E13" s="3"/>
      <c r="F13" s="20" t="s">
        <v>200</v>
      </c>
      <c r="G13" s="20" t="s">
        <v>195</v>
      </c>
      <c r="H13" s="107">
        <v>7.0755827612509536</v>
      </c>
      <c r="I13" s="108">
        <v>4.7501327561327562</v>
      </c>
      <c r="J13" s="108">
        <v>4.7271138716356109</v>
      </c>
      <c r="K13" s="109">
        <v>3.821396825396826</v>
      </c>
      <c r="L13" s="108">
        <v>3.1548030303030306</v>
      </c>
      <c r="M13" s="108">
        <v>2.48934632034632</v>
      </c>
      <c r="N13" s="108">
        <v>3.0652359158766482</v>
      </c>
      <c r="O13" s="108">
        <v>4.1762272727272727</v>
      </c>
      <c r="P13" s="107">
        <v>7.6746324143692561</v>
      </c>
      <c r="Q13" s="108">
        <v>4.2984696969696969</v>
      </c>
      <c r="R13" s="108">
        <v>3.7743333333333329</v>
      </c>
      <c r="S13" s="108">
        <v>4.4507471577494462</v>
      </c>
      <c r="T13" s="107">
        <v>16.38340476190476</v>
      </c>
      <c r="U13" s="108">
        <v>3.73510582010582</v>
      </c>
      <c r="V13" s="108">
        <v>2.5674603174603172</v>
      </c>
      <c r="W13" s="109">
        <v>3.3531481481481484</v>
      </c>
      <c r="X13" s="107">
        <v>9.2959398148148136</v>
      </c>
      <c r="Y13" s="108">
        <v>2.5310238095238091</v>
      </c>
      <c r="Z13" s="108">
        <v>2.2908400673400675</v>
      </c>
      <c r="AA13" s="109">
        <v>1.8920833333333331</v>
      </c>
      <c r="AB13" s="107">
        <v>2.3548696401637579</v>
      </c>
      <c r="AC13" s="108">
        <v>1.7357296181630548</v>
      </c>
      <c r="AD13" s="108">
        <v>1.9157013574660635</v>
      </c>
      <c r="AE13" s="109">
        <v>2.8832380952380952</v>
      </c>
      <c r="AF13" s="107">
        <v>3.4834509803921567</v>
      </c>
      <c r="AG13" s="108">
        <v>2.7516361416361419</v>
      </c>
      <c r="AH13" s="108">
        <v>2.5445726495726499</v>
      </c>
      <c r="AI13" s="110">
        <v>3.8021709401709405</v>
      </c>
      <c r="AJ13" s="107">
        <v>6.9967927170868345</v>
      </c>
      <c r="AK13" s="108">
        <v>2.7392719298245614</v>
      </c>
      <c r="AL13" s="108">
        <v>2.9305386655043404</v>
      </c>
      <c r="AM13" s="110">
        <v>3.8108888888888885</v>
      </c>
      <c r="AN13" s="107">
        <v>3.6837723475355055</v>
      </c>
      <c r="AO13" s="108">
        <v>2.2789999999999999</v>
      </c>
      <c r="AP13" s="108">
        <v>1.9821421356421356</v>
      </c>
      <c r="AQ13" s="110">
        <v>2.4285869565217393</v>
      </c>
      <c r="AR13" s="107">
        <v>1.8275952380952381</v>
      </c>
      <c r="AS13" s="108">
        <v>1.4626538461538461</v>
      </c>
      <c r="AT13" s="108">
        <v>1.5115747255840137</v>
      </c>
      <c r="AU13" s="110">
        <v>1.9565904139433552</v>
      </c>
      <c r="AV13" s="107">
        <v>3.5555929038281984</v>
      </c>
      <c r="AW13" s="108">
        <v>2.4023632610939112</v>
      </c>
      <c r="AX13" s="108">
        <v>3.7843899782135075</v>
      </c>
      <c r="AY13" s="110">
        <v>4.4015098039215692</v>
      </c>
      <c r="AZ13" s="107">
        <v>7.0282638888888895</v>
      </c>
      <c r="BA13" s="108">
        <v>6.7390709617180207</v>
      </c>
      <c r="BB13" s="108">
        <v>7.3588967036089796</v>
      </c>
      <c r="BC13" s="110">
        <v>6.5581947496947492</v>
      </c>
      <c r="BD13" s="107">
        <v>3.0667102396514161</v>
      </c>
      <c r="BE13" s="108">
        <v>1.5417025518341305</v>
      </c>
      <c r="BF13" s="108">
        <v>1.5207266050232802</v>
      </c>
      <c r="BG13" s="109">
        <v>1.9699548708372239</v>
      </c>
      <c r="BH13" s="107">
        <v>2.5682352941176472</v>
      </c>
      <c r="BI13" s="108">
        <v>1.6238655462184874</v>
      </c>
      <c r="BJ13" s="108">
        <v>1.4878958333333332</v>
      </c>
      <c r="BK13" s="109">
        <v>2.3916666666666666</v>
      </c>
      <c r="BL13" s="107">
        <v>5.1073333333333331</v>
      </c>
      <c r="BM13" s="108">
        <v>2.2446666666666668</v>
      </c>
      <c r="BN13" s="108">
        <v>2.3813333333333335</v>
      </c>
      <c r="BO13" s="109">
        <v>3.1989999999999998</v>
      </c>
      <c r="BP13" s="107">
        <v>6.0186666666666655</v>
      </c>
      <c r="BQ13" s="108">
        <v>2.4746666666666663</v>
      </c>
      <c r="BR13" s="108">
        <v>2.5796666666666668</v>
      </c>
      <c r="BS13" s="109">
        <v>3.6246666666666667</v>
      </c>
      <c r="BT13" s="107">
        <v>7.5965000000000007</v>
      </c>
      <c r="BU13" s="111"/>
      <c r="BV13" s="111"/>
      <c r="BW13" s="26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</row>
    <row r="14" spans="1:90" x14ac:dyDescent="0.25">
      <c r="A14" s="9"/>
      <c r="B14" s="9"/>
      <c r="C14" s="3" t="s">
        <v>207</v>
      </c>
      <c r="D14" s="3" t="s">
        <v>211</v>
      </c>
      <c r="E14" s="3"/>
      <c r="F14" s="20" t="s">
        <v>193</v>
      </c>
      <c r="G14" s="20" t="s">
        <v>201</v>
      </c>
      <c r="H14" s="107">
        <v>5.9348562166285275</v>
      </c>
      <c r="I14" s="108">
        <v>4.6508217893217898</v>
      </c>
      <c r="J14" s="108">
        <v>4.3783461007591447</v>
      </c>
      <c r="K14" s="109">
        <v>3.6041666666666665</v>
      </c>
      <c r="L14" s="108">
        <v>2.7410303030303034</v>
      </c>
      <c r="M14" s="108">
        <v>2.4442554112554116</v>
      </c>
      <c r="N14" s="108">
        <v>3.0504936253677672</v>
      </c>
      <c r="O14" s="108">
        <v>3.6795507246376808</v>
      </c>
      <c r="P14" s="107">
        <v>4.20609440267335</v>
      </c>
      <c r="Q14" s="108">
        <v>4.1166212121212125</v>
      </c>
      <c r="R14" s="108">
        <v>3.5571969696969696</v>
      </c>
      <c r="S14" s="108">
        <v>3.984519632414369</v>
      </c>
      <c r="T14" s="107">
        <v>13.01753550543024</v>
      </c>
      <c r="U14" s="108">
        <v>3.7079365079365076</v>
      </c>
      <c r="V14" s="108">
        <v>2.4956277056277059</v>
      </c>
      <c r="W14" s="109">
        <v>2.8358465608465608</v>
      </c>
      <c r="X14" s="107">
        <v>6.0171331738436997</v>
      </c>
      <c r="Y14" s="108">
        <v>1.6061428571428571</v>
      </c>
      <c r="Z14" s="108">
        <v>1.3712525252525254</v>
      </c>
      <c r="AA14" s="109">
        <v>1.2871212121212121</v>
      </c>
      <c r="AB14" s="107">
        <v>1.7725518518518519</v>
      </c>
      <c r="AC14" s="108">
        <v>1.5811507936507938</v>
      </c>
      <c r="AD14" s="108">
        <v>1.3120044858523119</v>
      </c>
      <c r="AE14" s="109">
        <v>2.2861507936507937</v>
      </c>
      <c r="AF14" s="107">
        <v>2.9738901601830663</v>
      </c>
      <c r="AG14" s="108">
        <v>2.5220551378446117</v>
      </c>
      <c r="AH14" s="108">
        <v>1.7192185354691076</v>
      </c>
      <c r="AI14" s="110">
        <v>3.1926212121212121</v>
      </c>
      <c r="AJ14" s="107">
        <v>6.0156641604010019</v>
      </c>
      <c r="AK14" s="108">
        <v>2.4090259740259738</v>
      </c>
      <c r="AL14" s="108">
        <v>2.5000937125422253</v>
      </c>
      <c r="AM14" s="110">
        <v>3.6425639730639734</v>
      </c>
      <c r="AN14" s="107">
        <v>3.25344193817878</v>
      </c>
      <c r="AO14" s="108">
        <v>2.2251832611832612</v>
      </c>
      <c r="AP14" s="108">
        <v>1.9095476190476193</v>
      </c>
      <c r="AQ14" s="110">
        <v>2.2938083735909824</v>
      </c>
      <c r="AR14" s="107">
        <v>1.7428317004632794</v>
      </c>
      <c r="AS14" s="108">
        <v>1.4600974025974025</v>
      </c>
      <c r="AT14" s="108">
        <v>1.5030075187969925</v>
      </c>
      <c r="AU14" s="110">
        <v>1.7675609478241057</v>
      </c>
      <c r="AV14" s="107">
        <v>3.2400703109526638</v>
      </c>
      <c r="AW14" s="108">
        <v>2.3486772486772485</v>
      </c>
      <c r="AX14" s="108">
        <v>3.8477224880382774</v>
      </c>
      <c r="AY14" s="110">
        <v>4.3041428571428577</v>
      </c>
      <c r="AZ14" s="107">
        <v>6.4400699062233597</v>
      </c>
      <c r="BA14" s="108">
        <v>6.8098333333333336</v>
      </c>
      <c r="BB14" s="108">
        <v>7.1177207792207797</v>
      </c>
      <c r="BC14" s="110">
        <v>6.0318128654970762</v>
      </c>
      <c r="BD14" s="107">
        <v>3.0377574370709381</v>
      </c>
      <c r="BE14" s="108">
        <v>1.5235207336523127</v>
      </c>
      <c r="BF14" s="108">
        <v>1.4427777777777777</v>
      </c>
      <c r="BG14" s="109">
        <v>1.8748173843700158</v>
      </c>
      <c r="BH14" s="107">
        <v>2.5875494291283765</v>
      </c>
      <c r="BI14" s="108">
        <v>1.5653968253968253</v>
      </c>
      <c r="BJ14" s="108">
        <v>1.5012837301587301</v>
      </c>
      <c r="BK14" s="109">
        <v>2.2823333333333333</v>
      </c>
      <c r="BL14" s="107">
        <v>4.1873333333333331</v>
      </c>
      <c r="BM14" s="108">
        <v>2.3386666666666667</v>
      </c>
      <c r="BN14" s="108">
        <v>2.3426666666666667</v>
      </c>
      <c r="BO14" s="109">
        <v>3.0873333333333335</v>
      </c>
      <c r="BP14" s="107">
        <v>5.1556666666666668</v>
      </c>
      <c r="BQ14" s="108">
        <v>2.4689999999999999</v>
      </c>
      <c r="BR14" s="108">
        <v>2.5266666666666668</v>
      </c>
      <c r="BS14" s="109">
        <v>3.3063333333333333</v>
      </c>
      <c r="BT14" s="107">
        <v>6.4785000000000004</v>
      </c>
      <c r="BU14" s="111"/>
      <c r="BV14" s="111"/>
      <c r="BW14" s="26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</row>
    <row r="15" spans="1:90" x14ac:dyDescent="0.25">
      <c r="A15" s="9"/>
      <c r="B15" s="9" t="s">
        <v>189</v>
      </c>
      <c r="C15" s="3" t="s">
        <v>209</v>
      </c>
      <c r="D15" s="3" t="s">
        <v>211</v>
      </c>
      <c r="E15" s="3"/>
      <c r="F15" s="20" t="s">
        <v>194</v>
      </c>
      <c r="G15" s="20" t="s">
        <v>202</v>
      </c>
      <c r="H15" s="107">
        <v>4.1510964912280697</v>
      </c>
      <c r="I15" s="108">
        <v>4.3884166666666671</v>
      </c>
      <c r="J15" s="108">
        <v>4.2699339774557172</v>
      </c>
      <c r="K15" s="109">
        <v>3.6468502137697185</v>
      </c>
      <c r="L15" s="108">
        <v>2.7653450292397661</v>
      </c>
      <c r="M15" s="108">
        <v>2.5541990597408555</v>
      </c>
      <c r="N15" s="108">
        <v>3.103340961098398</v>
      </c>
      <c r="O15" s="108">
        <v>3.7265631808278865</v>
      </c>
      <c r="P15" s="107">
        <v>3.7505128205128204</v>
      </c>
      <c r="Q15" s="108">
        <v>4.1640333740333739</v>
      </c>
      <c r="R15" s="108">
        <v>3.7889754689754689</v>
      </c>
      <c r="S15" s="108">
        <v>4.0985375816993468</v>
      </c>
      <c r="T15" s="107">
        <v>5.6942765567765568</v>
      </c>
      <c r="U15" s="108">
        <v>4.921271069831441</v>
      </c>
      <c r="V15" s="108">
        <v>4.4586801972250889</v>
      </c>
      <c r="W15" s="109">
        <v>4.0533333333333337</v>
      </c>
      <c r="X15" s="107">
        <v>2.8797916666666663</v>
      </c>
      <c r="Y15" s="108">
        <v>2.8274771241830066</v>
      </c>
      <c r="Z15" s="108">
        <v>3.0173606237816766</v>
      </c>
      <c r="AA15" s="109">
        <v>2.5278095238095237</v>
      </c>
      <c r="AB15" s="107">
        <v>2.1004107142857142</v>
      </c>
      <c r="AC15" s="108">
        <v>2.2015294117647062</v>
      </c>
      <c r="AD15" s="108">
        <v>2.9070022883295192</v>
      </c>
      <c r="AE15" s="109">
        <v>3.0905012531328317</v>
      </c>
      <c r="AF15" s="107">
        <v>3.1735078347578352</v>
      </c>
      <c r="AG15" s="108">
        <v>3.1961571598336302</v>
      </c>
      <c r="AH15" s="108">
        <v>3.2436414754835812</v>
      </c>
      <c r="AI15" s="110">
        <v>4.3624074074074075</v>
      </c>
      <c r="AJ15" s="107">
        <v>3.9392592592592592</v>
      </c>
      <c r="AK15" s="108">
        <v>3.0485558667911605</v>
      </c>
      <c r="AL15" s="108">
        <v>7.8100080515297892</v>
      </c>
      <c r="AM15" s="110">
        <v>6.4929349517584809</v>
      </c>
      <c r="AN15" s="107">
        <v>6.6149945697577275</v>
      </c>
      <c r="AO15" s="108">
        <v>2.6250476190476193</v>
      </c>
      <c r="AP15" s="108">
        <v>3.0233868003341686</v>
      </c>
      <c r="AQ15" s="110">
        <v>4.5981512605042019</v>
      </c>
      <c r="AR15" s="107">
        <v>2.8729365079365081</v>
      </c>
      <c r="AS15" s="108">
        <v>1.8606914344685244</v>
      </c>
      <c r="AT15" s="108">
        <v>3.2028752436647174</v>
      </c>
      <c r="AU15" s="110">
        <v>4.2447896825396825</v>
      </c>
      <c r="AV15" s="107">
        <v>8.3806084656084661</v>
      </c>
      <c r="AW15" s="108">
        <v>3.9471262626262624</v>
      </c>
      <c r="AX15" s="108">
        <v>6.9617460317460313</v>
      </c>
      <c r="AY15" s="110">
        <v>6.4551851851851856</v>
      </c>
      <c r="AZ15" s="107">
        <v>4.9422620137299775</v>
      </c>
      <c r="BA15" s="108">
        <v>7.7492857142857146</v>
      </c>
      <c r="BB15" s="108">
        <v>9.2536304347826093</v>
      </c>
      <c r="BC15" s="110">
        <v>15.486666666666666</v>
      </c>
      <c r="BD15" s="107">
        <v>11.231701754385965</v>
      </c>
      <c r="BE15" s="108">
        <v>4.3497009569377996</v>
      </c>
      <c r="BF15" s="108">
        <v>5.3316552250190696</v>
      </c>
      <c r="BG15" s="109">
        <v>5.8567017543859654</v>
      </c>
      <c r="BH15" s="107">
        <v>3.0664444444444441</v>
      </c>
      <c r="BI15" s="108">
        <v>1.7682486772486774</v>
      </c>
      <c r="BJ15" s="108">
        <v>2.2746842105263156</v>
      </c>
      <c r="BK15" s="109">
        <v>4.0376666666666665</v>
      </c>
      <c r="BL15" s="107">
        <v>5.492</v>
      </c>
      <c r="BM15" s="108">
        <v>3.3130000000000002</v>
      </c>
      <c r="BN15" s="108">
        <v>5.093</v>
      </c>
      <c r="BO15" s="109">
        <v>5.730666666666667</v>
      </c>
      <c r="BP15" s="107">
        <v>6.226</v>
      </c>
      <c r="BQ15" s="108">
        <v>3.6596666666666664</v>
      </c>
      <c r="BR15" s="108">
        <v>5.6186666666666669</v>
      </c>
      <c r="BS15" s="109">
        <v>6.0133333333333328</v>
      </c>
      <c r="BT15" s="107">
        <v>7.6395</v>
      </c>
      <c r="BU15" s="111"/>
      <c r="BV15" s="111"/>
      <c r="BW15" s="26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</row>
    <row r="16" spans="1:90" x14ac:dyDescent="0.25">
      <c r="B16" s="9" t="s">
        <v>23</v>
      </c>
      <c r="C16" s="3" t="s">
        <v>214</v>
      </c>
      <c r="D16" s="3" t="s">
        <v>211</v>
      </c>
      <c r="E16" s="3"/>
      <c r="F16" s="20" t="s">
        <v>196</v>
      </c>
      <c r="G16" s="20" t="s">
        <v>203</v>
      </c>
      <c r="H16" s="107">
        <v>4.1768115942028983</v>
      </c>
      <c r="I16" s="108">
        <v>4.2621306042884983</v>
      </c>
      <c r="J16" s="108">
        <v>4.0428080808080811</v>
      </c>
      <c r="K16" s="109">
        <v>3.2456559454191036</v>
      </c>
      <c r="L16" s="108">
        <v>2.3815574162679427</v>
      </c>
      <c r="M16" s="108">
        <v>2.2313327436237653</v>
      </c>
      <c r="N16" s="108">
        <v>2.803344593367477</v>
      </c>
      <c r="O16" s="108">
        <v>3.3210711500974655</v>
      </c>
      <c r="P16" s="107">
        <v>3.4075355054302428</v>
      </c>
      <c r="Q16" s="108">
        <v>3.9040989729225024</v>
      </c>
      <c r="R16" s="108">
        <v>3.5003106060606064</v>
      </c>
      <c r="S16" s="108">
        <v>3.8005257936507935</v>
      </c>
      <c r="T16" s="107">
        <v>5.6127350427350429</v>
      </c>
      <c r="U16" s="108">
        <v>4.4357560568086889</v>
      </c>
      <c r="V16" s="108">
        <v>3.8639899749373434</v>
      </c>
      <c r="W16" s="109">
        <v>3.6751267482517487</v>
      </c>
      <c r="X16" s="107">
        <v>2.6060805860805858</v>
      </c>
      <c r="Y16" s="108">
        <v>2.5685552115583077</v>
      </c>
      <c r="Z16" s="108">
        <v>2.5668482905982906</v>
      </c>
      <c r="AA16" s="109">
        <v>2.0339999999999998</v>
      </c>
      <c r="AB16" s="107">
        <v>1.8642658797298184</v>
      </c>
      <c r="AC16" s="108">
        <v>1.9726719298245614</v>
      </c>
      <c r="AD16" s="108">
        <v>2.6943817878028402</v>
      </c>
      <c r="AE16" s="109">
        <v>2.8357670217209687</v>
      </c>
      <c r="AF16" s="107">
        <v>2.7629894179894179</v>
      </c>
      <c r="AG16" s="108">
        <v>2.7320202020202018</v>
      </c>
      <c r="AH16" s="108">
        <v>2.6726201372997713</v>
      </c>
      <c r="AI16" s="110">
        <v>2.592789432789433</v>
      </c>
      <c r="AJ16" s="107">
        <v>2.4329991645781117</v>
      </c>
      <c r="AK16" s="108">
        <v>1.9797113997113993</v>
      </c>
      <c r="AL16" s="108">
        <v>1.8668148632450692</v>
      </c>
      <c r="AM16" s="110">
        <v>1.8063550724637683</v>
      </c>
      <c r="AN16" s="107">
        <v>1.407593984962406</v>
      </c>
      <c r="AO16" s="108">
        <v>1.5552207792207784E-2</v>
      </c>
      <c r="AP16" s="108">
        <v>0.9637525252525253</v>
      </c>
      <c r="AQ16" s="110">
        <v>1.2068006973956631</v>
      </c>
      <c r="AR16" s="107">
        <v>0.50464684438368657</v>
      </c>
      <c r="AS16" s="108">
        <v>1.0826296802612592</v>
      </c>
      <c r="AT16" s="108">
        <v>1.2867171717171717</v>
      </c>
      <c r="AU16" s="110">
        <v>1.7541068580542263</v>
      </c>
      <c r="AV16" s="107">
        <v>10.62048817696415</v>
      </c>
      <c r="AW16" s="108">
        <v>2.6656587301587304</v>
      </c>
      <c r="AX16" s="108">
        <v>4.0349299719887952</v>
      </c>
      <c r="AY16" s="110">
        <v>4.2560097465886937</v>
      </c>
      <c r="AZ16" s="107">
        <v>4.1178373205741616</v>
      </c>
      <c r="BA16" s="108">
        <v>6.8159490740740738</v>
      </c>
      <c r="BB16" s="108">
        <v>6.650478642257819</v>
      </c>
      <c r="BC16" s="110">
        <v>3.157833333333333</v>
      </c>
      <c r="BD16" s="107">
        <v>1.6302793880837358</v>
      </c>
      <c r="BE16" s="108">
        <v>1.5245234297865877</v>
      </c>
      <c r="BF16" s="108">
        <v>2.0344412662090008</v>
      </c>
      <c r="BG16" s="109">
        <v>1.515091706539075</v>
      </c>
      <c r="BH16" s="107">
        <v>1.0199523809523809</v>
      </c>
      <c r="BI16" s="108">
        <v>-0.55773208273208275</v>
      </c>
      <c r="BJ16" s="108">
        <v>-0.61562938596491235</v>
      </c>
      <c r="BK16" s="109">
        <v>1.4560000000000002</v>
      </c>
      <c r="BL16" s="107">
        <v>2.5306666666666668</v>
      </c>
      <c r="BM16" s="108">
        <v>1.3113333333333335</v>
      </c>
      <c r="BN16" s="108">
        <v>2.2879999999999998</v>
      </c>
      <c r="BO16" s="109">
        <v>2.2876666666666665</v>
      </c>
      <c r="BP16" s="107">
        <v>3.2290000000000005</v>
      </c>
      <c r="BQ16" s="108">
        <v>1.2489999999999999</v>
      </c>
      <c r="BR16" s="108">
        <v>2.3443333333333332</v>
      </c>
      <c r="BS16" s="109">
        <v>2.9120000000000004</v>
      </c>
      <c r="BT16" s="107">
        <v>4.2059999999999995</v>
      </c>
      <c r="BU16" s="111"/>
      <c r="BV16" s="111"/>
      <c r="BW16" s="26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</row>
    <row r="17" spans="1:90" x14ac:dyDescent="0.25">
      <c r="A17" s="9"/>
      <c r="B17" s="9"/>
      <c r="C17" s="3"/>
      <c r="D17" s="3"/>
      <c r="E17" s="3"/>
      <c r="F17" s="20"/>
      <c r="G17" s="20"/>
      <c r="H17" s="114"/>
      <c r="I17" s="93"/>
      <c r="J17" s="93"/>
      <c r="K17" s="94"/>
      <c r="L17" s="114"/>
      <c r="M17" s="93"/>
      <c r="N17" s="93"/>
      <c r="O17" s="115"/>
      <c r="P17" s="116"/>
      <c r="Q17" s="115"/>
      <c r="R17" s="115"/>
      <c r="S17" s="117"/>
      <c r="T17" s="115"/>
      <c r="U17" s="115"/>
      <c r="V17" s="115"/>
      <c r="W17" s="117"/>
      <c r="X17" s="115"/>
      <c r="Y17" s="118"/>
      <c r="Z17" s="118"/>
      <c r="AA17" s="119"/>
      <c r="AB17" s="115"/>
      <c r="AC17" s="118"/>
      <c r="AD17" s="118"/>
      <c r="AE17" s="119"/>
      <c r="AF17" s="115"/>
      <c r="AG17" s="118"/>
      <c r="AH17" s="118"/>
      <c r="AI17" s="120"/>
      <c r="AJ17" s="115"/>
      <c r="AK17" s="118"/>
      <c r="AL17" s="118"/>
      <c r="AM17" s="120"/>
      <c r="AN17" s="115"/>
      <c r="AO17" s="118"/>
      <c r="AP17" s="118"/>
      <c r="AQ17" s="120"/>
      <c r="AR17" s="118"/>
      <c r="AS17" s="118"/>
      <c r="AT17" s="118"/>
      <c r="AU17" s="120"/>
      <c r="AV17" s="118"/>
      <c r="AW17" s="118"/>
      <c r="AX17" s="118"/>
      <c r="AY17" s="119"/>
      <c r="AZ17" s="118"/>
      <c r="BA17" s="118"/>
      <c r="BB17" s="118"/>
      <c r="BC17" s="119"/>
      <c r="BD17" s="121"/>
      <c r="BE17" s="121"/>
      <c r="BF17" s="121"/>
      <c r="BG17" s="122"/>
      <c r="BH17" s="118"/>
      <c r="BI17" s="118"/>
      <c r="BJ17" s="118"/>
      <c r="BK17" s="119"/>
      <c r="BL17" s="118"/>
      <c r="BM17" s="118"/>
      <c r="BN17" s="118"/>
      <c r="BO17" s="119"/>
      <c r="BP17" s="118"/>
      <c r="BQ17" s="118"/>
      <c r="BR17" s="118"/>
      <c r="BS17" s="36"/>
      <c r="BT17" s="118"/>
      <c r="BU17" s="118"/>
      <c r="BV17" s="118"/>
      <c r="BW17" s="36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</row>
    <row r="18" spans="1:90" x14ac:dyDescent="0.25">
      <c r="A18" s="9"/>
      <c r="B18" s="9"/>
      <c r="C18" s="1" t="s">
        <v>6</v>
      </c>
      <c r="D18" s="41"/>
      <c r="E18" s="41"/>
      <c r="F18" s="78"/>
      <c r="G18" s="78"/>
      <c r="H18" s="107"/>
      <c r="I18" s="108"/>
      <c r="J18" s="108"/>
      <c r="K18" s="109"/>
      <c r="L18" s="107"/>
      <c r="M18" s="108"/>
      <c r="N18" s="108"/>
      <c r="O18" s="111"/>
      <c r="P18" s="113"/>
      <c r="Q18" s="111"/>
      <c r="R18" s="111"/>
      <c r="S18" s="112"/>
      <c r="T18" s="108"/>
      <c r="U18" s="111"/>
      <c r="V18" s="111"/>
      <c r="W18" s="112"/>
      <c r="X18" s="108"/>
      <c r="Y18" s="111"/>
      <c r="Z18" s="111"/>
      <c r="AA18" s="112"/>
      <c r="AB18" s="108"/>
      <c r="AC18" s="111"/>
      <c r="AD18" s="111"/>
      <c r="AE18" s="112"/>
      <c r="AF18" s="108"/>
      <c r="AG18" s="111"/>
      <c r="AH18" s="111"/>
      <c r="AI18" s="110"/>
      <c r="AJ18" s="108"/>
      <c r="AK18" s="111"/>
      <c r="AL18" s="111"/>
      <c r="AM18" s="110"/>
      <c r="AN18" s="108"/>
      <c r="AO18" s="111"/>
      <c r="AP18" s="111"/>
      <c r="AQ18" s="110"/>
      <c r="AR18" s="111"/>
      <c r="AS18" s="111"/>
      <c r="AT18" s="111"/>
      <c r="AU18" s="110"/>
      <c r="AV18" s="111"/>
      <c r="AW18" s="111"/>
      <c r="AX18" s="111"/>
      <c r="AY18" s="112"/>
      <c r="AZ18" s="111"/>
      <c r="BA18" s="111"/>
      <c r="BB18" s="111"/>
      <c r="BC18" s="112"/>
      <c r="BD18" s="108"/>
      <c r="BE18" s="108"/>
      <c r="BF18" s="108"/>
      <c r="BG18" s="109"/>
      <c r="BH18" s="111"/>
      <c r="BI18" s="111"/>
      <c r="BJ18" s="111"/>
      <c r="BK18" s="112"/>
      <c r="BL18" s="111"/>
      <c r="BM18" s="111"/>
      <c r="BN18" s="111"/>
      <c r="BO18" s="112"/>
      <c r="BP18" s="111"/>
      <c r="BQ18" s="111"/>
      <c r="BR18" s="111"/>
      <c r="BS18" s="26"/>
      <c r="BT18" s="111"/>
      <c r="BU18" s="111"/>
      <c r="BV18" s="111"/>
      <c r="BW18" s="26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</row>
    <row r="19" spans="1:90" x14ac:dyDescent="0.25">
      <c r="A19" s="9"/>
      <c r="B19" s="9"/>
      <c r="C19" s="3" t="s">
        <v>7</v>
      </c>
      <c r="D19" s="3"/>
      <c r="E19" s="43"/>
      <c r="F19" s="20" t="s">
        <v>154</v>
      </c>
      <c r="G19" s="20" t="s">
        <v>204</v>
      </c>
      <c r="H19" s="107">
        <v>64.261814699792964</v>
      </c>
      <c r="I19" s="108">
        <v>48.451399711399709</v>
      </c>
      <c r="J19" s="108">
        <v>55.682447204968945</v>
      </c>
      <c r="K19" s="109">
        <v>41.802698412698412</v>
      </c>
      <c r="L19" s="108">
        <v>33.436450216450218</v>
      </c>
      <c r="M19" s="108">
        <v>34.683167388167391</v>
      </c>
      <c r="N19" s="108">
        <v>45.859403218190401</v>
      </c>
      <c r="O19" s="108">
        <v>51.190541062801934</v>
      </c>
      <c r="P19" s="107">
        <v>90.262124098124104</v>
      </c>
      <c r="Q19" s="108">
        <v>45.042560606060611</v>
      </c>
      <c r="R19" s="108">
        <v>53.595606060606059</v>
      </c>
      <c r="S19" s="108">
        <v>68.111500345065565</v>
      </c>
      <c r="T19" s="107">
        <v>167.26323448773448</v>
      </c>
      <c r="U19" s="108">
        <v>44.322907647907648</v>
      </c>
      <c r="V19" s="108">
        <v>41.34440836940837</v>
      </c>
      <c r="W19" s="109">
        <v>48.108688024408849</v>
      </c>
      <c r="X19" s="107">
        <v>88.852404761904765</v>
      </c>
      <c r="Y19" s="108">
        <v>28.405696969696965</v>
      </c>
      <c r="Z19" s="108">
        <v>42.609185645272596</v>
      </c>
      <c r="AA19" s="109">
        <v>33.076696969696968</v>
      </c>
      <c r="AB19" s="107">
        <v>30.818684265010351</v>
      </c>
      <c r="AC19" s="108">
        <v>28.310930735930736</v>
      </c>
      <c r="AD19" s="108">
        <v>42.546305037957211</v>
      </c>
      <c r="AE19" s="109">
        <v>38.683650793650791</v>
      </c>
      <c r="AF19" s="107">
        <v>33.988750988142293</v>
      </c>
      <c r="AG19" s="108">
        <v>33.052062582345194</v>
      </c>
      <c r="AH19" s="108">
        <v>31.319427191166323</v>
      </c>
      <c r="AI19" s="110">
        <v>53.59228715728716</v>
      </c>
      <c r="AJ19" s="107">
        <v>62.105878787878787</v>
      </c>
      <c r="AK19" s="108">
        <v>35.200129870129871</v>
      </c>
      <c r="AL19" s="108">
        <v>42.777876212269803</v>
      </c>
      <c r="AM19" s="110">
        <v>50.515543478260874</v>
      </c>
      <c r="AN19" s="107">
        <v>45.139128427128433</v>
      </c>
      <c r="AO19" s="108">
        <v>26.265075757575758</v>
      </c>
      <c r="AP19" s="108">
        <v>26.538530303030303</v>
      </c>
      <c r="AQ19" s="110">
        <v>37.906817115251897</v>
      </c>
      <c r="AR19" s="107">
        <v>22.767363636363637</v>
      </c>
      <c r="AS19" s="108">
        <v>20.5855</v>
      </c>
      <c r="AT19" s="108">
        <v>26.245106970324361</v>
      </c>
      <c r="AU19" s="110">
        <v>35.536651515151512</v>
      </c>
      <c r="AV19" s="107">
        <v>54.786072463768114</v>
      </c>
      <c r="AW19" s="108">
        <v>32.200803030303028</v>
      </c>
      <c r="AX19" s="108">
        <v>51.16104617604617</v>
      </c>
      <c r="AY19" s="110">
        <v>63.215341614906833</v>
      </c>
      <c r="AZ19" s="107">
        <v>113.85523498964803</v>
      </c>
      <c r="BA19" s="108">
        <v>72.479617604617602</v>
      </c>
      <c r="BB19" s="108">
        <v>92.74165010351966</v>
      </c>
      <c r="BC19" s="110">
        <v>83.254920634920637</v>
      </c>
      <c r="BD19" s="107">
        <v>47.368714285714283</v>
      </c>
      <c r="BE19" s="108">
        <v>31.953181818181818</v>
      </c>
      <c r="BF19" s="108">
        <v>46.396876811594204</v>
      </c>
      <c r="BG19" s="109">
        <v>36.510706349206352</v>
      </c>
      <c r="BH19" s="107">
        <v>42.869077200577202</v>
      </c>
      <c r="BI19" s="108">
        <v>30.965649122807019</v>
      </c>
      <c r="BJ19" s="108">
        <v>49.134868686868685</v>
      </c>
      <c r="BK19" s="109">
        <v>58.616666666666667</v>
      </c>
      <c r="BL19" s="107">
        <v>98.179999999999993</v>
      </c>
      <c r="BM19" s="108">
        <v>45.713333333333331</v>
      </c>
      <c r="BN19" s="108">
        <v>59.176666666666669</v>
      </c>
      <c r="BO19" s="109">
        <v>68.06</v>
      </c>
      <c r="BP19" s="107">
        <v>112.36166666666668</v>
      </c>
      <c r="BQ19" s="108">
        <v>42.986666666666672</v>
      </c>
      <c r="BR19" s="108">
        <v>58.74</v>
      </c>
      <c r="BS19" s="109">
        <v>64.643333333333331</v>
      </c>
      <c r="BT19" s="107">
        <v>128.64750000000001</v>
      </c>
      <c r="BU19" s="111"/>
      <c r="BV19" s="111"/>
      <c r="BW19" s="26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</row>
    <row r="20" spans="1:90" x14ac:dyDescent="0.25">
      <c r="A20" s="9"/>
      <c r="B20" s="9"/>
      <c r="C20" s="3" t="s">
        <v>8</v>
      </c>
      <c r="D20" s="3"/>
      <c r="E20" s="43"/>
      <c r="F20" s="20" t="s">
        <v>100</v>
      </c>
      <c r="G20" s="129"/>
      <c r="H20" s="107">
        <v>41.980467908902689</v>
      </c>
      <c r="I20" s="108">
        <v>41.576847041847039</v>
      </c>
      <c r="J20" s="108">
        <v>46.669384057971023</v>
      </c>
      <c r="K20" s="109">
        <v>36.74666666666667</v>
      </c>
      <c r="L20" s="108">
        <v>30.723773448773454</v>
      </c>
      <c r="M20" s="108">
        <v>32.439307359307357</v>
      </c>
      <c r="N20" s="108">
        <v>41.355761505212307</v>
      </c>
      <c r="O20" s="108">
        <v>38.472494133885441</v>
      </c>
      <c r="P20" s="107">
        <v>43.285911255411257</v>
      </c>
      <c r="Q20" s="108">
        <v>41.646909090909098</v>
      </c>
      <c r="R20" s="108">
        <v>45.858848484848487</v>
      </c>
      <c r="S20" s="108">
        <v>47.910261214630786</v>
      </c>
      <c r="T20" s="107">
        <v>108.08499422799423</v>
      </c>
      <c r="U20" s="108">
        <v>43.684112554112552</v>
      </c>
      <c r="V20" s="108">
        <v>40.412388167388173</v>
      </c>
      <c r="W20" s="109">
        <v>38.023039664378338</v>
      </c>
      <c r="X20" s="107">
        <v>54.109582251082252</v>
      </c>
      <c r="Y20" s="108">
        <v>35.111696969696972</v>
      </c>
      <c r="Z20" s="108">
        <v>36.689744651483785</v>
      </c>
      <c r="AA20" s="109">
        <v>31.554500000000001</v>
      </c>
      <c r="AB20" s="107">
        <v>25.671248102139412</v>
      </c>
      <c r="AC20" s="108">
        <v>34.141831890331893</v>
      </c>
      <c r="AD20" s="108">
        <v>48.019042443064187</v>
      </c>
      <c r="AE20" s="109">
        <v>30.496482873851292</v>
      </c>
      <c r="AF20" s="107">
        <v>29.667526350461131</v>
      </c>
      <c r="AG20" s="108">
        <v>30.653499999999998</v>
      </c>
      <c r="AH20" s="108">
        <v>36.281249137336097</v>
      </c>
      <c r="AI20" s="110">
        <v>30.404813852813856</v>
      </c>
      <c r="AJ20" s="107">
        <v>39.282909090909094</v>
      </c>
      <c r="AK20" s="108">
        <v>38.294617604617606</v>
      </c>
      <c r="AL20" s="108">
        <v>44.524998365478915</v>
      </c>
      <c r="AM20" s="110">
        <v>37.936888888888888</v>
      </c>
      <c r="AN20" s="107">
        <v>35.267098124098119</v>
      </c>
      <c r="AO20" s="108">
        <v>33.407333333333334</v>
      </c>
      <c r="AP20" s="108">
        <v>34.137363636363638</v>
      </c>
      <c r="AQ20" s="110">
        <v>26.557402691511385</v>
      </c>
      <c r="AR20" s="107">
        <v>18.637530303030303</v>
      </c>
      <c r="AS20" s="108">
        <v>21.947348484848487</v>
      </c>
      <c r="AT20" s="108">
        <v>28.154285714285717</v>
      </c>
      <c r="AU20" s="110">
        <v>20.103060606060605</v>
      </c>
      <c r="AV20" s="107">
        <v>29.21854347826087</v>
      </c>
      <c r="AW20" s="108">
        <v>23.365075757575756</v>
      </c>
      <c r="AX20" s="108">
        <v>53.420360028860024</v>
      </c>
      <c r="AY20" s="110">
        <v>47.745741890959287</v>
      </c>
      <c r="AZ20" s="107">
        <v>75.299747757073845</v>
      </c>
      <c r="BA20" s="108">
        <v>51.240404040404037</v>
      </c>
      <c r="BB20" s="108">
        <v>86.642260524499648</v>
      </c>
      <c r="BC20" s="110">
        <v>50.297907407407401</v>
      </c>
      <c r="BD20" s="107">
        <v>25.528353070175438</v>
      </c>
      <c r="BE20" s="108">
        <v>22.73037037037037</v>
      </c>
      <c r="BF20" s="108">
        <v>36.234925925925928</v>
      </c>
      <c r="BG20" s="109">
        <v>30.04837977296182</v>
      </c>
      <c r="BH20" s="107">
        <v>35.580401493930907</v>
      </c>
      <c r="BI20" s="108">
        <v>31.552528138528135</v>
      </c>
      <c r="BJ20" s="108">
        <v>40.931392045454544</v>
      </c>
      <c r="BK20" s="109"/>
      <c r="BL20" s="107"/>
      <c r="BM20" s="108"/>
      <c r="BN20" s="108"/>
      <c r="BO20" s="109"/>
      <c r="BP20" s="107"/>
      <c r="BQ20" s="108"/>
      <c r="BR20" s="108"/>
      <c r="BS20" s="109"/>
      <c r="BT20" s="107"/>
      <c r="BU20" s="111"/>
      <c r="BV20" s="111"/>
      <c r="BW20" s="26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</row>
    <row r="21" spans="1:90" x14ac:dyDescent="0.25">
      <c r="A21" s="9"/>
      <c r="B21" s="9"/>
      <c r="C21" s="3" t="s">
        <v>9</v>
      </c>
      <c r="D21" s="3"/>
      <c r="E21" s="43"/>
      <c r="F21" s="20" t="s">
        <v>101</v>
      </c>
      <c r="G21" s="20" t="s">
        <v>165</v>
      </c>
      <c r="H21" s="107">
        <v>64.48140303657695</v>
      </c>
      <c r="I21" s="108">
        <v>56.089668109668111</v>
      </c>
      <c r="J21" s="108">
        <v>62.900405797101449</v>
      </c>
      <c r="K21" s="109">
        <v>43.0368253968254</v>
      </c>
      <c r="L21" s="108">
        <v>37.28948051948052</v>
      </c>
      <c r="M21" s="108">
        <v>40.025764790764789</v>
      </c>
      <c r="N21" s="108">
        <v>50.224281355562823</v>
      </c>
      <c r="O21" s="108">
        <v>49.23673636991029</v>
      </c>
      <c r="P21" s="107">
        <v>77.433966810966808</v>
      </c>
      <c r="Q21" s="108">
        <v>49.74404545454545</v>
      </c>
      <c r="R21" s="108">
        <v>54.198681818181818</v>
      </c>
      <c r="S21" s="108">
        <v>54.763788819875778</v>
      </c>
      <c r="T21" s="107">
        <v>159.00977922077922</v>
      </c>
      <c r="U21" s="108">
        <v>48.092409812409812</v>
      </c>
      <c r="V21" s="108">
        <v>42.024531024531029</v>
      </c>
      <c r="W21" s="109">
        <v>43.579272935302676</v>
      </c>
      <c r="X21" s="107">
        <v>85.918012265512274</v>
      </c>
      <c r="Y21" s="108">
        <v>34.137909090909091</v>
      </c>
      <c r="Z21" s="108">
        <v>38.173947550034505</v>
      </c>
      <c r="AA21" s="109">
        <v>28.312515151515154</v>
      </c>
      <c r="AB21" s="107">
        <v>32.586247066942718</v>
      </c>
      <c r="AC21" s="108">
        <v>28.680922799422802</v>
      </c>
      <c r="AD21" s="108">
        <v>39.106844030365771</v>
      </c>
      <c r="AE21" s="109">
        <v>36.104026733500419</v>
      </c>
      <c r="AF21" s="107">
        <v>38.695967720685111</v>
      </c>
      <c r="AG21" s="108">
        <v>34.213312252964421</v>
      </c>
      <c r="AH21" s="108">
        <v>33.235438233264318</v>
      </c>
      <c r="AI21" s="110">
        <v>39.014849206349204</v>
      </c>
      <c r="AJ21" s="107">
        <v>51.520893939393943</v>
      </c>
      <c r="AK21" s="108">
        <v>34.242085137085134</v>
      </c>
      <c r="AL21" s="108">
        <v>41.862603247248558</v>
      </c>
      <c r="AM21" s="110">
        <v>41.948980331262938</v>
      </c>
      <c r="AN21" s="107">
        <v>41.769322510822512</v>
      </c>
      <c r="AO21" s="108">
        <v>25.675212121212123</v>
      </c>
      <c r="AP21" s="108">
        <v>27.757590909090908</v>
      </c>
      <c r="AQ21" s="110">
        <v>27.041592477570742</v>
      </c>
      <c r="AR21" s="107">
        <v>21.821515151515154</v>
      </c>
      <c r="AS21" s="108">
        <v>18.12709090909091</v>
      </c>
      <c r="AT21" s="108">
        <v>24.384120082815738</v>
      </c>
      <c r="AU21" s="110">
        <v>27.048060606060606</v>
      </c>
      <c r="AV21" s="107">
        <v>44.74026811594203</v>
      </c>
      <c r="AW21" s="108">
        <v>31.852136363636365</v>
      </c>
      <c r="AX21" s="108">
        <v>50.330430014430021</v>
      </c>
      <c r="AY21" s="110">
        <v>57.53588681849552</v>
      </c>
      <c r="AZ21" s="107">
        <v>100.09894478951001</v>
      </c>
      <c r="BA21" s="108">
        <v>79.721219336219335</v>
      </c>
      <c r="BB21" s="108">
        <v>104.70613354037268</v>
      </c>
      <c r="BC21" s="110">
        <v>78.342851851851847</v>
      </c>
      <c r="BD21" s="107">
        <v>41.14305921052631</v>
      </c>
      <c r="BE21" s="108">
        <v>31.491984126984125</v>
      </c>
      <c r="BF21" s="108">
        <v>40.641259259259265</v>
      </c>
      <c r="BG21" s="109">
        <v>36.158452012383897</v>
      </c>
      <c r="BH21" s="107">
        <v>44.22421101774043</v>
      </c>
      <c r="BI21" s="108">
        <v>33.801184704184699</v>
      </c>
      <c r="BJ21" s="108">
        <v>43.096344696969702</v>
      </c>
      <c r="BK21" s="109">
        <v>46.833333333333336</v>
      </c>
      <c r="BL21" s="107">
        <v>78.429999999999993</v>
      </c>
      <c r="BM21" s="108">
        <v>42.93</v>
      </c>
      <c r="BN21" s="108">
        <v>55.870000000000005</v>
      </c>
      <c r="BO21" s="109">
        <v>55.643333333333338</v>
      </c>
      <c r="BP21" s="107">
        <v>83.22</v>
      </c>
      <c r="BQ21" s="108">
        <v>42.836666666666666</v>
      </c>
      <c r="BR21" s="108">
        <v>59.606666666666662</v>
      </c>
      <c r="BS21" s="109">
        <v>60.16</v>
      </c>
      <c r="BT21" s="107">
        <v>104.64</v>
      </c>
      <c r="BU21" s="111"/>
      <c r="BV21" s="111"/>
      <c r="BW21" s="26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</row>
    <row r="22" spans="1:90" x14ac:dyDescent="0.25">
      <c r="A22" s="9"/>
      <c r="B22" s="9"/>
      <c r="C22" s="3" t="s">
        <v>10</v>
      </c>
      <c r="D22" s="3"/>
      <c r="E22" s="43"/>
      <c r="F22" s="20" t="s">
        <v>102</v>
      </c>
      <c r="G22" s="20" t="s">
        <v>166</v>
      </c>
      <c r="H22" s="107">
        <v>73.556140096618364</v>
      </c>
      <c r="I22" s="108">
        <v>64.667085137085138</v>
      </c>
      <c r="J22" s="108">
        <v>67.94935955831609</v>
      </c>
      <c r="K22" s="109">
        <v>46.534761904761901</v>
      </c>
      <c r="L22" s="108">
        <v>41.882720057720057</v>
      </c>
      <c r="M22" s="108">
        <v>41.838953823953823</v>
      </c>
      <c r="N22" s="108">
        <v>53.598488249609524</v>
      </c>
      <c r="O22" s="108">
        <v>50.661049689440993</v>
      </c>
      <c r="P22" s="107">
        <v>84.797114718614708</v>
      </c>
      <c r="Q22" s="108">
        <v>52.982681818181817</v>
      </c>
      <c r="R22" s="108">
        <v>58.230545454545457</v>
      </c>
      <c r="S22" s="108">
        <v>55.131759489302965</v>
      </c>
      <c r="T22" s="107">
        <v>164.37607503607504</v>
      </c>
      <c r="U22" s="108">
        <v>49.636334776334785</v>
      </c>
      <c r="V22" s="108">
        <v>42.759487734487742</v>
      </c>
      <c r="W22" s="109">
        <v>44.013627002288331</v>
      </c>
      <c r="X22" s="107">
        <v>87.407331168831163</v>
      </c>
      <c r="Y22" s="108">
        <v>35.584196969696968</v>
      </c>
      <c r="Z22" s="108">
        <v>40.172988267770876</v>
      </c>
      <c r="AA22" s="109">
        <v>29.109848484848484</v>
      </c>
      <c r="AB22" s="107">
        <v>33.510411663216011</v>
      </c>
      <c r="AC22" s="108">
        <v>30.481922077922079</v>
      </c>
      <c r="AD22" s="108">
        <v>41.280381297446517</v>
      </c>
      <c r="AE22" s="109">
        <v>37.347777777777772</v>
      </c>
      <c r="AF22" s="107">
        <v>39.614621212121214</v>
      </c>
      <c r="AG22" s="108">
        <v>38.564620553359681</v>
      </c>
      <c r="AH22" s="108">
        <v>37.027860593512763</v>
      </c>
      <c r="AI22" s="110">
        <v>41.110870851370855</v>
      </c>
      <c r="AJ22" s="107">
        <v>61.968030303030311</v>
      </c>
      <c r="AK22" s="108">
        <v>36.411731601731596</v>
      </c>
      <c r="AL22" s="108">
        <v>46.819680723548004</v>
      </c>
      <c r="AM22" s="110">
        <v>43.554357487922708</v>
      </c>
      <c r="AN22" s="107">
        <v>45.156696248196248</v>
      </c>
      <c r="AO22" s="108">
        <v>29.522515151515151</v>
      </c>
      <c r="AP22" s="108">
        <v>31.131</v>
      </c>
      <c r="AQ22" s="110">
        <v>29.108209799861971</v>
      </c>
      <c r="AR22" s="107">
        <v>23.827075757575756</v>
      </c>
      <c r="AS22" s="108">
        <v>19.00539393939394</v>
      </c>
      <c r="AT22" s="108">
        <v>27.317177363699102</v>
      </c>
      <c r="AU22" s="110">
        <v>28.064727272727271</v>
      </c>
      <c r="AV22" s="107">
        <v>47.706318840579712</v>
      </c>
      <c r="AW22" s="108">
        <v>32.653666666666673</v>
      </c>
      <c r="AX22" s="108">
        <v>54.727503607503614</v>
      </c>
      <c r="AY22" s="110">
        <v>59.742104899930986</v>
      </c>
      <c r="AZ22" s="107">
        <v>104.26352795031056</v>
      </c>
      <c r="BA22" s="108">
        <v>81.323484848484853</v>
      </c>
      <c r="BB22" s="108">
        <v>109.42810282953762</v>
      </c>
      <c r="BC22" s="110">
        <v>80.573870370370372</v>
      </c>
      <c r="BD22" s="107">
        <v>41.633263157894739</v>
      </c>
      <c r="BE22" s="108">
        <v>32.185793650793649</v>
      </c>
      <c r="BF22" s="108">
        <v>42.12811111111111</v>
      </c>
      <c r="BG22" s="109">
        <v>37.348132094943239</v>
      </c>
      <c r="BH22" s="107">
        <v>49.230323685029568</v>
      </c>
      <c r="BI22" s="108">
        <v>35.921354256854258</v>
      </c>
      <c r="BJ22" s="108">
        <v>44.654507575757577</v>
      </c>
      <c r="BK22" s="109">
        <v>49.800000000000004</v>
      </c>
      <c r="BL22" s="107">
        <v>83.463333333333324</v>
      </c>
      <c r="BM22" s="108">
        <v>45.086666666666666</v>
      </c>
      <c r="BN22" s="108">
        <v>61.72</v>
      </c>
      <c r="BO22" s="109">
        <v>60.776666666666664</v>
      </c>
      <c r="BP22" s="107">
        <v>99.094999999999985</v>
      </c>
      <c r="BQ22" s="108">
        <v>46.653333333333336</v>
      </c>
      <c r="BR22" s="108">
        <v>64.723333333333329</v>
      </c>
      <c r="BS22" s="109">
        <v>62.785000000000004</v>
      </c>
      <c r="BT22" s="107">
        <v>122.4425</v>
      </c>
      <c r="BU22" s="111"/>
      <c r="BV22" s="111"/>
      <c r="BW22" s="26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</row>
    <row r="23" spans="1:90" x14ac:dyDescent="0.25">
      <c r="A23" s="9"/>
      <c r="B23" s="9"/>
      <c r="C23" s="3" t="s">
        <v>11</v>
      </c>
      <c r="D23" s="3"/>
      <c r="F23" s="20" t="s">
        <v>79</v>
      </c>
      <c r="G23" s="20" t="s">
        <v>167</v>
      </c>
      <c r="H23" s="107">
        <v>51.27090372670807</v>
      </c>
      <c r="I23" s="108">
        <v>56.439653679653681</v>
      </c>
      <c r="J23" s="108">
        <v>58.105723257418909</v>
      </c>
      <c r="K23" s="109">
        <v>39.969365079365076</v>
      </c>
      <c r="L23" s="108">
        <v>34.78308802308802</v>
      </c>
      <c r="M23" s="108">
        <v>38.892777777777773</v>
      </c>
      <c r="N23" s="108">
        <v>45.374590824888308</v>
      </c>
      <c r="O23" s="108">
        <v>40.347825741890965</v>
      </c>
      <c r="P23" s="107">
        <v>41.670032467532472</v>
      </c>
      <c r="Q23" s="108">
        <v>46.203499999999998</v>
      </c>
      <c r="R23" s="108">
        <v>49.806939393939388</v>
      </c>
      <c r="S23" s="108">
        <v>42.919132160110422</v>
      </c>
      <c r="T23" s="107">
        <v>114.74184848484849</v>
      </c>
      <c r="U23" s="108">
        <v>50.709199134199139</v>
      </c>
      <c r="V23" s="108">
        <v>43.177561327561328</v>
      </c>
      <c r="W23" s="109">
        <v>42.197912766104984</v>
      </c>
      <c r="X23" s="107">
        <v>60.227598845598841</v>
      </c>
      <c r="Y23" s="108">
        <v>40.458393939393943</v>
      </c>
      <c r="Z23" s="108">
        <v>39.136404416839206</v>
      </c>
      <c r="AA23" s="109">
        <v>33.018803030303033</v>
      </c>
      <c r="AB23" s="107">
        <v>31.494762249827463</v>
      </c>
      <c r="AC23" s="108">
        <v>32.066955266955269</v>
      </c>
      <c r="AD23" s="108">
        <v>40.74319875776397</v>
      </c>
      <c r="AE23" s="109">
        <v>34.308095238095241</v>
      </c>
      <c r="AF23" s="107">
        <v>32.455206851119897</v>
      </c>
      <c r="AG23" s="108">
        <v>33.088938076416333</v>
      </c>
      <c r="AH23" s="108">
        <v>34.819861973775012</v>
      </c>
      <c r="AI23" s="110">
        <v>36.268412698412696</v>
      </c>
      <c r="AJ23" s="107">
        <v>47.433984848484847</v>
      </c>
      <c r="AK23" s="108">
        <v>39.731782106782106</v>
      </c>
      <c r="AL23" s="108">
        <v>40.059399585921327</v>
      </c>
      <c r="AM23" s="110">
        <v>39.402772946859905</v>
      </c>
      <c r="AN23" s="107">
        <v>33.790931457431455</v>
      </c>
      <c r="AO23" s="108">
        <v>28.541227272727269</v>
      </c>
      <c r="AP23" s="108">
        <v>31.143575757575757</v>
      </c>
      <c r="AQ23" s="110">
        <v>29.892982746721874</v>
      </c>
      <c r="AR23" s="107">
        <v>22.47369696969697</v>
      </c>
      <c r="AS23" s="108">
        <v>20.791257575757577</v>
      </c>
      <c r="AT23" s="108">
        <v>28.243802622498276</v>
      </c>
      <c r="AU23" s="110">
        <v>26.435606060606062</v>
      </c>
      <c r="AV23" s="107">
        <v>35.087623188405793</v>
      </c>
      <c r="AW23" s="108">
        <v>33.709833333333336</v>
      </c>
      <c r="AX23" s="108">
        <v>51.324776334776338</v>
      </c>
      <c r="AY23" s="110">
        <v>62.574623878536926</v>
      </c>
      <c r="AZ23" s="107">
        <v>58.327188405797102</v>
      </c>
      <c r="BA23" s="108">
        <v>92.998672438672429</v>
      </c>
      <c r="BB23" s="108">
        <v>110.99512870945479</v>
      </c>
      <c r="BC23" s="110">
        <v>71.602380952380955</v>
      </c>
      <c r="BD23" s="107">
        <v>36.491502760524497</v>
      </c>
      <c r="BE23" s="108">
        <v>35.406727272727274</v>
      </c>
      <c r="BF23" s="108">
        <v>43.272579710144925</v>
      </c>
      <c r="BG23" s="109">
        <v>42.17084704184704</v>
      </c>
      <c r="BH23" s="107">
        <v>35.756594516594511</v>
      </c>
      <c r="BI23" s="108">
        <v>37.93309941520468</v>
      </c>
      <c r="BJ23" s="108">
        <v>49.105397727272724</v>
      </c>
      <c r="BK23" s="109">
        <v>44.316666666666663</v>
      </c>
      <c r="BL23" s="107">
        <v>56.663333333333334</v>
      </c>
      <c r="BM23" s="108">
        <v>46.813333333333333</v>
      </c>
      <c r="BN23" s="108">
        <v>60.553333333333335</v>
      </c>
      <c r="BO23" s="109">
        <v>50.800000000000004</v>
      </c>
      <c r="BP23" s="107">
        <v>63.086666666666666</v>
      </c>
      <c r="BQ23" s="108">
        <v>48.666666666666664</v>
      </c>
      <c r="BR23" s="108">
        <v>65.56</v>
      </c>
      <c r="BS23" s="109">
        <v>52.879999999999995</v>
      </c>
      <c r="BT23" s="107">
        <v>72.702500000000001</v>
      </c>
      <c r="BU23" s="111"/>
      <c r="BV23" s="111"/>
      <c r="BW23" s="26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</row>
    <row r="24" spans="1:90" x14ac:dyDescent="0.25">
      <c r="A24" s="9"/>
      <c r="B24" s="9"/>
      <c r="C24" s="3" t="s">
        <v>12</v>
      </c>
      <c r="D24" s="3"/>
      <c r="E24" s="43"/>
      <c r="F24" s="20" t="s">
        <v>80</v>
      </c>
      <c r="G24" s="20" t="s">
        <v>220</v>
      </c>
      <c r="H24" s="107">
        <v>60.038860593512766</v>
      </c>
      <c r="I24" s="108">
        <v>61.076428571428572</v>
      </c>
      <c r="J24" s="108">
        <v>68.60598792270531</v>
      </c>
      <c r="K24" s="109">
        <v>42.19</v>
      </c>
      <c r="L24" s="108">
        <v>38.409927849927847</v>
      </c>
      <c r="M24" s="108">
        <v>38.276053391053388</v>
      </c>
      <c r="N24" s="108">
        <v>52.984506556245684</v>
      </c>
      <c r="O24" s="108">
        <v>44.961078674948233</v>
      </c>
      <c r="P24" s="107">
        <v>42.943458152958158</v>
      </c>
      <c r="Q24" s="108">
        <v>48.497484848484845</v>
      </c>
      <c r="R24" s="108">
        <v>56.063818181818185</v>
      </c>
      <c r="S24" s="108">
        <v>44.350704968944093</v>
      </c>
      <c r="T24" s="107">
        <v>138.28597763347764</v>
      </c>
      <c r="U24" s="108">
        <v>54.009357864357867</v>
      </c>
      <c r="V24" s="108">
        <v>47.299444444444447</v>
      </c>
      <c r="W24" s="109">
        <v>51.029115872685672</v>
      </c>
      <c r="X24" s="107">
        <v>75.413528860028862</v>
      </c>
      <c r="Y24" s="108">
        <v>40.366500000000002</v>
      </c>
      <c r="Z24" s="108">
        <v>39.09053830227743</v>
      </c>
      <c r="AA24" s="109">
        <v>32.495030303030298</v>
      </c>
      <c r="AB24" s="107">
        <v>33.267191856452726</v>
      </c>
      <c r="AC24" s="108">
        <v>28.69549062049062</v>
      </c>
      <c r="AD24" s="108">
        <v>44.272330917874399</v>
      </c>
      <c r="AE24" s="109">
        <v>30.098253968253971</v>
      </c>
      <c r="AF24" s="107">
        <v>34.495299077733861</v>
      </c>
      <c r="AG24" s="108">
        <v>32.731915678524373</v>
      </c>
      <c r="AH24" s="108">
        <v>33.80177363699103</v>
      </c>
      <c r="AI24" s="110">
        <v>38.346428571428568</v>
      </c>
      <c r="AJ24" s="107">
        <v>50.604560606060609</v>
      </c>
      <c r="AK24" s="108">
        <v>35.204357864357867</v>
      </c>
      <c r="AL24" s="108">
        <v>43.61328756674294</v>
      </c>
      <c r="AM24" s="110">
        <v>45.325698412698408</v>
      </c>
      <c r="AN24" s="107">
        <v>33.259286435786436</v>
      </c>
      <c r="AO24" s="108">
        <v>25.786363636363635</v>
      </c>
      <c r="AP24" s="108">
        <v>31.10201515151515</v>
      </c>
      <c r="AQ24" s="110">
        <v>25.176485162180814</v>
      </c>
      <c r="AR24" s="107">
        <v>20.234681818181816</v>
      </c>
      <c r="AS24" s="108">
        <v>18.02240909090909</v>
      </c>
      <c r="AT24" s="108">
        <v>26.865845410628015</v>
      </c>
      <c r="AU24" s="110">
        <v>24.419075757575758</v>
      </c>
      <c r="AV24" s="107">
        <v>36.663985507246373</v>
      </c>
      <c r="AW24" s="108">
        <v>28.912606060606063</v>
      </c>
      <c r="AX24" s="108">
        <v>48.283932178932183</v>
      </c>
      <c r="AY24" s="110">
        <v>51.524962042788125</v>
      </c>
      <c r="AZ24" s="107">
        <v>56.801347826086953</v>
      </c>
      <c r="BA24" s="108">
        <v>67.66518037518037</v>
      </c>
      <c r="BB24" s="108">
        <v>106.67130676328502</v>
      </c>
      <c r="BC24" s="110">
        <v>66.262380952380951</v>
      </c>
      <c r="BD24" s="107">
        <v>31.476942374051067</v>
      </c>
      <c r="BE24" s="108">
        <v>23.077818181818184</v>
      </c>
      <c r="BF24" s="108">
        <v>44.252884057971016</v>
      </c>
      <c r="BG24" s="109">
        <v>31.776874458874456</v>
      </c>
      <c r="BH24" s="107">
        <v>30.818838383838383</v>
      </c>
      <c r="BI24" s="108">
        <v>30.048579782790309</v>
      </c>
      <c r="BJ24" s="108">
        <v>54.4665340909091</v>
      </c>
      <c r="BK24" s="109">
        <v>44.266666666666673</v>
      </c>
      <c r="BL24" s="107">
        <v>61.529999999999994</v>
      </c>
      <c r="BM24" s="108">
        <v>45.27</v>
      </c>
      <c r="BN24" s="108">
        <v>62.086666666666666</v>
      </c>
      <c r="BO24" s="109">
        <v>49.839999999999996</v>
      </c>
      <c r="BP24" s="107">
        <v>67.22</v>
      </c>
      <c r="BQ24" s="108">
        <v>48.373333333333335</v>
      </c>
      <c r="BR24" s="108">
        <v>65.623333333333335</v>
      </c>
      <c r="BS24" s="109">
        <v>53.07</v>
      </c>
      <c r="BT24" s="107">
        <v>78.042500000000004</v>
      </c>
      <c r="BU24" s="111"/>
      <c r="BV24" s="111"/>
      <c r="BW24" s="26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</row>
    <row r="25" spans="1:90" x14ac:dyDescent="0.25">
      <c r="A25" s="9"/>
      <c r="B25" s="44"/>
      <c r="C25" s="3" t="s">
        <v>13</v>
      </c>
      <c r="D25" s="3"/>
      <c r="E25" s="43"/>
      <c r="F25" s="20" t="s">
        <v>155</v>
      </c>
      <c r="G25" s="20" t="s">
        <v>197</v>
      </c>
      <c r="H25" s="107">
        <v>41.477703933747414</v>
      </c>
      <c r="I25" s="108">
        <v>51.111334776334779</v>
      </c>
      <c r="J25" s="108">
        <v>50.570670462387852</v>
      </c>
      <c r="K25" s="109">
        <v>37.411269841269842</v>
      </c>
      <c r="L25" s="108">
        <v>32.13608225108225</v>
      </c>
      <c r="M25" s="108">
        <v>34.642936507936504</v>
      </c>
      <c r="N25" s="108">
        <v>44.680429697431983</v>
      </c>
      <c r="O25" s="108">
        <v>37.916310904071771</v>
      </c>
      <c r="P25" s="107">
        <v>37.994575757575753</v>
      </c>
      <c r="Q25" s="108">
        <v>41.748030303030298</v>
      </c>
      <c r="R25" s="108">
        <v>41.622787878787875</v>
      </c>
      <c r="S25" s="108">
        <v>35.971644237405108</v>
      </c>
      <c r="T25" s="107">
        <v>78.824140692640697</v>
      </c>
      <c r="U25" s="108">
        <v>50.581370851370849</v>
      </c>
      <c r="V25" s="108">
        <v>38.233787878787872</v>
      </c>
      <c r="W25" s="109">
        <v>39.960312391651065</v>
      </c>
      <c r="X25" s="107">
        <v>43.021378787878781</v>
      </c>
      <c r="Y25" s="108">
        <v>36.749893939393935</v>
      </c>
      <c r="Z25" s="108">
        <v>35.821697722567286</v>
      </c>
      <c r="AA25" s="109">
        <v>30.850651515151515</v>
      </c>
      <c r="AB25" s="107">
        <v>27.572697722567288</v>
      </c>
      <c r="AC25" s="108">
        <v>31.32154401154401</v>
      </c>
      <c r="AD25" s="108">
        <v>37.669118357487925</v>
      </c>
      <c r="AE25" s="109">
        <v>32.359158730158732</v>
      </c>
      <c r="AF25" s="107">
        <v>30.837390645586297</v>
      </c>
      <c r="AG25" s="108">
        <v>32.80940447957839</v>
      </c>
      <c r="AH25" s="108">
        <v>36.507957211870256</v>
      </c>
      <c r="AI25" s="110">
        <v>31.797301587301586</v>
      </c>
      <c r="AJ25" s="107">
        <v>39.17881818181818</v>
      </c>
      <c r="AK25" s="108">
        <v>41.729451659451662</v>
      </c>
      <c r="AL25" s="108">
        <v>39.543889070502338</v>
      </c>
      <c r="AM25" s="110">
        <v>38.225219461697726</v>
      </c>
      <c r="AN25" s="107">
        <v>31.360538961038959</v>
      </c>
      <c r="AO25" s="108">
        <v>27.771484848484846</v>
      </c>
      <c r="AP25" s="108">
        <v>33.598060606060606</v>
      </c>
      <c r="AQ25" s="110">
        <v>30.86594237405107</v>
      </c>
      <c r="AR25" s="107">
        <v>22.04157575757576</v>
      </c>
      <c r="AS25" s="108">
        <v>22.022848484848485</v>
      </c>
      <c r="AT25" s="108">
        <v>28.668129744651484</v>
      </c>
      <c r="AU25" s="110">
        <v>26.331515151515152</v>
      </c>
      <c r="AV25" s="107">
        <v>34.913014492753625</v>
      </c>
      <c r="AW25" s="108">
        <v>35.846378787878791</v>
      </c>
      <c r="AX25" s="108">
        <v>50.685129870129877</v>
      </c>
      <c r="AY25" s="110">
        <v>60.238046928916496</v>
      </c>
      <c r="AZ25" s="107">
        <v>47.255189786059354</v>
      </c>
      <c r="BA25" s="108">
        <v>97.48339105339106</v>
      </c>
      <c r="BB25" s="108">
        <v>102.72623119392684</v>
      </c>
      <c r="BC25" s="110">
        <v>77.582595238095237</v>
      </c>
      <c r="BD25" s="107">
        <v>32.010147342995168</v>
      </c>
      <c r="BE25" s="108">
        <v>33.18275757575757</v>
      </c>
      <c r="BF25" s="108">
        <v>37.904289855072463</v>
      </c>
      <c r="BG25" s="109">
        <v>35.394136363636363</v>
      </c>
      <c r="BH25" s="107">
        <v>31.18077200577201</v>
      </c>
      <c r="BI25" s="108">
        <v>36.079448621553887</v>
      </c>
      <c r="BJ25" s="108">
        <v>40.072535353535358</v>
      </c>
      <c r="BK25" s="109">
        <v>41.64</v>
      </c>
      <c r="BL25" s="107">
        <v>51.07</v>
      </c>
      <c r="BM25" s="108">
        <v>44.49</v>
      </c>
      <c r="BN25" s="108">
        <v>58.610000000000007</v>
      </c>
      <c r="BO25" s="109">
        <v>45.983333333333327</v>
      </c>
      <c r="BP25" s="107">
        <v>54.603333333333332</v>
      </c>
      <c r="BQ25" s="108">
        <v>45.23</v>
      </c>
      <c r="BR25" s="108">
        <v>61.49</v>
      </c>
      <c r="BS25" s="109">
        <v>48.673333333333339</v>
      </c>
      <c r="BT25" s="107">
        <v>62.424999999999997</v>
      </c>
      <c r="BU25" s="111"/>
      <c r="BV25" s="111"/>
      <c r="BW25" s="26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</row>
    <row r="26" spans="1:90" x14ac:dyDescent="0.25">
      <c r="A26" s="9"/>
      <c r="B26" s="9"/>
      <c r="C26" s="3" t="s">
        <v>14</v>
      </c>
      <c r="D26" s="3"/>
      <c r="E26" s="43"/>
      <c r="F26" s="20" t="s">
        <v>156</v>
      </c>
      <c r="G26" s="129"/>
      <c r="H26" s="107">
        <v>41.516337129054527</v>
      </c>
      <c r="I26" s="108">
        <v>51.003665223665223</v>
      </c>
      <c r="J26" s="108">
        <v>50.528297101449276</v>
      </c>
      <c r="K26" s="109">
        <v>37.525238095238102</v>
      </c>
      <c r="L26" s="108">
        <v>32.203585858585861</v>
      </c>
      <c r="M26" s="108">
        <v>34.758917748917746</v>
      </c>
      <c r="N26" s="108">
        <v>44.979153681304716</v>
      </c>
      <c r="O26" s="108">
        <v>38.03149206349206</v>
      </c>
      <c r="P26" s="107">
        <v>37.709235930735929</v>
      </c>
      <c r="Q26" s="108">
        <v>41.92671212121212</v>
      </c>
      <c r="R26" s="108">
        <v>41.777878787878791</v>
      </c>
      <c r="S26" s="108">
        <v>36.056928571428564</v>
      </c>
      <c r="T26" s="107">
        <v>78.780328282828279</v>
      </c>
      <c r="U26" s="108">
        <v>50.701883116883117</v>
      </c>
      <c r="V26" s="108">
        <v>38.223997113997115</v>
      </c>
      <c r="W26" s="109">
        <v>39.031110186533532</v>
      </c>
      <c r="X26" s="107">
        <v>42.912969696969697</v>
      </c>
      <c r="Y26" s="108">
        <v>35.534318181818186</v>
      </c>
      <c r="Z26" s="108">
        <v>35.173816425120776</v>
      </c>
      <c r="AA26" s="109">
        <v>30.812878787878788</v>
      </c>
      <c r="AB26" s="107">
        <v>27.35601207729469</v>
      </c>
      <c r="AC26" s="108">
        <v>31.579184704184701</v>
      </c>
      <c r="AD26" s="108">
        <v>38.289080745341614</v>
      </c>
      <c r="AE26" s="109">
        <v>32.371603174603173</v>
      </c>
      <c r="AF26" s="107">
        <v>30.923540184453227</v>
      </c>
      <c r="AG26" s="108">
        <v>32.981293807641634</v>
      </c>
      <c r="AH26" s="108">
        <v>36.775514147688064</v>
      </c>
      <c r="AI26" s="110">
        <v>31.728571428571428</v>
      </c>
      <c r="AJ26" s="107">
        <v>38.090348484848484</v>
      </c>
      <c r="AK26" s="108">
        <v>42.093210678210674</v>
      </c>
      <c r="AL26" s="108">
        <v>39.559142058043655</v>
      </c>
      <c r="AM26" s="110">
        <v>38.561378881987572</v>
      </c>
      <c r="AN26" s="107">
        <v>31.418778499278499</v>
      </c>
      <c r="AO26" s="108">
        <v>27.869136363636368</v>
      </c>
      <c r="AP26" s="108">
        <v>33.960454545454546</v>
      </c>
      <c r="AQ26" s="110">
        <v>31.059381642512079</v>
      </c>
      <c r="AR26" s="107">
        <v>22.083484848484847</v>
      </c>
      <c r="AS26" s="108">
        <v>22.041227272727273</v>
      </c>
      <c r="AT26" s="108">
        <v>29.028005521049</v>
      </c>
      <c r="AU26" s="110">
        <v>26.365469696969697</v>
      </c>
      <c r="AV26" s="107">
        <v>35.314586956521737</v>
      </c>
      <c r="AW26" s="108">
        <v>36.364303030303027</v>
      </c>
      <c r="AX26" s="108">
        <v>50.87348484848485</v>
      </c>
      <c r="AY26" s="110">
        <v>59.594313319530706</v>
      </c>
      <c r="AZ26" s="107">
        <v>47.194444789510008</v>
      </c>
      <c r="BA26" s="108">
        <v>97.687164502164492</v>
      </c>
      <c r="BB26" s="108">
        <v>102.836099378882</v>
      </c>
      <c r="BC26" s="110">
        <v>77.191571428571422</v>
      </c>
      <c r="BD26" s="107">
        <v>31.936837129054524</v>
      </c>
      <c r="BE26" s="108">
        <v>33.121454545454547</v>
      </c>
      <c r="BF26" s="108">
        <v>38.017985507246379</v>
      </c>
      <c r="BG26" s="109">
        <v>35.225163059163059</v>
      </c>
      <c r="BH26" s="107">
        <v>31.263795093795096</v>
      </c>
      <c r="BI26" s="108">
        <v>35.992430659983292</v>
      </c>
      <c r="BJ26" s="108">
        <v>41.375439393939395</v>
      </c>
      <c r="BK26" s="109"/>
      <c r="BL26" s="107"/>
      <c r="BM26" s="108"/>
      <c r="BN26" s="108"/>
      <c r="BO26" s="109"/>
      <c r="BP26" s="107"/>
      <c r="BQ26" s="108"/>
      <c r="BR26" s="108"/>
      <c r="BS26" s="109"/>
      <c r="BT26" s="107"/>
      <c r="BU26" s="111"/>
      <c r="BV26" s="111"/>
      <c r="BW26" s="26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</row>
    <row r="27" spans="1:90" x14ac:dyDescent="0.25">
      <c r="A27" s="9"/>
      <c r="B27" s="9"/>
      <c r="C27" s="3" t="s">
        <v>15</v>
      </c>
      <c r="D27" s="3"/>
      <c r="E27" s="43"/>
      <c r="F27" s="20" t="s">
        <v>81</v>
      </c>
      <c r="G27" s="20" t="s">
        <v>221</v>
      </c>
      <c r="H27" s="107">
        <v>39.149719116632156</v>
      </c>
      <c r="I27" s="108">
        <v>44.289992784992783</v>
      </c>
      <c r="J27" s="108">
        <v>48.257132850241554</v>
      </c>
      <c r="K27" s="109">
        <v>33.157301587301589</v>
      </c>
      <c r="L27" s="108">
        <v>29.963383838383837</v>
      </c>
      <c r="M27" s="108">
        <v>31.673809523809524</v>
      </c>
      <c r="N27" s="108">
        <v>40.457831172133233</v>
      </c>
      <c r="O27" s="108">
        <v>33.73277536231884</v>
      </c>
      <c r="P27" s="107">
        <v>34.836639971139967</v>
      </c>
      <c r="Q27" s="108">
        <v>39.918954545454547</v>
      </c>
      <c r="R27" s="108">
        <v>43.037636363636359</v>
      </c>
      <c r="S27" s="108">
        <v>35.486336438923395</v>
      </c>
      <c r="T27" s="107">
        <v>81.242036075036083</v>
      </c>
      <c r="U27" s="108">
        <v>46.02251803751804</v>
      </c>
      <c r="V27" s="108">
        <v>37.579292929292933</v>
      </c>
      <c r="W27" s="109">
        <v>37.544140836280427</v>
      </c>
      <c r="X27" s="107">
        <v>40.826035353535353</v>
      </c>
      <c r="Y27" s="108">
        <v>31.46827272727273</v>
      </c>
      <c r="Z27" s="108">
        <v>34.027646652864043</v>
      </c>
      <c r="AA27" s="109">
        <v>29.597893939393941</v>
      </c>
      <c r="AB27" s="107">
        <v>27.347407522429261</v>
      </c>
      <c r="AC27" s="108">
        <v>28.873650793650793</v>
      </c>
      <c r="AD27" s="108">
        <v>38.4082325741891</v>
      </c>
      <c r="AE27" s="109">
        <v>33.278888888888893</v>
      </c>
      <c r="AF27" s="107">
        <v>30.218631093544136</v>
      </c>
      <c r="AG27" s="108">
        <v>33.040204874835311</v>
      </c>
      <c r="AH27" s="108">
        <v>33.738778467908901</v>
      </c>
      <c r="AI27" s="110">
        <v>31.411666666666665</v>
      </c>
      <c r="AJ27" s="107">
        <v>33.006333333333338</v>
      </c>
      <c r="AK27" s="108">
        <v>31.761998556998559</v>
      </c>
      <c r="AL27" s="108">
        <v>37.068036032109255</v>
      </c>
      <c r="AM27" s="110">
        <v>35.916752933057282</v>
      </c>
      <c r="AN27" s="107">
        <v>29.855972582972583</v>
      </c>
      <c r="AO27" s="108">
        <v>26.692166666666665</v>
      </c>
      <c r="AP27" s="108">
        <v>29.7195</v>
      </c>
      <c r="AQ27" s="110">
        <v>26.290545893719809</v>
      </c>
      <c r="AR27" s="107">
        <v>21.225636363636365</v>
      </c>
      <c r="AS27" s="108">
        <v>19.248469696969696</v>
      </c>
      <c r="AT27" s="108">
        <v>25.72711525189786</v>
      </c>
      <c r="AU27" s="110">
        <v>23.487863636363638</v>
      </c>
      <c r="AV27" s="107">
        <v>33.439934782608695</v>
      </c>
      <c r="AW27" s="108">
        <v>32.027560606060604</v>
      </c>
      <c r="AX27" s="108">
        <v>48.150252525252519</v>
      </c>
      <c r="AY27" s="110">
        <v>51.339178743961348</v>
      </c>
      <c r="AZ27" s="107">
        <v>44.504634230503797</v>
      </c>
      <c r="BA27" s="108">
        <v>84.620129870129873</v>
      </c>
      <c r="BB27" s="108">
        <v>100.40994271911664</v>
      </c>
      <c r="BC27" s="110">
        <v>56.758095238095244</v>
      </c>
      <c r="BD27" s="107">
        <v>29.667887853692203</v>
      </c>
      <c r="BE27" s="108">
        <v>29.926060606060606</v>
      </c>
      <c r="BF27" s="108">
        <v>39.517246376811592</v>
      </c>
      <c r="BG27" s="109">
        <v>31.641214285714284</v>
      </c>
      <c r="BH27" s="107">
        <v>30.082546897546894</v>
      </c>
      <c r="BI27" s="108">
        <v>29.382673350041774</v>
      </c>
      <c r="BJ27" s="108">
        <v>34.452613636363637</v>
      </c>
      <c r="BK27" s="109">
        <v>35.316666666666663</v>
      </c>
      <c r="BL27" s="107">
        <v>45.633333333333333</v>
      </c>
      <c r="BM27" s="108">
        <v>39.313333333333333</v>
      </c>
      <c r="BN27" s="108">
        <v>53.706666666666671</v>
      </c>
      <c r="BO27" s="109">
        <v>40.090000000000003</v>
      </c>
      <c r="BP27" s="107">
        <v>48.936666666666667</v>
      </c>
      <c r="BQ27" s="108">
        <v>39.676666666666669</v>
      </c>
      <c r="BR27" s="108">
        <v>55.573333333333331</v>
      </c>
      <c r="BS27" s="109">
        <v>42.09</v>
      </c>
      <c r="BT27" s="107">
        <v>57.032499999999999</v>
      </c>
      <c r="BU27" s="111"/>
      <c r="BV27" s="111"/>
      <c r="BW27" s="26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</row>
    <row r="28" spans="1:90" x14ac:dyDescent="0.25">
      <c r="A28" s="9"/>
      <c r="B28" s="9"/>
      <c r="C28" s="3" t="s">
        <v>16</v>
      </c>
      <c r="D28" s="3"/>
      <c r="E28" s="43"/>
      <c r="F28" s="20" t="s">
        <v>75</v>
      </c>
      <c r="G28" s="20" t="s">
        <v>168</v>
      </c>
      <c r="H28" s="107">
        <v>45.968278812974461</v>
      </c>
      <c r="I28" s="108">
        <v>44.378946608946613</v>
      </c>
      <c r="J28" s="108">
        <v>120.22140407177363</v>
      </c>
      <c r="K28" s="109">
        <v>31.411746031746031</v>
      </c>
      <c r="L28" s="108">
        <v>25.397950937950938</v>
      </c>
      <c r="M28" s="108">
        <v>37.44166666666667</v>
      </c>
      <c r="N28" s="108">
        <v>41.75251062438705</v>
      </c>
      <c r="O28" s="108">
        <v>31.519316425120774</v>
      </c>
      <c r="P28" s="107">
        <v>30.241471861471865</v>
      </c>
      <c r="Q28" s="108">
        <v>41.313848484848485</v>
      </c>
      <c r="R28" s="108">
        <v>42.229121212121214</v>
      </c>
      <c r="S28" s="108">
        <v>38.09812249827467</v>
      </c>
      <c r="T28" s="107">
        <v>57.708692640692639</v>
      </c>
      <c r="U28" s="108">
        <v>46.57721500721501</v>
      </c>
      <c r="V28" s="108">
        <v>44.23343434343434</v>
      </c>
      <c r="W28" s="109">
        <v>37.446477012689826</v>
      </c>
      <c r="X28" s="107">
        <v>29.005407647907646</v>
      </c>
      <c r="Y28" s="108">
        <v>28.28981818181818</v>
      </c>
      <c r="Z28" s="108">
        <v>45.327757073844026</v>
      </c>
      <c r="AA28" s="109">
        <v>23.745651515151518</v>
      </c>
      <c r="AB28" s="107">
        <v>20.194388888888891</v>
      </c>
      <c r="AC28" s="108">
        <v>26.361738816738818</v>
      </c>
      <c r="AD28" s="108">
        <v>36.898743616287099</v>
      </c>
      <c r="AE28" s="109">
        <v>30.353174603174608</v>
      </c>
      <c r="AF28" s="107">
        <v>30.18903623188406</v>
      </c>
      <c r="AG28" s="108">
        <v>38.031451910408435</v>
      </c>
      <c r="AH28" s="108">
        <v>35.438088336783984</v>
      </c>
      <c r="AI28" s="110">
        <v>30.43004545454545</v>
      </c>
      <c r="AJ28" s="107">
        <v>33.899863636363641</v>
      </c>
      <c r="AK28" s="108">
        <v>36.862301587301594</v>
      </c>
      <c r="AL28" s="108">
        <v>61.282664632595981</v>
      </c>
      <c r="AM28" s="110">
        <v>34.928347135955832</v>
      </c>
      <c r="AN28" s="107">
        <v>29.166705627705625</v>
      </c>
      <c r="AO28" s="108">
        <v>29.997833333333336</v>
      </c>
      <c r="AP28" s="108">
        <v>139.93010606060605</v>
      </c>
      <c r="AQ28" s="110">
        <v>29.658620772946861</v>
      </c>
      <c r="AR28" s="107">
        <v>23.86778787878788</v>
      </c>
      <c r="AS28" s="108">
        <v>25.684318181818185</v>
      </c>
      <c r="AT28" s="108">
        <v>35.567798481711527</v>
      </c>
      <c r="AU28" s="110">
        <v>28.497030303030304</v>
      </c>
      <c r="AV28" s="107">
        <v>617.62705797101444</v>
      </c>
      <c r="AW28" s="108">
        <v>44.778787878787881</v>
      </c>
      <c r="AX28" s="108">
        <v>52.97862481962482</v>
      </c>
      <c r="AY28" s="110">
        <v>52.74219461697723</v>
      </c>
      <c r="AZ28" s="107">
        <v>44.875738095238091</v>
      </c>
      <c r="BA28" s="108">
        <v>110.32805916305915</v>
      </c>
      <c r="BB28" s="108">
        <v>129.2306304347826</v>
      </c>
      <c r="BC28" s="110">
        <v>58.078888888888891</v>
      </c>
      <c r="BD28" s="107">
        <v>29.833974323062552</v>
      </c>
      <c r="BE28" s="108">
        <v>65.638397382344749</v>
      </c>
      <c r="BF28" s="108">
        <v>192.10316123188406</v>
      </c>
      <c r="BG28" s="109">
        <v>35.746974380395436</v>
      </c>
      <c r="BH28" s="107">
        <v>33.243380952380953</v>
      </c>
      <c r="BI28" s="108">
        <v>45.659232804232801</v>
      </c>
      <c r="BJ28" s="108">
        <v>44.116515151515152</v>
      </c>
      <c r="BK28" s="109">
        <v>46.493333333333332</v>
      </c>
      <c r="BL28" s="107">
        <v>57.113333333333337</v>
      </c>
      <c r="BM28" s="108">
        <v>53.303333333333335</v>
      </c>
      <c r="BN28" s="108">
        <v>82.399999999999991</v>
      </c>
      <c r="BO28" s="109">
        <v>48.32</v>
      </c>
      <c r="BP28" s="107">
        <v>63.199999999999996</v>
      </c>
      <c r="BQ28" s="108">
        <v>50.456666666666671</v>
      </c>
      <c r="BR28" s="108">
        <v>80.2</v>
      </c>
      <c r="BS28" s="109">
        <v>45.593333333333334</v>
      </c>
      <c r="BT28" s="107">
        <v>71.512499999999989</v>
      </c>
      <c r="BU28" s="111"/>
      <c r="BV28" s="111"/>
      <c r="BW28" s="26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</row>
    <row r="29" spans="1:90" x14ac:dyDescent="0.25">
      <c r="A29" s="9"/>
      <c r="B29" s="9"/>
      <c r="C29" s="3" t="s">
        <v>17</v>
      </c>
      <c r="D29" s="3"/>
      <c r="E29" s="43"/>
      <c r="F29" s="20" t="s">
        <v>76</v>
      </c>
      <c r="G29" s="20" t="s">
        <v>169</v>
      </c>
      <c r="H29" s="107">
        <v>47.121192201518284</v>
      </c>
      <c r="I29" s="108">
        <v>42.307611832611833</v>
      </c>
      <c r="J29" s="108">
        <v>121.21054658385093</v>
      </c>
      <c r="K29" s="109">
        <v>30.550634920634923</v>
      </c>
      <c r="L29" s="108">
        <v>25.245151515151516</v>
      </c>
      <c r="M29" s="108">
        <v>36.894307359307362</v>
      </c>
      <c r="N29" s="108">
        <v>41.976915477098544</v>
      </c>
      <c r="O29" s="108">
        <v>31.584970324361631</v>
      </c>
      <c r="P29" s="107">
        <v>30.326139249639251</v>
      </c>
      <c r="Q29" s="108">
        <v>39.435909090909092</v>
      </c>
      <c r="R29" s="108">
        <v>40.554787878787877</v>
      </c>
      <c r="S29" s="108">
        <v>35.332714975845413</v>
      </c>
      <c r="T29" s="107">
        <v>58.549633477633478</v>
      </c>
      <c r="U29" s="108">
        <v>43.898225108225112</v>
      </c>
      <c r="V29" s="108">
        <v>42.47286435786436</v>
      </c>
      <c r="W29" s="109">
        <v>37.987882601761321</v>
      </c>
      <c r="X29" s="107">
        <v>28.966223665223666</v>
      </c>
      <c r="Y29" s="108">
        <v>27.173424242424243</v>
      </c>
      <c r="Z29" s="108">
        <v>44.603298826777092</v>
      </c>
      <c r="AA29" s="109">
        <v>22.352227272727273</v>
      </c>
      <c r="AB29" s="107">
        <v>19.666327467218775</v>
      </c>
      <c r="AC29" s="108">
        <v>24.212647907647906</v>
      </c>
      <c r="AD29" s="108">
        <v>33.038720841959972</v>
      </c>
      <c r="AE29" s="109">
        <v>26.915079365079364</v>
      </c>
      <c r="AF29" s="107">
        <v>23.530602108036891</v>
      </c>
      <c r="AG29" s="108">
        <v>26.756243083003952</v>
      </c>
      <c r="AH29" s="108">
        <v>31.172035886818495</v>
      </c>
      <c r="AI29" s="110">
        <v>24.191666666666666</v>
      </c>
      <c r="AJ29" s="107">
        <v>33.263863636363631</v>
      </c>
      <c r="AK29" s="108">
        <v>37.012236652236652</v>
      </c>
      <c r="AL29" s="108">
        <v>61.0366594021285</v>
      </c>
      <c r="AM29" s="110">
        <v>34.389870255348519</v>
      </c>
      <c r="AN29" s="107">
        <v>28.408819624819625</v>
      </c>
      <c r="AO29" s="108">
        <v>28.332515151515153</v>
      </c>
      <c r="AP29" s="108">
        <v>139.77860606060608</v>
      </c>
      <c r="AQ29" s="110">
        <v>28.401929261559697</v>
      </c>
      <c r="AR29" s="107">
        <v>23.411484848484847</v>
      </c>
      <c r="AS29" s="108">
        <v>24.002363636363636</v>
      </c>
      <c r="AT29" s="108">
        <v>34.117784679089027</v>
      </c>
      <c r="AU29" s="110">
        <v>26.409606060606063</v>
      </c>
      <c r="AV29" s="107">
        <v>616.33680434782593</v>
      </c>
      <c r="AW29" s="108">
        <v>39.735909090909097</v>
      </c>
      <c r="AX29" s="108">
        <v>52.118875901875896</v>
      </c>
      <c r="AY29" s="110">
        <v>49.794354727398208</v>
      </c>
      <c r="AZ29" s="107">
        <v>42.725226017943413</v>
      </c>
      <c r="BA29" s="108">
        <v>83.186406926406931</v>
      </c>
      <c r="BB29" s="108">
        <v>130.4041231884058</v>
      </c>
      <c r="BC29" s="110">
        <v>54.665506822612087</v>
      </c>
      <c r="BD29" s="107">
        <v>28.419023342670403</v>
      </c>
      <c r="BE29" s="108">
        <v>60.695641882483983</v>
      </c>
      <c r="BF29" s="108">
        <v>190.38419746376812</v>
      </c>
      <c r="BG29" s="109">
        <v>34.224842662211081</v>
      </c>
      <c r="BH29" s="107">
        <v>33.074595238095235</v>
      </c>
      <c r="BI29" s="108">
        <v>40.452619047619045</v>
      </c>
      <c r="BJ29" s="108">
        <v>42.748674242424244</v>
      </c>
      <c r="BK29" s="109">
        <v>38.43</v>
      </c>
      <c r="BL29" s="107">
        <v>56.79999999999999</v>
      </c>
      <c r="BM29" s="108">
        <v>46.353333333333332</v>
      </c>
      <c r="BN29" s="108">
        <v>82.646666666666661</v>
      </c>
      <c r="BO29" s="109">
        <v>42.51</v>
      </c>
      <c r="BP29" s="107">
        <v>62.150000000000006</v>
      </c>
      <c r="BQ29" s="108">
        <v>45.903333333333336</v>
      </c>
      <c r="BR29" s="108">
        <v>78.313333333333333</v>
      </c>
      <c r="BS29" s="109">
        <v>40.520000000000003</v>
      </c>
      <c r="BT29" s="107">
        <v>74.29249999999999</v>
      </c>
      <c r="BU29" s="111"/>
      <c r="BV29" s="111"/>
      <c r="BW29" s="26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</row>
    <row r="30" spans="1:90" x14ac:dyDescent="0.25">
      <c r="A30" s="9"/>
      <c r="B30" s="9"/>
      <c r="C30" s="3" t="s">
        <v>18</v>
      </c>
      <c r="D30" s="3"/>
      <c r="E30" s="43"/>
      <c r="F30" s="20" t="s">
        <v>77</v>
      </c>
      <c r="G30" s="20" t="s">
        <v>170</v>
      </c>
      <c r="H30" s="107">
        <v>48.552580745341608</v>
      </c>
      <c r="I30" s="108">
        <v>42.863860028860024</v>
      </c>
      <c r="J30" s="108">
        <v>118.03929158040029</v>
      </c>
      <c r="K30" s="109">
        <v>31.501587301587303</v>
      </c>
      <c r="L30" s="108">
        <v>25.70785714285714</v>
      </c>
      <c r="M30" s="108">
        <v>36.668650793650791</v>
      </c>
      <c r="N30" s="108">
        <v>40.919159856162146</v>
      </c>
      <c r="O30" s="108">
        <v>32.611573153899236</v>
      </c>
      <c r="P30" s="107">
        <v>30.022885281385282</v>
      </c>
      <c r="Q30" s="108">
        <v>40.382393939393943</v>
      </c>
      <c r="R30" s="108">
        <v>41.15</v>
      </c>
      <c r="S30" s="108">
        <v>36.901423740510694</v>
      </c>
      <c r="T30" s="107">
        <v>57.654835497835499</v>
      </c>
      <c r="U30" s="108">
        <v>44.606933621933621</v>
      </c>
      <c r="V30" s="108">
        <v>43.45064935064935</v>
      </c>
      <c r="W30" s="109">
        <v>37.779490326607032</v>
      </c>
      <c r="X30" s="107">
        <v>28.846520923520924</v>
      </c>
      <c r="Y30" s="108">
        <v>27.983318181818181</v>
      </c>
      <c r="Z30" s="108">
        <v>45.16209109730849</v>
      </c>
      <c r="AA30" s="109">
        <v>23.348848484848485</v>
      </c>
      <c r="AB30" s="107">
        <v>19.788601794340924</v>
      </c>
      <c r="AC30" s="108">
        <v>25.422994227994227</v>
      </c>
      <c r="AD30" s="108">
        <v>34.085319530710834</v>
      </c>
      <c r="AE30" s="109">
        <v>29.578571428571426</v>
      </c>
      <c r="AF30" s="107">
        <v>26.240406455862978</v>
      </c>
      <c r="AG30" s="108">
        <v>31.657652832674575</v>
      </c>
      <c r="AH30" s="108">
        <v>33.395969634230504</v>
      </c>
      <c r="AI30" s="110">
        <v>27.406469696969697</v>
      </c>
      <c r="AJ30" s="107">
        <v>34.36210606060606</v>
      </c>
      <c r="AK30" s="108">
        <v>36.079552669552669</v>
      </c>
      <c r="AL30" s="108">
        <v>60.642647197704406</v>
      </c>
      <c r="AM30" s="110">
        <v>33.425697722567286</v>
      </c>
      <c r="AN30" s="107">
        <v>28.952184704184702</v>
      </c>
      <c r="AO30" s="108">
        <v>27.478318181818182</v>
      </c>
      <c r="AP30" s="108">
        <v>138.30477272727271</v>
      </c>
      <c r="AQ30" s="110">
        <v>28.838486887508626</v>
      </c>
      <c r="AR30" s="107">
        <v>23.300424242424242</v>
      </c>
      <c r="AS30" s="108">
        <v>24.113560606060606</v>
      </c>
      <c r="AT30" s="108">
        <v>33.098495514147686</v>
      </c>
      <c r="AU30" s="110">
        <v>27.098833333333332</v>
      </c>
      <c r="AV30" s="107">
        <v>612.47918115942025</v>
      </c>
      <c r="AW30" s="108">
        <v>39.127287878787875</v>
      </c>
      <c r="AX30" s="108">
        <v>50.339663059163058</v>
      </c>
      <c r="AY30" s="110">
        <v>48.041124913733604</v>
      </c>
      <c r="AZ30" s="107">
        <v>39.241324361628706</v>
      </c>
      <c r="BA30" s="108">
        <v>84.279300144300137</v>
      </c>
      <c r="BB30" s="108">
        <v>122.74847826086956</v>
      </c>
      <c r="BC30" s="110">
        <v>55.086695906432745</v>
      </c>
      <c r="BD30" s="107">
        <v>27.850406629318389</v>
      </c>
      <c r="BE30" s="108">
        <v>61.445821498189922</v>
      </c>
      <c r="BF30" s="108">
        <v>182.31917210144931</v>
      </c>
      <c r="BG30" s="109">
        <v>34.662017543859655</v>
      </c>
      <c r="BH30" s="107">
        <v>31.372873015873022</v>
      </c>
      <c r="BI30" s="108">
        <v>44.914894179894169</v>
      </c>
      <c r="BJ30" s="108">
        <v>42.120624999999997</v>
      </c>
      <c r="BK30" s="109">
        <v>41.983333333333334</v>
      </c>
      <c r="BL30" s="107">
        <v>54.01</v>
      </c>
      <c r="BM30" s="108">
        <v>53.436666666666667</v>
      </c>
      <c r="BN30" s="108">
        <v>79.216666666666669</v>
      </c>
      <c r="BO30" s="109">
        <v>46.830000000000005</v>
      </c>
      <c r="BP30" s="107">
        <v>57.896666666666668</v>
      </c>
      <c r="BQ30" s="108">
        <v>48.986666666666672</v>
      </c>
      <c r="BR30" s="108">
        <v>74.646666666666661</v>
      </c>
      <c r="BS30" s="109">
        <v>44.27</v>
      </c>
      <c r="BT30" s="107">
        <v>70.597499999999997</v>
      </c>
      <c r="BU30" s="111"/>
      <c r="BV30" s="111"/>
      <c r="BW30" s="26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</row>
    <row r="31" spans="1:90" x14ac:dyDescent="0.25">
      <c r="A31" s="9"/>
      <c r="B31" s="9"/>
      <c r="C31" s="3" t="s">
        <v>19</v>
      </c>
      <c r="D31" s="3"/>
      <c r="E31" s="45"/>
      <c r="F31" s="20" t="s">
        <v>157</v>
      </c>
      <c r="G31" s="20" t="s">
        <v>186</v>
      </c>
      <c r="H31" s="107">
        <v>32.663358886346302</v>
      </c>
      <c r="I31" s="108">
        <v>36.830741019214706</v>
      </c>
      <c r="J31" s="108">
        <v>42.495681922196802</v>
      </c>
      <c r="K31" s="109">
        <v>33.267460317460319</v>
      </c>
      <c r="L31" s="108">
        <v>25.177772727272725</v>
      </c>
      <c r="M31" s="108">
        <v>26.110843434343433</v>
      </c>
      <c r="N31" s="108">
        <v>35.688963713631907</v>
      </c>
      <c r="O31" s="108">
        <v>30.851594202898553</v>
      </c>
      <c r="P31" s="107">
        <v>32.417417293233079</v>
      </c>
      <c r="Q31" s="108">
        <v>38.861090909090905</v>
      </c>
      <c r="R31" s="108">
        <v>40.912848484848489</v>
      </c>
      <c r="S31" s="108">
        <v>37.550814814814821</v>
      </c>
      <c r="T31" s="107">
        <v>48.285580618212201</v>
      </c>
      <c r="U31" s="108">
        <v>43.183047619047613</v>
      </c>
      <c r="V31" s="108">
        <v>42.577183261183258</v>
      </c>
      <c r="W31" s="109">
        <v>36.261014492753624</v>
      </c>
      <c r="X31" s="107">
        <v>25.045448963317384</v>
      </c>
      <c r="Y31" s="108">
        <v>27.170484126984125</v>
      </c>
      <c r="Z31" s="108">
        <v>32.405230880230881</v>
      </c>
      <c r="AA31" s="109">
        <v>23.792275132275133</v>
      </c>
      <c r="AB31" s="107">
        <v>19.077714513556618</v>
      </c>
      <c r="AC31" s="108">
        <v>23.08920634920635</v>
      </c>
      <c r="AD31" s="108">
        <v>34.484472049689437</v>
      </c>
      <c r="AE31" s="109">
        <v>25.20268588137009</v>
      </c>
      <c r="AF31" s="107">
        <v>23.137650648360033</v>
      </c>
      <c r="AG31" s="108">
        <v>33.210269360269358</v>
      </c>
      <c r="AH31" s="108">
        <v>43.38695454545455</v>
      </c>
      <c r="AI31" s="110">
        <v>30.439433305485935</v>
      </c>
      <c r="AJ31" s="107">
        <v>26.472130325814536</v>
      </c>
      <c r="AK31" s="108">
        <v>26.959252297410188</v>
      </c>
      <c r="AL31" s="108">
        <v>76.622672006102206</v>
      </c>
      <c r="AM31" s="110">
        <v>37.12746842952793</v>
      </c>
      <c r="AN31" s="107">
        <v>39.055278195488718</v>
      </c>
      <c r="AO31" s="108">
        <v>19.011936090225564</v>
      </c>
      <c r="AP31" s="108">
        <v>39.936530303030302</v>
      </c>
      <c r="AQ31" s="110">
        <v>32.425937198067629</v>
      </c>
      <c r="AR31" s="107">
        <v>18.955659983291564</v>
      </c>
      <c r="AS31" s="108">
        <v>19.493791486291485</v>
      </c>
      <c r="AT31" s="108">
        <v>115.50586580086581</v>
      </c>
      <c r="AU31" s="110">
        <v>34.796089466089462</v>
      </c>
      <c r="AV31" s="107">
        <v>41.936003051106027</v>
      </c>
      <c r="AW31" s="108">
        <v>72.473729399255717</v>
      </c>
      <c r="AX31" s="108">
        <v>83.255526695526683</v>
      </c>
      <c r="AY31" s="110">
        <v>48.465750208855468</v>
      </c>
      <c r="AZ31" s="107">
        <v>38.144971777269262</v>
      </c>
      <c r="BA31" s="108">
        <v>69.655007936507943</v>
      </c>
      <c r="BB31" s="108">
        <v>137.98381884057972</v>
      </c>
      <c r="BC31" s="110">
        <v>125.69961319966585</v>
      </c>
      <c r="BD31" s="107">
        <v>90.187020213577412</v>
      </c>
      <c r="BE31" s="108">
        <v>44.427911445279868</v>
      </c>
      <c r="BF31" s="108">
        <v>99.911398550724641</v>
      </c>
      <c r="BG31" s="109">
        <v>51.030568086883875</v>
      </c>
      <c r="BH31" s="107">
        <v>38.254964494569755</v>
      </c>
      <c r="BI31" s="108">
        <v>22.436315789473685</v>
      </c>
      <c r="BJ31" s="108">
        <v>68.755303030303025</v>
      </c>
      <c r="BK31" s="109">
        <v>44.51</v>
      </c>
      <c r="BL31" s="107">
        <v>45.413333333333334</v>
      </c>
      <c r="BM31" s="108">
        <v>32.056666666666665</v>
      </c>
      <c r="BN31" s="108">
        <v>98.68</v>
      </c>
      <c r="BO31" s="109">
        <v>52.883333333333326</v>
      </c>
      <c r="BP31" s="107">
        <v>50.456666666666671</v>
      </c>
      <c r="BQ31" s="108">
        <v>30.326666666666668</v>
      </c>
      <c r="BR31" s="108">
        <v>108.57000000000001</v>
      </c>
      <c r="BS31" s="109">
        <v>54.373333333333335</v>
      </c>
      <c r="BT31" s="107">
        <v>62.495000000000005</v>
      </c>
      <c r="BU31" s="111"/>
      <c r="BV31" s="111"/>
      <c r="BW31" s="26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</row>
    <row r="32" spans="1:90" x14ac:dyDescent="0.25">
      <c r="A32" s="9"/>
      <c r="B32" s="9"/>
      <c r="C32" s="3" t="s">
        <v>20</v>
      </c>
      <c r="D32" s="3"/>
      <c r="E32" s="43"/>
      <c r="F32" s="20" t="s">
        <v>97</v>
      </c>
      <c r="G32" s="20" t="s">
        <v>171</v>
      </c>
      <c r="H32" s="107">
        <v>36.16806598016781</v>
      </c>
      <c r="I32" s="108">
        <v>36.805018379281535</v>
      </c>
      <c r="J32" s="108">
        <v>41.914982456140343</v>
      </c>
      <c r="K32" s="109">
        <v>34.048980785296578</v>
      </c>
      <c r="L32" s="108">
        <v>27.603166666666667</v>
      </c>
      <c r="M32" s="108">
        <v>31.034534632034632</v>
      </c>
      <c r="N32" s="108">
        <v>41.873407431622532</v>
      </c>
      <c r="O32" s="108">
        <v>40.712124108224522</v>
      </c>
      <c r="P32" s="107">
        <v>48.445362433862435</v>
      </c>
      <c r="Q32" s="108">
        <v>52.271924242424241</v>
      </c>
      <c r="R32" s="108">
        <v>48.6860909090909</v>
      </c>
      <c r="S32" s="108">
        <v>46.791283371472161</v>
      </c>
      <c r="T32" s="107">
        <v>57.916716791979944</v>
      </c>
      <c r="U32" s="108">
        <v>52.101349206349205</v>
      </c>
      <c r="V32" s="108">
        <v>52.007852965747702</v>
      </c>
      <c r="W32" s="109">
        <v>47.052028985507242</v>
      </c>
      <c r="X32" s="107">
        <v>33.261517027863782</v>
      </c>
      <c r="Y32" s="108">
        <v>32.666683982683985</v>
      </c>
      <c r="Z32" s="108">
        <v>38.551370851370848</v>
      </c>
      <c r="AA32" s="109">
        <v>31.887063492063493</v>
      </c>
      <c r="AB32" s="107">
        <v>25.000727272727275</v>
      </c>
      <c r="AC32" s="108">
        <v>25.547864357864356</v>
      </c>
      <c r="AD32" s="108">
        <v>37.905858178053826</v>
      </c>
      <c r="AE32" s="109">
        <v>34.949522826674531</v>
      </c>
      <c r="AF32" s="107">
        <v>29.066596745486908</v>
      </c>
      <c r="AG32" s="108">
        <v>32.579288119288115</v>
      </c>
      <c r="AH32" s="108">
        <v>47.457706349206347</v>
      </c>
      <c r="AI32" s="110">
        <v>47.836729751729756</v>
      </c>
      <c r="AJ32" s="107">
        <v>37.45354824561403</v>
      </c>
      <c r="AK32" s="108">
        <v>29.095850877192984</v>
      </c>
      <c r="AL32" s="108">
        <v>81.09576524644946</v>
      </c>
      <c r="AM32" s="110">
        <v>54.488541062801936</v>
      </c>
      <c r="AN32" s="107">
        <v>52.206183375104423</v>
      </c>
      <c r="AO32" s="108">
        <v>24.403190476190478</v>
      </c>
      <c r="AP32" s="108">
        <v>38.50418181818182</v>
      </c>
      <c r="AQ32" s="110">
        <v>42.478431561996778</v>
      </c>
      <c r="AR32" s="107">
        <v>28.817482142857141</v>
      </c>
      <c r="AS32" s="108">
        <v>21.076397660818714</v>
      </c>
      <c r="AT32" s="108">
        <v>72.96054329004329</v>
      </c>
      <c r="AU32" s="110">
        <v>42.695293650793644</v>
      </c>
      <c r="AV32" s="107">
        <v>47.607101000583299</v>
      </c>
      <c r="AW32" s="108">
        <v>43.744720893141938</v>
      </c>
      <c r="AX32" s="108">
        <v>75.448412698412696</v>
      </c>
      <c r="AY32" s="110">
        <v>62.261228070175434</v>
      </c>
      <c r="AZ32" s="107">
        <v>45.508017429193899</v>
      </c>
      <c r="BA32" s="108">
        <v>63.46270634920635</v>
      </c>
      <c r="BB32" s="108">
        <v>114.65768688024407</v>
      </c>
      <c r="BC32" s="110">
        <v>135.68897089947089</v>
      </c>
      <c r="BD32" s="107">
        <v>93.542285714285711</v>
      </c>
      <c r="BE32" s="108">
        <v>33.459898913951548</v>
      </c>
      <c r="BF32" s="108">
        <v>70.281079710144923</v>
      </c>
      <c r="BG32" s="109">
        <v>51.366866028708131</v>
      </c>
      <c r="BH32" s="107">
        <v>33.590166666666669</v>
      </c>
      <c r="BI32" s="108">
        <v>10.167919799498748</v>
      </c>
      <c r="BJ32" s="108">
        <v>49.817272727272723</v>
      </c>
      <c r="BK32" s="109">
        <v>42.35</v>
      </c>
      <c r="BL32" s="107">
        <v>42.713333333333331</v>
      </c>
      <c r="BM32" s="108">
        <v>17.993333333333332</v>
      </c>
      <c r="BN32" s="108">
        <v>63.033333333333339</v>
      </c>
      <c r="BO32" s="109">
        <v>53.903333333333329</v>
      </c>
      <c r="BP32" s="107">
        <v>51.02</v>
      </c>
      <c r="BQ32" s="108">
        <v>17.86</v>
      </c>
      <c r="BR32" s="108">
        <v>64.86</v>
      </c>
      <c r="BS32" s="109">
        <v>56.306666666666672</v>
      </c>
      <c r="BT32" s="107">
        <v>64.172499999999999</v>
      </c>
      <c r="BU32" s="111"/>
      <c r="BV32" s="111"/>
      <c r="BW32" s="26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</row>
    <row r="33" spans="1:90" x14ac:dyDescent="0.25">
      <c r="A33" s="9"/>
      <c r="B33" s="9"/>
      <c r="C33" s="3" t="s">
        <v>21</v>
      </c>
      <c r="D33" s="3"/>
      <c r="E33" s="43"/>
      <c r="F33" s="20" t="s">
        <v>98</v>
      </c>
      <c r="G33" s="20" t="s">
        <v>172</v>
      </c>
      <c r="H33" s="107">
        <v>35.648116250221513</v>
      </c>
      <c r="I33" s="108">
        <v>34.741754385964917</v>
      </c>
      <c r="J33" s="108">
        <v>39.454583877995645</v>
      </c>
      <c r="K33" s="109">
        <v>35.080000000000005</v>
      </c>
      <c r="L33" s="108">
        <v>27.030287037037038</v>
      </c>
      <c r="M33" s="108">
        <v>26.672527233115463</v>
      </c>
      <c r="N33" s="108">
        <v>37.800419871794873</v>
      </c>
      <c r="O33" s="108">
        <v>39.228613636363633</v>
      </c>
      <c r="P33" s="107">
        <v>41.066619047619049</v>
      </c>
      <c r="Q33" s="108">
        <v>45.098592592592588</v>
      </c>
      <c r="R33" s="108">
        <v>46.408107662318194</v>
      </c>
      <c r="S33" s="108">
        <v>46.985105820105815</v>
      </c>
      <c r="T33" s="107">
        <v>58.022955541190839</v>
      </c>
      <c r="U33" s="108">
        <v>52.969525054466231</v>
      </c>
      <c r="V33" s="108">
        <v>51.274590811965815</v>
      </c>
      <c r="W33" s="109">
        <v>48.420045454545459</v>
      </c>
      <c r="X33" s="107">
        <v>34.347026143790849</v>
      </c>
      <c r="Y33" s="108">
        <v>37.806163292847508</v>
      </c>
      <c r="Z33" s="108">
        <v>39.717314814814813</v>
      </c>
      <c r="AA33" s="109">
        <v>33.37970732970733</v>
      </c>
      <c r="AB33" s="107">
        <v>26.381703703703703</v>
      </c>
      <c r="AC33" s="108">
        <v>27.5707671957672</v>
      </c>
      <c r="AD33" s="108">
        <v>38.791110731373891</v>
      </c>
      <c r="AE33" s="109">
        <v>37.6602380952381</v>
      </c>
      <c r="AF33" s="107">
        <v>31.80037037037037</v>
      </c>
      <c r="AG33" s="108">
        <v>40.633227513227517</v>
      </c>
      <c r="AH33" s="108">
        <v>59.176759259259256</v>
      </c>
      <c r="AI33" s="110">
        <v>51.672666666666665</v>
      </c>
      <c r="AJ33" s="107">
        <v>38.411666666666669</v>
      </c>
      <c r="AK33" s="108">
        <v>34.947499999999998</v>
      </c>
      <c r="AL33" s="108">
        <v>114.650125</v>
      </c>
      <c r="AM33" s="110">
        <v>66.938571428571436</v>
      </c>
      <c r="AN33" s="107">
        <v>69.35733333333333</v>
      </c>
      <c r="AO33" s="108">
        <v>27.761666666666667</v>
      </c>
      <c r="AP33" s="108">
        <v>44.573388888888893</v>
      </c>
      <c r="AQ33" s="110">
        <v>39.654444444444444</v>
      </c>
      <c r="AR33" s="107">
        <v>30.372500000000002</v>
      </c>
      <c r="AS33" s="108">
        <v>27.987777777777779</v>
      </c>
      <c r="AT33" s="108">
        <v>74.903492063492067</v>
      </c>
      <c r="AU33" s="110">
        <v>47.048749999999998</v>
      </c>
      <c r="AV33" s="107">
        <v>56.639925925925922</v>
      </c>
      <c r="AW33" s="108">
        <v>57.289191919191921</v>
      </c>
      <c r="AX33" s="108">
        <v>105.22222222222223</v>
      </c>
      <c r="AY33" s="110">
        <v>63.010444444444452</v>
      </c>
      <c r="AZ33" s="107">
        <v>52.139141414141413</v>
      </c>
      <c r="BA33" s="108">
        <v>79.745277777777787</v>
      </c>
      <c r="BB33" s="108">
        <v>150.26107142857143</v>
      </c>
      <c r="BC33" s="110">
        <v>163.64400000000001</v>
      </c>
      <c r="BD33" s="107">
        <v>111.64578754578754</v>
      </c>
      <c r="BE33" s="108">
        <v>36.467999999999996</v>
      </c>
      <c r="BF33" s="108">
        <v>68.684134199134192</v>
      </c>
      <c r="BG33" s="109">
        <v>65.968611111111116</v>
      </c>
      <c r="BH33" s="107">
        <v>52.564794871794874</v>
      </c>
      <c r="BI33" s="108">
        <v>25.727333333333331</v>
      </c>
      <c r="BJ33" s="108">
        <v>59.285499999999992</v>
      </c>
      <c r="BK33" s="109">
        <v>54.423333333333339</v>
      </c>
      <c r="BL33" s="107">
        <v>59.79666666666666</v>
      </c>
      <c r="BM33" s="108">
        <v>35.816666666666663</v>
      </c>
      <c r="BN33" s="108">
        <v>64.286666666666662</v>
      </c>
      <c r="BO33" s="109">
        <v>69.913333333333327</v>
      </c>
      <c r="BP33" s="107">
        <v>69.086666666666659</v>
      </c>
      <c r="BQ33" s="108">
        <v>36.06</v>
      </c>
      <c r="BR33" s="108">
        <v>66.856666666666669</v>
      </c>
      <c r="BS33" s="109">
        <v>70.220000000000013</v>
      </c>
      <c r="BT33" s="107">
        <v>84.6875</v>
      </c>
      <c r="BU33" s="111"/>
      <c r="BV33" s="111"/>
      <c r="BW33" s="26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</row>
    <row r="34" spans="1:90" x14ac:dyDescent="0.25">
      <c r="A34" s="9"/>
      <c r="B34" s="9"/>
      <c r="C34" s="3" t="s">
        <v>22</v>
      </c>
      <c r="D34" s="3"/>
      <c r="E34" s="3"/>
      <c r="F34" s="20" t="s">
        <v>99</v>
      </c>
      <c r="G34" s="20" t="s">
        <v>173</v>
      </c>
      <c r="H34" s="107">
        <v>26.153838291380623</v>
      </c>
      <c r="I34" s="108">
        <v>27.545892230576442</v>
      </c>
      <c r="J34" s="108">
        <v>33.42646910755149</v>
      </c>
      <c r="K34" s="109">
        <v>30.966090225563914</v>
      </c>
      <c r="L34" s="108">
        <v>22.937848484848484</v>
      </c>
      <c r="M34" s="108">
        <v>11.904954545454546</v>
      </c>
      <c r="N34" s="108">
        <v>26.789991645781118</v>
      </c>
      <c r="O34" s="108">
        <v>29.209679633867278</v>
      </c>
      <c r="P34" s="107">
        <v>30.288629908103591</v>
      </c>
      <c r="Q34" s="108">
        <v>33.695090909090908</v>
      </c>
      <c r="R34" s="108">
        <v>41.494999999999997</v>
      </c>
      <c r="S34" s="108">
        <v>44.138512077294685</v>
      </c>
      <c r="T34" s="107">
        <v>48.59852965747703</v>
      </c>
      <c r="U34" s="108">
        <v>34.355944444444447</v>
      </c>
      <c r="V34" s="108">
        <v>40.489533910533915</v>
      </c>
      <c r="W34" s="109">
        <v>33.020434376649206</v>
      </c>
      <c r="X34" s="107">
        <v>20.286055023923442</v>
      </c>
      <c r="Y34" s="108">
        <v>29.383735209235212</v>
      </c>
      <c r="Z34" s="108">
        <v>31.853174603174605</v>
      </c>
      <c r="AA34" s="109">
        <v>22.297169312169313</v>
      </c>
      <c r="AB34" s="107">
        <v>17.410492025518341</v>
      </c>
      <c r="AC34" s="108">
        <v>16.611746031746033</v>
      </c>
      <c r="AD34" s="108">
        <v>31.357915113871638</v>
      </c>
      <c r="AE34" s="109">
        <v>26.233267752715122</v>
      </c>
      <c r="AF34" s="107">
        <v>22.729313501144162</v>
      </c>
      <c r="AG34" s="108">
        <v>16.139612794612795</v>
      </c>
      <c r="AH34" s="108">
        <v>38.049893939393939</v>
      </c>
      <c r="AI34" s="110">
        <v>26.880625174046227</v>
      </c>
      <c r="AJ34" s="107">
        <v>21.59125313283208</v>
      </c>
      <c r="AK34" s="108">
        <v>16.181652046783626</v>
      </c>
      <c r="AL34" s="108">
        <v>61.16033981693365</v>
      </c>
      <c r="AM34" s="110">
        <v>50.596586998898211</v>
      </c>
      <c r="AN34" s="107">
        <v>69.486500000000007</v>
      </c>
      <c r="AO34" s="108">
        <v>17.759044695071012</v>
      </c>
      <c r="AP34" s="108">
        <v>31.795090909090913</v>
      </c>
      <c r="AQ34" s="110">
        <v>35.667524154589373</v>
      </c>
      <c r="AR34" s="107">
        <v>22.444545834282678</v>
      </c>
      <c r="AS34" s="108">
        <v>13.248720779220781</v>
      </c>
      <c r="AT34" s="108">
        <v>33.266204906204905</v>
      </c>
      <c r="AU34" s="110">
        <v>30.148511303511302</v>
      </c>
      <c r="AV34" s="107">
        <v>34.196971777269262</v>
      </c>
      <c r="AW34" s="108">
        <v>51.956731221994382</v>
      </c>
      <c r="AX34" s="108">
        <v>90.933455988455989</v>
      </c>
      <c r="AY34" s="110">
        <v>58.887995822890559</v>
      </c>
      <c r="AZ34" s="107">
        <v>38.899802822273074</v>
      </c>
      <c r="BA34" s="108">
        <v>59.147325396825387</v>
      </c>
      <c r="BB34" s="108">
        <v>119.61197342995168</v>
      </c>
      <c r="BC34" s="110">
        <v>149.70493065998329</v>
      </c>
      <c r="BD34" s="107">
        <v>106.35344279176201</v>
      </c>
      <c r="BE34" s="108">
        <v>59.230467836257311</v>
      </c>
      <c r="BF34" s="108">
        <v>98.767391304347825</v>
      </c>
      <c r="BG34" s="109">
        <v>79.247671451355657</v>
      </c>
      <c r="BH34" s="107">
        <v>101.24320634920635</v>
      </c>
      <c r="BI34" s="108">
        <v>33.517838915470499</v>
      </c>
      <c r="BJ34" s="108">
        <v>64.367121212121205</v>
      </c>
      <c r="BK34" s="109">
        <v>70.156670000000005</v>
      </c>
      <c r="BL34" s="107">
        <v>79.216670000000008</v>
      </c>
      <c r="BM34" s="108">
        <v>34.809999999999995</v>
      </c>
      <c r="BN34" s="108">
        <v>92.693336666666667</v>
      </c>
      <c r="BO34" s="109">
        <v>82.293333333333337</v>
      </c>
      <c r="BP34" s="107">
        <v>87.640003333333325</v>
      </c>
      <c r="BQ34" s="108">
        <v>34.580000000000005</v>
      </c>
      <c r="BR34" s="108">
        <v>100.00333666666667</v>
      </c>
      <c r="BS34" s="109">
        <v>86.946666666666673</v>
      </c>
      <c r="BT34" s="107">
        <v>94.617500000000007</v>
      </c>
      <c r="BU34" s="111"/>
      <c r="BV34" s="111"/>
      <c r="BW34" s="26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</row>
    <row r="35" spans="1:90" x14ac:dyDescent="0.25">
      <c r="A35" s="9"/>
      <c r="B35" s="9"/>
      <c r="C35" s="3" t="s">
        <v>23</v>
      </c>
      <c r="D35" s="3"/>
      <c r="E35" s="3"/>
      <c r="F35" s="20" t="s">
        <v>78</v>
      </c>
      <c r="G35" s="20" t="s">
        <v>174</v>
      </c>
      <c r="H35" s="107">
        <v>41.377194616977221</v>
      </c>
      <c r="I35" s="108">
        <v>37.158643578643584</v>
      </c>
      <c r="J35" s="108">
        <v>122.20415493443754</v>
      </c>
      <c r="K35" s="109">
        <v>26.450952380952383</v>
      </c>
      <c r="L35" s="108">
        <v>21.810281385281385</v>
      </c>
      <c r="M35" s="108">
        <v>36.74608225108225</v>
      </c>
      <c r="N35" s="108">
        <v>42.310074461516109</v>
      </c>
      <c r="O35" s="108">
        <v>31.183078329882676</v>
      </c>
      <c r="P35" s="107">
        <v>28.549800144300146</v>
      </c>
      <c r="Q35" s="108">
        <v>38.466378787878789</v>
      </c>
      <c r="R35" s="108">
        <v>42.409666666666666</v>
      </c>
      <c r="S35" s="108">
        <v>35.491639751552796</v>
      </c>
      <c r="T35" s="107">
        <v>58.865861471861471</v>
      </c>
      <c r="U35" s="108">
        <v>43.930822510822509</v>
      </c>
      <c r="V35" s="108">
        <v>42.234278499278503</v>
      </c>
      <c r="W35" s="109">
        <v>37.659233062894394</v>
      </c>
      <c r="X35" s="107">
        <v>29.054282828282826</v>
      </c>
      <c r="Y35" s="108">
        <v>27.265833333333333</v>
      </c>
      <c r="Z35" s="108">
        <v>44.698681849551413</v>
      </c>
      <c r="AA35" s="109">
        <v>22.190984848484849</v>
      </c>
      <c r="AB35" s="107">
        <v>19.092650793650794</v>
      </c>
      <c r="AC35" s="108">
        <v>23.348405483405486</v>
      </c>
      <c r="AD35" s="108">
        <v>32.943664596273294</v>
      </c>
      <c r="AE35" s="109">
        <v>27.139206349206347</v>
      </c>
      <c r="AF35" s="107">
        <v>22.479814229249012</v>
      </c>
      <c r="AG35" s="108">
        <v>25.649453227931488</v>
      </c>
      <c r="AH35" s="108">
        <v>30.489399585921323</v>
      </c>
      <c r="AI35" s="110">
        <v>23.914621212121215</v>
      </c>
      <c r="AJ35" s="107">
        <v>31.881151515151515</v>
      </c>
      <c r="AK35" s="108">
        <v>30.336471861471864</v>
      </c>
      <c r="AL35" s="108">
        <v>59.94892666448731</v>
      </c>
      <c r="AM35" s="110">
        <v>32.909213940648726</v>
      </c>
      <c r="AN35" s="107">
        <v>27.336385281385279</v>
      </c>
      <c r="AO35" s="108">
        <v>26.269484848484847</v>
      </c>
      <c r="AP35" s="108">
        <v>139.0513787878788</v>
      </c>
      <c r="AQ35" s="110">
        <v>26.153052795031055</v>
      </c>
      <c r="AR35" s="107">
        <v>21.982545454545455</v>
      </c>
      <c r="AS35" s="108">
        <v>22.402681818181819</v>
      </c>
      <c r="AT35" s="108">
        <v>33.277004830917875</v>
      </c>
      <c r="AU35" s="110">
        <v>22.044075757575758</v>
      </c>
      <c r="AV35" s="107">
        <v>614.3970652173914</v>
      </c>
      <c r="AW35" s="108">
        <v>35.573348484848488</v>
      </c>
      <c r="AX35" s="108">
        <v>48.403974747474741</v>
      </c>
      <c r="AY35" s="110">
        <v>40.644306418219465</v>
      </c>
      <c r="AZ35" s="107">
        <v>35.264289510006904</v>
      </c>
      <c r="BA35" s="108">
        <v>72.146825396825406</v>
      </c>
      <c r="BB35" s="108">
        <v>128.86673188405797</v>
      </c>
      <c r="BC35" s="110">
        <v>49.963927875243662</v>
      </c>
      <c r="BD35" s="107">
        <v>25.460595238095237</v>
      </c>
      <c r="BE35" s="108">
        <v>58.951555277081589</v>
      </c>
      <c r="BF35" s="108">
        <v>190.72976992753624</v>
      </c>
      <c r="BG35" s="109">
        <v>35.849230019493177</v>
      </c>
      <c r="BH35" s="107">
        <v>35.832484126984127</v>
      </c>
      <c r="BI35" s="108">
        <v>39.847010582010583</v>
      </c>
      <c r="BJ35" s="108">
        <v>52.316496212121216</v>
      </c>
      <c r="BK35" s="109">
        <v>46.436666666666667</v>
      </c>
      <c r="BL35" s="107">
        <v>58.056666666666665</v>
      </c>
      <c r="BM35" s="108">
        <v>49.283333333333331</v>
      </c>
      <c r="BN35" s="108">
        <v>79.816666666666663</v>
      </c>
      <c r="BO35" s="109">
        <v>51.839999999999996</v>
      </c>
      <c r="BP35" s="107">
        <v>63.193333333333328</v>
      </c>
      <c r="BQ35" s="108">
        <v>52.413333333333334</v>
      </c>
      <c r="BR35" s="108">
        <v>81.676666666666677</v>
      </c>
      <c r="BS35" s="109">
        <v>49.076666666666661</v>
      </c>
      <c r="BT35" s="107">
        <v>75.617500000000007</v>
      </c>
      <c r="BU35" s="111"/>
      <c r="BV35" s="111"/>
      <c r="BW35" s="26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</row>
    <row r="36" spans="1:90" x14ac:dyDescent="0.25">
      <c r="A36" s="9"/>
      <c r="B36" s="9"/>
      <c r="C36" s="3"/>
      <c r="D36" s="3"/>
      <c r="E36" s="3"/>
      <c r="F36" s="20"/>
      <c r="G36" s="20"/>
      <c r="H36" s="107"/>
      <c r="I36" s="108"/>
      <c r="J36" s="108"/>
      <c r="K36" s="109"/>
      <c r="L36" s="107"/>
      <c r="M36" s="108"/>
      <c r="N36" s="108"/>
      <c r="O36" s="108"/>
      <c r="P36" s="107"/>
      <c r="Q36" s="108"/>
      <c r="R36" s="108"/>
      <c r="S36" s="109"/>
      <c r="T36" s="108"/>
      <c r="U36" s="108"/>
      <c r="V36" s="108"/>
      <c r="W36" s="109"/>
      <c r="X36" s="108"/>
      <c r="Y36" s="108"/>
      <c r="Z36" s="108"/>
      <c r="AA36" s="109"/>
      <c r="AB36" s="108"/>
      <c r="AC36" s="108"/>
      <c r="AD36" s="108"/>
      <c r="AE36" s="109"/>
      <c r="AF36" s="108"/>
      <c r="AG36" s="108"/>
      <c r="AH36" s="108"/>
      <c r="AI36" s="110"/>
      <c r="AJ36" s="108"/>
      <c r="AK36" s="108"/>
      <c r="AL36" s="108"/>
      <c r="AM36" s="110"/>
      <c r="AN36" s="108"/>
      <c r="AO36" s="108"/>
      <c r="AP36" s="108"/>
      <c r="AQ36" s="110"/>
      <c r="AR36" s="108"/>
      <c r="AS36" s="108"/>
      <c r="AT36" s="108"/>
      <c r="AU36" s="110"/>
      <c r="AV36" s="108"/>
      <c r="AW36" s="108"/>
      <c r="AX36" s="108"/>
      <c r="AY36" s="110"/>
      <c r="AZ36" s="108"/>
      <c r="BA36" s="108"/>
      <c r="BB36" s="108"/>
      <c r="BC36" s="110"/>
      <c r="BD36" s="108"/>
      <c r="BE36" s="108"/>
      <c r="BF36" s="108"/>
      <c r="BG36" s="109"/>
      <c r="BH36" s="108"/>
      <c r="BI36" s="111"/>
      <c r="BJ36" s="111"/>
      <c r="BK36" s="112"/>
      <c r="BL36" s="111"/>
      <c r="BM36" s="111"/>
      <c r="BN36" s="111"/>
      <c r="BO36" s="112"/>
      <c r="BP36" s="111"/>
      <c r="BQ36" s="111"/>
      <c r="BR36" s="111"/>
      <c r="BS36" s="26"/>
      <c r="BT36" s="111"/>
      <c r="BU36" s="111"/>
      <c r="BV36" s="111"/>
      <c r="BW36" s="26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</row>
    <row r="37" spans="1:90" x14ac:dyDescent="0.25">
      <c r="A37" s="9"/>
      <c r="B37" s="9"/>
      <c r="C37" s="1" t="s">
        <v>24</v>
      </c>
      <c r="D37" s="41"/>
      <c r="E37" s="41"/>
      <c r="F37" s="78"/>
      <c r="G37" s="78"/>
      <c r="H37" s="114"/>
      <c r="I37" s="93"/>
      <c r="J37" s="93"/>
      <c r="K37" s="94"/>
      <c r="L37" s="114"/>
      <c r="M37" s="93"/>
      <c r="N37" s="93"/>
      <c r="O37" s="93"/>
      <c r="P37" s="92"/>
      <c r="Q37" s="115"/>
      <c r="R37" s="115"/>
      <c r="S37" s="117"/>
      <c r="T37" s="115"/>
      <c r="U37" s="115"/>
      <c r="V37" s="115"/>
      <c r="W37" s="117"/>
      <c r="X37" s="115"/>
      <c r="Y37" s="118"/>
      <c r="Z37" s="118"/>
      <c r="AA37" s="119"/>
      <c r="AB37" s="115"/>
      <c r="AC37" s="118"/>
      <c r="AD37" s="118"/>
      <c r="AE37" s="119"/>
      <c r="AF37" s="115"/>
      <c r="AG37" s="118"/>
      <c r="AH37" s="118"/>
      <c r="AI37" s="119"/>
      <c r="AJ37" s="115"/>
      <c r="AK37" s="118"/>
      <c r="AL37" s="118"/>
      <c r="AM37" s="119"/>
      <c r="AN37" s="115"/>
      <c r="AO37" s="118"/>
      <c r="AP37" s="118"/>
      <c r="AQ37" s="119"/>
      <c r="AR37" s="118"/>
      <c r="AS37" s="118"/>
      <c r="AT37" s="118"/>
      <c r="AU37" s="119"/>
      <c r="AV37" s="118"/>
      <c r="AW37" s="118"/>
      <c r="AX37" s="118"/>
      <c r="AY37" s="119"/>
      <c r="AZ37" s="118"/>
      <c r="BA37" s="118"/>
      <c r="BB37" s="118"/>
      <c r="BC37" s="119"/>
      <c r="BD37" s="121"/>
      <c r="BE37" s="121"/>
      <c r="BF37" s="121"/>
      <c r="BG37" s="122"/>
      <c r="BH37" s="118"/>
      <c r="BI37" s="118"/>
      <c r="BJ37" s="118"/>
      <c r="BK37" s="119"/>
      <c r="BL37" s="118"/>
      <c r="BM37" s="118"/>
      <c r="BN37" s="118"/>
      <c r="BO37" s="119"/>
      <c r="BP37" s="118"/>
      <c r="BQ37" s="118"/>
      <c r="BR37" s="118"/>
      <c r="BS37" s="36"/>
      <c r="BT37" s="118"/>
      <c r="BU37" s="118"/>
      <c r="BV37" s="118"/>
      <c r="BW37" s="36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</row>
    <row r="38" spans="1:90" x14ac:dyDescent="0.25">
      <c r="A38" s="9"/>
      <c r="B38" s="9"/>
      <c r="C38" s="3" t="s">
        <v>7</v>
      </c>
      <c r="D38" s="3"/>
      <c r="E38" s="3"/>
      <c r="F38" s="20" t="s">
        <v>158</v>
      </c>
      <c r="G38" s="20" t="s">
        <v>199</v>
      </c>
      <c r="H38" s="107">
        <v>51.296866359447002</v>
      </c>
      <c r="I38" s="108">
        <v>37.848691756272395</v>
      </c>
      <c r="J38" s="108">
        <v>39.487150537634413</v>
      </c>
      <c r="K38" s="109">
        <v>32.54365949820788</v>
      </c>
      <c r="L38" s="108">
        <v>27.603770856507229</v>
      </c>
      <c r="M38" s="108">
        <v>22.925189964157706</v>
      </c>
      <c r="N38" s="108">
        <v>30.909390681003583</v>
      </c>
      <c r="O38" s="108">
        <v>38.534706093189961</v>
      </c>
      <c r="P38" s="107">
        <v>73.472530721966208</v>
      </c>
      <c r="Q38" s="108">
        <v>34.163784946236554</v>
      </c>
      <c r="R38" s="108">
        <v>30.396476702508959</v>
      </c>
      <c r="S38" s="108">
        <v>50.455003584229388</v>
      </c>
      <c r="T38" s="107">
        <v>124.76260368663594</v>
      </c>
      <c r="U38" s="108">
        <v>32.368480286738354</v>
      </c>
      <c r="V38" s="108">
        <v>26.807985663082434</v>
      </c>
      <c r="W38" s="109">
        <v>31.098681003584232</v>
      </c>
      <c r="X38" s="107">
        <v>75.979220430107532</v>
      </c>
      <c r="Y38" s="108">
        <v>18.786734767025091</v>
      </c>
      <c r="Z38" s="108">
        <v>22.47921146953405</v>
      </c>
      <c r="AA38" s="109">
        <v>20.068053763440858</v>
      </c>
      <c r="AB38" s="107">
        <v>22.432013348164627</v>
      </c>
      <c r="AC38" s="108">
        <v>18.637881720430105</v>
      </c>
      <c r="AD38" s="108">
        <v>21.726508960573479</v>
      </c>
      <c r="AE38" s="109">
        <v>28.685555555555556</v>
      </c>
      <c r="AF38" s="107">
        <v>30.078360215053763</v>
      </c>
      <c r="AG38" s="108">
        <v>22.796591397849465</v>
      </c>
      <c r="AH38" s="108">
        <v>19.33909677419355</v>
      </c>
      <c r="AI38" s="110">
        <v>40.938265232974906</v>
      </c>
      <c r="AJ38" s="107">
        <v>55.177005376344091</v>
      </c>
      <c r="AK38" s="108">
        <v>27.375885304659494</v>
      </c>
      <c r="AL38" s="108">
        <v>30.551161290322582</v>
      </c>
      <c r="AM38" s="110">
        <v>41.079598566308242</v>
      </c>
      <c r="AN38" s="107">
        <v>39.050039426523291</v>
      </c>
      <c r="AO38" s="108">
        <v>21.593573476702506</v>
      </c>
      <c r="AP38" s="108">
        <v>21.001247311827957</v>
      </c>
      <c r="AQ38" s="110">
        <v>28.389189964157705</v>
      </c>
      <c r="AR38" s="107">
        <v>18.584808676307009</v>
      </c>
      <c r="AS38" s="108">
        <v>16.940093189964156</v>
      </c>
      <c r="AT38" s="108">
        <v>17.676243727598564</v>
      </c>
      <c r="AU38" s="110">
        <v>26.185519713261652</v>
      </c>
      <c r="AV38" s="107">
        <v>45.302378136200723</v>
      </c>
      <c r="AW38" s="108">
        <v>24.473648745519711</v>
      </c>
      <c r="AX38" s="108">
        <v>36.748724014336922</v>
      </c>
      <c r="AY38" s="110">
        <v>53.057878136200713</v>
      </c>
      <c r="AZ38" s="107">
        <v>101.5824539170507</v>
      </c>
      <c r="BA38" s="108">
        <v>65.072724014336913</v>
      </c>
      <c r="BB38" s="108">
        <v>74.159089852923003</v>
      </c>
      <c r="BC38" s="110">
        <v>72.748222222222225</v>
      </c>
      <c r="BD38" s="107">
        <v>44.912369431643619</v>
      </c>
      <c r="BE38" s="108">
        <v>25.16062724014337</v>
      </c>
      <c r="BF38" s="108">
        <v>29.893921146953403</v>
      </c>
      <c r="BG38" s="109">
        <v>30.864130824372761</v>
      </c>
      <c r="BH38" s="107">
        <v>36.943845454545453</v>
      </c>
      <c r="BI38" s="108">
        <v>24.162336093857832</v>
      </c>
      <c r="BJ38" s="108">
        <v>31.605444444444444</v>
      </c>
      <c r="BK38" s="109">
        <v>51.374333333333333</v>
      </c>
      <c r="BL38" s="107">
        <v>90.82</v>
      </c>
      <c r="BM38" s="108">
        <v>35.758000000000003</v>
      </c>
      <c r="BN38" s="108">
        <v>39.026000000000003</v>
      </c>
      <c r="BO38" s="109">
        <v>59.135666666666658</v>
      </c>
      <c r="BP38" s="107">
        <v>99.165666666666652</v>
      </c>
      <c r="BQ38" s="108">
        <v>33.287333333333329</v>
      </c>
      <c r="BR38" s="108">
        <v>39.461333333333336</v>
      </c>
      <c r="BS38" s="109">
        <v>55.327666666666666</v>
      </c>
      <c r="BT38" s="107">
        <v>111.30224999999999</v>
      </c>
      <c r="BU38" s="108"/>
      <c r="BV38" s="111"/>
      <c r="BW38" s="26"/>
      <c r="BX38" s="29"/>
      <c r="BY38" s="29"/>
      <c r="BZ38" s="29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</row>
    <row r="39" spans="1:90" x14ac:dyDescent="0.25">
      <c r="A39" s="9"/>
      <c r="B39" s="9"/>
      <c r="C39" s="3" t="s">
        <v>8</v>
      </c>
      <c r="D39" s="3"/>
      <c r="E39" s="3"/>
      <c r="F39" s="20" t="s">
        <v>91</v>
      </c>
      <c r="G39" s="129"/>
      <c r="H39" s="107">
        <v>37.015069124423967</v>
      </c>
      <c r="I39" s="108">
        <v>33.03693548387097</v>
      </c>
      <c r="J39" s="108">
        <v>34.449724014336915</v>
      </c>
      <c r="K39" s="109">
        <v>29.639849462365593</v>
      </c>
      <c r="L39" s="108">
        <v>24.425698924731183</v>
      </c>
      <c r="M39" s="108">
        <v>21.27713620071685</v>
      </c>
      <c r="N39" s="108">
        <v>27.821741935483871</v>
      </c>
      <c r="O39" s="108">
        <v>30.951616487455198</v>
      </c>
      <c r="P39" s="107">
        <v>36.402914746543779</v>
      </c>
      <c r="Q39" s="108">
        <v>30.092949820788533</v>
      </c>
      <c r="R39" s="108">
        <v>28.360197132616488</v>
      </c>
      <c r="S39" s="108">
        <v>29.191344086021505</v>
      </c>
      <c r="T39" s="107">
        <v>73.608966973886325</v>
      </c>
      <c r="U39" s="108">
        <v>28.438014336917565</v>
      </c>
      <c r="V39" s="108">
        <v>23.904451612903227</v>
      </c>
      <c r="W39" s="109">
        <v>24.70758064516129</v>
      </c>
      <c r="X39" s="107">
        <v>41.495180491551459</v>
      </c>
      <c r="Y39" s="108">
        <v>16.511534050179211</v>
      </c>
      <c r="Z39" s="108">
        <v>18.533318996415773</v>
      </c>
      <c r="AA39" s="109">
        <v>13.724501792114694</v>
      </c>
      <c r="AB39" s="107">
        <v>13.645435669262142</v>
      </c>
      <c r="AC39" s="108">
        <v>15.967111111111114</v>
      </c>
      <c r="AD39" s="108">
        <v>20.191451612903226</v>
      </c>
      <c r="AE39" s="109">
        <v>17.049463601532565</v>
      </c>
      <c r="AF39" s="107">
        <v>21.517956989247313</v>
      </c>
      <c r="AG39" s="108">
        <v>13.98468458781362</v>
      </c>
      <c r="AH39" s="108">
        <v>17.366878136200715</v>
      </c>
      <c r="AI39" s="110">
        <v>18.383982202447161</v>
      </c>
      <c r="AJ39" s="107">
        <v>30.253559907834102</v>
      </c>
      <c r="AK39" s="108">
        <v>19.393164874551971</v>
      </c>
      <c r="AL39" s="108">
        <v>23.785501792114697</v>
      </c>
      <c r="AM39" s="110">
        <v>24.263853046594978</v>
      </c>
      <c r="AN39" s="107">
        <v>25.835810291858678</v>
      </c>
      <c r="AO39" s="108">
        <v>15.381756272401432</v>
      </c>
      <c r="AP39" s="108">
        <v>17.804562724014335</v>
      </c>
      <c r="AQ39" s="110">
        <v>15.128007168458781</v>
      </c>
      <c r="AR39" s="107">
        <v>12.538309232480534</v>
      </c>
      <c r="AS39" s="108">
        <v>11.616960573476703</v>
      </c>
      <c r="AT39" s="108">
        <v>15.923659498207885</v>
      </c>
      <c r="AU39" s="110">
        <v>12.439577060931901</v>
      </c>
      <c r="AV39" s="107">
        <v>20.969301075268817</v>
      </c>
      <c r="AW39" s="108">
        <v>13.704691756272402</v>
      </c>
      <c r="AX39" s="108">
        <v>28.654878136200718</v>
      </c>
      <c r="AY39" s="110">
        <v>32.506526881720433</v>
      </c>
      <c r="AZ39" s="107">
        <v>57.527753456221198</v>
      </c>
      <c r="BA39" s="108">
        <v>34.845132616487454</v>
      </c>
      <c r="BB39" s="108">
        <v>61.289139784946236</v>
      </c>
      <c r="BC39" s="110">
        <v>39.340403225806448</v>
      </c>
      <c r="BD39" s="107">
        <v>24.906616743471584</v>
      </c>
      <c r="BE39" s="108">
        <v>17.411095785440612</v>
      </c>
      <c r="BF39" s="108">
        <v>23.580645161290324</v>
      </c>
      <c r="BG39" s="109">
        <v>23.395566431837846</v>
      </c>
      <c r="BH39" s="107">
        <v>30.117890248424175</v>
      </c>
      <c r="BI39" s="108">
        <v>22.309888888888889</v>
      </c>
      <c r="BJ39" s="108">
        <v>26.93016129032258</v>
      </c>
      <c r="BK39" s="109"/>
      <c r="BL39" s="107"/>
      <c r="BM39" s="108"/>
      <c r="BN39" s="108"/>
      <c r="BO39" s="109"/>
      <c r="BP39" s="107"/>
      <c r="BQ39" s="108"/>
      <c r="BR39" s="108"/>
      <c r="BS39" s="109"/>
      <c r="BT39" s="107"/>
      <c r="BU39" s="111"/>
      <c r="BV39" s="111"/>
      <c r="BW39" s="26"/>
      <c r="BX39" s="29"/>
      <c r="BY39" s="29"/>
      <c r="BZ39" s="29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</row>
    <row r="40" spans="1:90" x14ac:dyDescent="0.25">
      <c r="A40" s="9"/>
      <c r="B40" s="9"/>
      <c r="C40" s="3" t="s">
        <v>9</v>
      </c>
      <c r="F40" s="20" t="s">
        <v>112</v>
      </c>
      <c r="G40" s="20" t="s">
        <v>175</v>
      </c>
      <c r="H40" s="107">
        <v>49.910437788018434</v>
      </c>
      <c r="I40" s="108">
        <v>38.232143369175624</v>
      </c>
      <c r="J40" s="108">
        <v>39.817551971326168</v>
      </c>
      <c r="K40" s="109">
        <v>32.494935483870968</v>
      </c>
      <c r="L40" s="108">
        <v>28.503889506859469</v>
      </c>
      <c r="M40" s="108">
        <v>23.434831541218639</v>
      </c>
      <c r="N40" s="108">
        <v>30.544663082437278</v>
      </c>
      <c r="O40" s="108">
        <v>37.416329749103944</v>
      </c>
      <c r="P40" s="107">
        <v>58.136881720430104</v>
      </c>
      <c r="Q40" s="108">
        <v>34.662620071684586</v>
      </c>
      <c r="R40" s="108">
        <v>32.12052329749104</v>
      </c>
      <c r="S40" s="108">
        <v>37.851125448028675</v>
      </c>
      <c r="T40" s="107">
        <v>109.78344470046083</v>
      </c>
      <c r="U40" s="108">
        <v>32.345688172043012</v>
      </c>
      <c r="V40" s="108">
        <v>26.548867383512544</v>
      </c>
      <c r="W40" s="109">
        <v>28.930659498207888</v>
      </c>
      <c r="X40" s="107">
        <v>62.307849462365589</v>
      </c>
      <c r="Y40" s="108">
        <v>19.158623655913981</v>
      </c>
      <c r="Z40" s="108">
        <v>21.165032258064517</v>
      </c>
      <c r="AA40" s="109">
        <v>18.180824372759858</v>
      </c>
      <c r="AB40" s="107">
        <v>23.041405265109379</v>
      </c>
      <c r="AC40" s="108">
        <v>19.967000000000002</v>
      </c>
      <c r="AD40" s="108">
        <v>22.566064516129032</v>
      </c>
      <c r="AE40" s="109">
        <v>25.358147200593251</v>
      </c>
      <c r="AF40" s="107">
        <v>30.775230414746545</v>
      </c>
      <c r="AG40" s="108">
        <v>22.003139784946239</v>
      </c>
      <c r="AH40" s="108">
        <v>20.11922580645161</v>
      </c>
      <c r="AI40" s="110">
        <v>27.871787170930663</v>
      </c>
      <c r="AJ40" s="107">
        <v>42.44163210445469</v>
      </c>
      <c r="AK40" s="108">
        <v>23.159627240143369</v>
      </c>
      <c r="AL40" s="108">
        <v>26.290838709677416</v>
      </c>
      <c r="AM40" s="110">
        <v>30.694301075268815</v>
      </c>
      <c r="AN40" s="107">
        <v>33.484109062980025</v>
      </c>
      <c r="AO40" s="108">
        <v>18.942569892473117</v>
      </c>
      <c r="AP40" s="108">
        <v>19.651143369175628</v>
      </c>
      <c r="AQ40" s="110">
        <v>20.982139784946238</v>
      </c>
      <c r="AR40" s="107">
        <v>17.691316277345198</v>
      </c>
      <c r="AS40" s="108">
        <v>13.950813620071685</v>
      </c>
      <c r="AT40" s="108">
        <v>17.044910394265234</v>
      </c>
      <c r="AU40" s="110">
        <v>21.104684587813619</v>
      </c>
      <c r="AV40" s="107">
        <v>38.034731182795703</v>
      </c>
      <c r="AW40" s="108">
        <v>23.496655913978497</v>
      </c>
      <c r="AX40" s="108">
        <v>35.391627240143372</v>
      </c>
      <c r="AY40" s="110">
        <v>44.995752688172047</v>
      </c>
      <c r="AZ40" s="107">
        <v>87.207115975422425</v>
      </c>
      <c r="BA40" s="108">
        <v>62.091189964157707</v>
      </c>
      <c r="BB40" s="108">
        <v>72.584648745519715</v>
      </c>
      <c r="BC40" s="110">
        <v>65.717350230414752</v>
      </c>
      <c r="BD40" s="107">
        <v>36.992914746543782</v>
      </c>
      <c r="BE40" s="108">
        <v>22.898846743295021</v>
      </c>
      <c r="BF40" s="108">
        <v>25.803125448028677</v>
      </c>
      <c r="BG40" s="109">
        <v>27.207257199357311</v>
      </c>
      <c r="BH40" s="107">
        <v>36.531664812754912</v>
      </c>
      <c r="BI40" s="108">
        <v>23.881666666666664</v>
      </c>
      <c r="BJ40" s="108">
        <v>28.033271749755624</v>
      </c>
      <c r="BK40" s="109">
        <v>37.876666666666665</v>
      </c>
      <c r="BL40" s="107">
        <v>66.61099999999999</v>
      </c>
      <c r="BM40" s="108">
        <v>31.887333333333334</v>
      </c>
      <c r="BN40" s="108">
        <v>36.246333333333332</v>
      </c>
      <c r="BO40" s="109">
        <v>45.479666666666667</v>
      </c>
      <c r="BP40" s="107">
        <v>78.234833333333327</v>
      </c>
      <c r="BQ40" s="108">
        <v>30.730333333333334</v>
      </c>
      <c r="BR40" s="108">
        <v>38.116666666666667</v>
      </c>
      <c r="BS40" s="109">
        <v>47.058333333333337</v>
      </c>
      <c r="BT40" s="107">
        <v>82.607500000000002</v>
      </c>
      <c r="BU40" s="111"/>
      <c r="BV40" s="111"/>
      <c r="BW40" s="26"/>
      <c r="BX40" s="29"/>
      <c r="BY40" s="29"/>
      <c r="BZ40" s="29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</row>
    <row r="41" spans="1:90" x14ac:dyDescent="0.25">
      <c r="A41" s="9"/>
      <c r="B41" s="9"/>
      <c r="C41" s="3" t="s">
        <v>10</v>
      </c>
      <c r="D41" s="3"/>
      <c r="E41" s="3"/>
      <c r="F41" s="20" t="s">
        <v>92</v>
      </c>
      <c r="G41" s="20" t="s">
        <v>176</v>
      </c>
      <c r="H41" s="107">
        <v>51.217703533026111</v>
      </c>
      <c r="I41" s="108">
        <v>39.849598566308238</v>
      </c>
      <c r="J41" s="108">
        <v>42.30766666666667</v>
      </c>
      <c r="K41" s="109">
        <v>33.029612903225804</v>
      </c>
      <c r="L41" s="108">
        <v>29.307712272895809</v>
      </c>
      <c r="M41" s="108">
        <v>23.766767025089607</v>
      </c>
      <c r="N41" s="108">
        <v>31.687706093189963</v>
      </c>
      <c r="O41" s="108">
        <v>37.770362007168465</v>
      </c>
      <c r="P41" s="107">
        <v>59.674685099846393</v>
      </c>
      <c r="Q41" s="108">
        <v>35.055426523297491</v>
      </c>
      <c r="R41" s="108">
        <v>34.506917562724013</v>
      </c>
      <c r="S41" s="108">
        <v>37.765272401433691</v>
      </c>
      <c r="T41" s="107">
        <v>110.91029569892471</v>
      </c>
      <c r="U41" s="108">
        <v>32.673215053763442</v>
      </c>
      <c r="V41" s="108">
        <v>26.835308243727599</v>
      </c>
      <c r="W41" s="109">
        <v>29.098641577060931</v>
      </c>
      <c r="X41" s="107">
        <v>62.701509216589862</v>
      </c>
      <c r="Y41" s="108">
        <v>19.47948745519713</v>
      </c>
      <c r="Z41" s="108">
        <v>21.876344086021504</v>
      </c>
      <c r="AA41" s="109">
        <v>18.500060931899643</v>
      </c>
      <c r="AB41" s="107">
        <v>23.406992955135337</v>
      </c>
      <c r="AC41" s="108">
        <v>20.614000000000001</v>
      </c>
      <c r="AD41" s="108">
        <v>23.551304659498211</v>
      </c>
      <c r="AE41" s="109">
        <v>25.65434396242739</v>
      </c>
      <c r="AF41" s="107">
        <v>31.01460061443932</v>
      </c>
      <c r="AG41" s="108">
        <v>23.135681003584228</v>
      </c>
      <c r="AH41" s="108">
        <v>21.546702508960575</v>
      </c>
      <c r="AI41" s="110">
        <v>28.662506488691136</v>
      </c>
      <c r="AJ41" s="107">
        <v>44.2689247311828</v>
      </c>
      <c r="AK41" s="108">
        <v>23.940620071684588</v>
      </c>
      <c r="AL41" s="108">
        <v>27.827279569892472</v>
      </c>
      <c r="AM41" s="110">
        <v>31.151440860215057</v>
      </c>
      <c r="AN41" s="107">
        <v>34.008728878648235</v>
      </c>
      <c r="AO41" s="108">
        <v>20.387387096774194</v>
      </c>
      <c r="AP41" s="108">
        <v>20.8450394265233</v>
      </c>
      <c r="AQ41" s="110">
        <v>21.317322580645161</v>
      </c>
      <c r="AR41" s="107">
        <v>18.166707452725252</v>
      </c>
      <c r="AS41" s="108">
        <v>14.251544802867384</v>
      </c>
      <c r="AT41" s="108">
        <v>17.756154121863798</v>
      </c>
      <c r="AU41" s="110">
        <v>21.446086021505376</v>
      </c>
      <c r="AV41" s="107">
        <v>39.195910138248848</v>
      </c>
      <c r="AW41" s="108">
        <v>23.922989247311829</v>
      </c>
      <c r="AX41" s="108">
        <v>36.751745519713261</v>
      </c>
      <c r="AY41" s="110">
        <v>45.955767025089607</v>
      </c>
      <c r="AZ41" s="107">
        <v>88.427377112135176</v>
      </c>
      <c r="BA41" s="108">
        <v>63.110179211469529</v>
      </c>
      <c r="BB41" s="108">
        <v>74.391806451612908</v>
      </c>
      <c r="BC41" s="110">
        <v>66.677703533026104</v>
      </c>
      <c r="BD41" s="107">
        <v>37.281643625192011</v>
      </c>
      <c r="BE41" s="108">
        <v>23.224651340996171</v>
      </c>
      <c r="BF41" s="108">
        <v>26.321562724014338</v>
      </c>
      <c r="BG41" s="109">
        <v>27.598139290569765</v>
      </c>
      <c r="BH41" s="107">
        <v>37.594886911383021</v>
      </c>
      <c r="BI41" s="108">
        <v>24.427555555555557</v>
      </c>
      <c r="BJ41" s="108">
        <v>28.87366275659824</v>
      </c>
      <c r="BK41" s="109">
        <v>39.243333333333332</v>
      </c>
      <c r="BL41" s="107">
        <v>71.186666666666667</v>
      </c>
      <c r="BM41" s="108">
        <v>33.725999999999999</v>
      </c>
      <c r="BN41" s="108">
        <v>39.074999999999996</v>
      </c>
      <c r="BO41" s="109">
        <v>48.520333333333333</v>
      </c>
      <c r="BP41" s="107">
        <v>78.534000000000006</v>
      </c>
      <c r="BQ41" s="108">
        <v>32.68566666666667</v>
      </c>
      <c r="BR41" s="108">
        <v>40.643000000000001</v>
      </c>
      <c r="BS41" s="109">
        <v>50.187333333333335</v>
      </c>
      <c r="BT41" s="107">
        <v>94.008250000000004</v>
      </c>
      <c r="BU41" s="111"/>
      <c r="BV41" s="111"/>
      <c r="BW41" s="26"/>
      <c r="BX41" s="29"/>
      <c r="BY41" s="29"/>
      <c r="BZ41" s="29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</row>
    <row r="42" spans="1:90" x14ac:dyDescent="0.25">
      <c r="A42" s="9"/>
      <c r="B42" s="9"/>
      <c r="C42" s="3" t="s">
        <v>11</v>
      </c>
      <c r="D42" s="3"/>
      <c r="E42" s="3"/>
      <c r="F42" s="20" t="s">
        <v>86</v>
      </c>
      <c r="G42" s="20" t="s">
        <v>177</v>
      </c>
      <c r="H42" s="107">
        <v>41.578717357910911</v>
      </c>
      <c r="I42" s="108">
        <v>34.073795698924734</v>
      </c>
      <c r="J42" s="108">
        <v>33.979060931899646</v>
      </c>
      <c r="K42" s="109">
        <v>31.896204301075272</v>
      </c>
      <c r="L42" s="108">
        <v>28.550674823878381</v>
      </c>
      <c r="M42" s="108">
        <v>23.868584229390681</v>
      </c>
      <c r="N42" s="108">
        <v>26.3534229390681</v>
      </c>
      <c r="O42" s="108">
        <v>31.292283154121861</v>
      </c>
      <c r="P42" s="107">
        <v>33.64162442396313</v>
      </c>
      <c r="Q42" s="108">
        <v>31.076566308243731</v>
      </c>
      <c r="R42" s="108">
        <v>28.673139784946233</v>
      </c>
      <c r="S42" s="108">
        <v>32.954774193548388</v>
      </c>
      <c r="T42" s="107">
        <v>75.767427035330257</v>
      </c>
      <c r="U42" s="108">
        <v>32.419921146953406</v>
      </c>
      <c r="V42" s="108">
        <v>27.762207885304662</v>
      </c>
      <c r="W42" s="109">
        <v>30.25106810035842</v>
      </c>
      <c r="X42" s="107">
        <v>45.347515360983103</v>
      </c>
      <c r="Y42" s="108">
        <v>25.62824014336918</v>
      </c>
      <c r="Z42" s="108">
        <v>23.185093189964153</v>
      </c>
      <c r="AA42" s="109">
        <v>23.37556630824373</v>
      </c>
      <c r="AB42" s="107">
        <v>25.254738598442714</v>
      </c>
      <c r="AC42" s="108">
        <v>21.023616487455197</v>
      </c>
      <c r="AD42" s="108">
        <v>22.789408602150541</v>
      </c>
      <c r="AE42" s="109">
        <v>25.739426523297492</v>
      </c>
      <c r="AF42" s="107">
        <v>26.821432411674348</v>
      </c>
      <c r="AG42" s="108">
        <v>22.619584229390682</v>
      </c>
      <c r="AH42" s="108">
        <v>21.91022580645161</v>
      </c>
      <c r="AI42" s="110">
        <v>27.646648745519713</v>
      </c>
      <c r="AJ42" s="107">
        <v>41.514711981566826</v>
      </c>
      <c r="AK42" s="108">
        <v>26.223602150537634</v>
      </c>
      <c r="AL42" s="108">
        <v>24.317541218637995</v>
      </c>
      <c r="AM42" s="110">
        <v>30.413071684587816</v>
      </c>
      <c r="AN42" s="107">
        <v>27.751643625192013</v>
      </c>
      <c r="AO42" s="108">
        <v>20.281756272401434</v>
      </c>
      <c r="AP42" s="108">
        <v>20.168591397849465</v>
      </c>
      <c r="AQ42" s="110">
        <v>22.603118279569895</v>
      </c>
      <c r="AR42" s="107">
        <v>18.024412309974043</v>
      </c>
      <c r="AS42" s="108">
        <v>14.567286738351255</v>
      </c>
      <c r="AT42" s="108">
        <v>16.527161290322578</v>
      </c>
      <c r="AU42" s="110">
        <v>19.666247311827956</v>
      </c>
      <c r="AV42" s="107">
        <v>27.673275729646694</v>
      </c>
      <c r="AW42" s="108">
        <v>23.018985663082436</v>
      </c>
      <c r="AX42" s="108">
        <v>31.685784946236563</v>
      </c>
      <c r="AY42" s="110">
        <v>46.920946236559139</v>
      </c>
      <c r="AZ42" s="107">
        <v>51.972269585253457</v>
      </c>
      <c r="BA42" s="108">
        <v>60.19919713261649</v>
      </c>
      <c r="BB42" s="108">
        <v>67.690129032258071</v>
      </c>
      <c r="BC42" s="110">
        <v>61.581353355580269</v>
      </c>
      <c r="BD42" s="107">
        <v>29.256540706605222</v>
      </c>
      <c r="BE42" s="108">
        <v>23.281329749103943</v>
      </c>
      <c r="BF42" s="108">
        <v>23.084802867383512</v>
      </c>
      <c r="BG42" s="109">
        <v>32.060279569892479</v>
      </c>
      <c r="BH42" s="107">
        <v>30.478301816833522</v>
      </c>
      <c r="BI42" s="108">
        <v>23.49981609195402</v>
      </c>
      <c r="BJ42" s="108">
        <v>25.215279569892473</v>
      </c>
      <c r="BK42" s="109">
        <v>34.777000000000001</v>
      </c>
      <c r="BL42" s="107">
        <v>46.710999999999991</v>
      </c>
      <c r="BM42" s="108">
        <v>30.603999999999999</v>
      </c>
      <c r="BN42" s="108">
        <v>33.880666666666663</v>
      </c>
      <c r="BO42" s="109">
        <v>40.469000000000001</v>
      </c>
      <c r="BP42" s="107">
        <v>54.403666666666673</v>
      </c>
      <c r="BQ42" s="108">
        <v>32.24</v>
      </c>
      <c r="BR42" s="108">
        <v>36.578666666666663</v>
      </c>
      <c r="BS42" s="109">
        <v>41.871000000000002</v>
      </c>
      <c r="BT42" s="107">
        <v>61.461750000000002</v>
      </c>
      <c r="BU42" s="111"/>
      <c r="BV42" s="111"/>
      <c r="BW42" s="26"/>
      <c r="BX42" s="29"/>
      <c r="BY42" s="29"/>
      <c r="BZ42" s="29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</row>
    <row r="43" spans="1:90" x14ac:dyDescent="0.25">
      <c r="A43" s="9"/>
      <c r="B43" s="9"/>
      <c r="C43" s="3" t="s">
        <v>12</v>
      </c>
      <c r="D43" s="3"/>
      <c r="E43" s="3"/>
      <c r="F43" s="20" t="s">
        <v>87</v>
      </c>
      <c r="G43" s="20" t="s">
        <v>178</v>
      </c>
      <c r="H43" s="107">
        <v>48.083571428571425</v>
      </c>
      <c r="I43" s="108">
        <v>36.092243727598564</v>
      </c>
      <c r="J43" s="108">
        <v>37.203688172043009</v>
      </c>
      <c r="K43" s="109">
        <v>31.937677419354838</v>
      </c>
      <c r="L43" s="108">
        <v>29.177601038190584</v>
      </c>
      <c r="M43" s="108">
        <v>23.388035842293906</v>
      </c>
      <c r="N43" s="108">
        <v>29.063060931899642</v>
      </c>
      <c r="O43" s="108">
        <v>33.259293906810036</v>
      </c>
      <c r="P43" s="107">
        <v>34.311420890937022</v>
      </c>
      <c r="Q43" s="108">
        <v>32.601010752688175</v>
      </c>
      <c r="R43" s="108">
        <v>30.45610752688172</v>
      </c>
      <c r="S43" s="108">
        <v>33.582250896057353</v>
      </c>
      <c r="T43" s="107">
        <v>92.80697388632872</v>
      </c>
      <c r="U43" s="108">
        <v>32.843103942652327</v>
      </c>
      <c r="V43" s="108">
        <v>26.12511111111111</v>
      </c>
      <c r="W43" s="109">
        <v>38.056275985663085</v>
      </c>
      <c r="X43" s="107">
        <v>55.255990783410141</v>
      </c>
      <c r="Y43" s="108">
        <v>24.929222222222222</v>
      </c>
      <c r="Z43" s="108">
        <v>20.540412186379928</v>
      </c>
      <c r="AA43" s="109">
        <v>23.924777777777777</v>
      </c>
      <c r="AB43" s="107">
        <v>27.279276974416018</v>
      </c>
      <c r="AC43" s="108">
        <v>19.281114695340502</v>
      </c>
      <c r="AD43" s="108">
        <v>21.88145878136201</v>
      </c>
      <c r="AE43" s="109">
        <v>20.956806451612902</v>
      </c>
      <c r="AF43" s="107">
        <v>28.990660522273426</v>
      </c>
      <c r="AG43" s="108">
        <v>21.984344086021508</v>
      </c>
      <c r="AH43" s="108">
        <v>19.496293906810038</v>
      </c>
      <c r="AI43" s="110">
        <v>30.979917562724012</v>
      </c>
      <c r="AJ43" s="107">
        <v>45.176466973886335</v>
      </c>
      <c r="AK43" s="108">
        <v>24.124985663082438</v>
      </c>
      <c r="AL43" s="108">
        <v>24.36968100358423</v>
      </c>
      <c r="AM43" s="110">
        <v>33.634921146953403</v>
      </c>
      <c r="AN43" s="107">
        <v>28.109600614439326</v>
      </c>
      <c r="AO43" s="108">
        <v>19.133071684587815</v>
      </c>
      <c r="AP43" s="108">
        <v>19.015007168458784</v>
      </c>
      <c r="AQ43" s="110">
        <v>19.379817204301073</v>
      </c>
      <c r="AR43" s="107">
        <v>17.356863181312573</v>
      </c>
      <c r="AS43" s="108">
        <v>13.666727598566306</v>
      </c>
      <c r="AT43" s="108">
        <v>15.57025448028674</v>
      </c>
      <c r="AU43" s="110">
        <v>18.875394265232973</v>
      </c>
      <c r="AV43" s="107">
        <v>32.46409370199693</v>
      </c>
      <c r="AW43" s="108">
        <v>21.19268458781362</v>
      </c>
      <c r="AX43" s="108">
        <v>30.895795698924729</v>
      </c>
      <c r="AY43" s="110">
        <v>42.39137275985663</v>
      </c>
      <c r="AZ43" s="107">
        <v>54.478141321044546</v>
      </c>
      <c r="BA43" s="108">
        <v>54.540469534050182</v>
      </c>
      <c r="BB43" s="108">
        <v>64.93725448028674</v>
      </c>
      <c r="BC43" s="110">
        <v>58.797000370782349</v>
      </c>
      <c r="BD43" s="107">
        <v>26.868467741935486</v>
      </c>
      <c r="BE43" s="108">
        <v>17.471865282412555</v>
      </c>
      <c r="BF43" s="108">
        <v>20.126082437275986</v>
      </c>
      <c r="BG43" s="109">
        <v>24.936168458781363</v>
      </c>
      <c r="BH43" s="107">
        <v>27.067408231368187</v>
      </c>
      <c r="BI43" s="108">
        <v>20.294620689655172</v>
      </c>
      <c r="BJ43" s="108">
        <v>26.124003910068424</v>
      </c>
      <c r="BK43" s="109">
        <v>35.55833333333333</v>
      </c>
      <c r="BL43" s="107">
        <v>49.286666666666669</v>
      </c>
      <c r="BM43" s="108">
        <v>30.120666666666665</v>
      </c>
      <c r="BN43" s="108">
        <v>35.076000000000001</v>
      </c>
      <c r="BO43" s="109">
        <v>39.729666666666667</v>
      </c>
      <c r="BP43" s="107">
        <v>54.56733333333333</v>
      </c>
      <c r="BQ43" s="108">
        <v>31.944333333333333</v>
      </c>
      <c r="BR43" s="108">
        <v>36.759666666666668</v>
      </c>
      <c r="BS43" s="109">
        <v>41.532000000000004</v>
      </c>
      <c r="BT43" s="107">
        <v>63.910000000000004</v>
      </c>
      <c r="BU43" s="111"/>
      <c r="BV43" s="111"/>
      <c r="BW43" s="26"/>
      <c r="BX43" s="29"/>
      <c r="BY43" s="29"/>
      <c r="BZ43" s="29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</row>
    <row r="44" spans="1:90" x14ac:dyDescent="0.25">
      <c r="A44" s="9"/>
      <c r="B44" s="9"/>
      <c r="C44" s="3" t="s">
        <v>13</v>
      </c>
      <c r="D44" s="3"/>
      <c r="E44" s="3"/>
      <c r="F44" s="20" t="s">
        <v>159</v>
      </c>
      <c r="G44" s="20" t="s">
        <v>198</v>
      </c>
      <c r="H44" s="107">
        <v>33.347884024577574</v>
      </c>
      <c r="I44" s="108">
        <v>30.961928315412184</v>
      </c>
      <c r="J44" s="108">
        <v>31.972670250896059</v>
      </c>
      <c r="K44" s="109">
        <v>30.547093189964158</v>
      </c>
      <c r="L44" s="108">
        <v>25.688824619948093</v>
      </c>
      <c r="M44" s="108">
        <v>21.720017921146951</v>
      </c>
      <c r="N44" s="108">
        <v>25.605992831541219</v>
      </c>
      <c r="O44" s="108">
        <v>29.721530465949822</v>
      </c>
      <c r="P44" s="107">
        <v>30.705595238095238</v>
      </c>
      <c r="Q44" s="108">
        <v>28.693759856630823</v>
      </c>
      <c r="R44" s="108">
        <v>26.279329749103947</v>
      </c>
      <c r="S44" s="108">
        <v>28.579713261648749</v>
      </c>
      <c r="T44" s="107">
        <v>55.541236559139783</v>
      </c>
      <c r="U44" s="108">
        <v>30.851795698924729</v>
      </c>
      <c r="V44" s="108">
        <v>26.495060931899644</v>
      </c>
      <c r="W44" s="109">
        <v>30.12110035842294</v>
      </c>
      <c r="X44" s="107">
        <v>33.94347107014849</v>
      </c>
      <c r="Y44" s="108">
        <v>24.430885304659498</v>
      </c>
      <c r="Z44" s="108">
        <v>22.768344086021504</v>
      </c>
      <c r="AA44" s="109">
        <v>22.008093189964157</v>
      </c>
      <c r="AB44" s="107">
        <v>21.947886540600667</v>
      </c>
      <c r="AC44" s="108">
        <v>21.22931899641577</v>
      </c>
      <c r="AD44" s="108">
        <v>22.398551971326167</v>
      </c>
      <c r="AE44" s="109">
        <v>25.043734890619206</v>
      </c>
      <c r="AF44" s="107">
        <v>25.45239247311828</v>
      </c>
      <c r="AG44" s="108">
        <v>22.470820788530471</v>
      </c>
      <c r="AH44" s="108">
        <v>22.564992831541218</v>
      </c>
      <c r="AI44" s="110">
        <v>26.184466073414907</v>
      </c>
      <c r="AJ44" s="107">
        <v>34.112392985151047</v>
      </c>
      <c r="AK44" s="108">
        <v>27.232039426523301</v>
      </c>
      <c r="AL44" s="108">
        <v>24.363473118279568</v>
      </c>
      <c r="AM44" s="110">
        <v>29.279265232974911</v>
      </c>
      <c r="AN44" s="107">
        <v>26.956123399897592</v>
      </c>
      <c r="AO44" s="108">
        <v>20.089566308243729</v>
      </c>
      <c r="AP44" s="108">
        <v>20.698157706093191</v>
      </c>
      <c r="AQ44" s="110">
        <v>23.335777777777775</v>
      </c>
      <c r="AR44" s="107">
        <v>17.674867383512545</v>
      </c>
      <c r="AS44" s="108">
        <v>14.84194982078853</v>
      </c>
      <c r="AT44" s="108">
        <v>17.344182795698927</v>
      </c>
      <c r="AU44" s="110">
        <v>19.694526881720432</v>
      </c>
      <c r="AV44" s="107">
        <v>26.505384024577577</v>
      </c>
      <c r="AW44" s="108">
        <v>23.336759856630824</v>
      </c>
      <c r="AX44" s="108">
        <v>32.231960573476705</v>
      </c>
      <c r="AY44" s="110">
        <v>46.117534050179216</v>
      </c>
      <c r="AZ44" s="107">
        <v>43.98985407066052</v>
      </c>
      <c r="BA44" s="108">
        <v>57.759818740399389</v>
      </c>
      <c r="BB44" s="108">
        <v>65.376225806451615</v>
      </c>
      <c r="BC44" s="110">
        <v>60.394781362007166</v>
      </c>
      <c r="BD44" s="107">
        <v>26.509850230414745</v>
      </c>
      <c r="BE44" s="108">
        <v>22.587222222222223</v>
      </c>
      <c r="BF44" s="108">
        <v>23.075562724014336</v>
      </c>
      <c r="BG44" s="109">
        <v>26.13768458781362</v>
      </c>
      <c r="BH44" s="107">
        <v>25.081234705228031</v>
      </c>
      <c r="BI44" s="108">
        <v>23.632151614668857</v>
      </c>
      <c r="BJ44" s="108">
        <v>24.677727969348656</v>
      </c>
      <c r="BK44" s="109">
        <v>32.890999999999998</v>
      </c>
      <c r="BL44" s="107">
        <v>40.669999999999995</v>
      </c>
      <c r="BM44" s="108">
        <v>29.324666666666669</v>
      </c>
      <c r="BN44" s="108">
        <v>32.806999999999995</v>
      </c>
      <c r="BO44" s="109">
        <v>37.423333333333332</v>
      </c>
      <c r="BP44" s="107">
        <v>44.983166666666669</v>
      </c>
      <c r="BQ44" s="108">
        <v>30.033000000000001</v>
      </c>
      <c r="BR44" s="108">
        <v>33.833333333333336</v>
      </c>
      <c r="BS44" s="109">
        <v>38.405999999999999</v>
      </c>
      <c r="BT44" s="107">
        <v>51.682500000000005</v>
      </c>
      <c r="BU44" s="111"/>
      <c r="BV44" s="111"/>
      <c r="BW44" s="26"/>
      <c r="BX44" s="29"/>
      <c r="BY44" s="29"/>
      <c r="BZ44" s="29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</row>
    <row r="45" spans="1:90" x14ac:dyDescent="0.25">
      <c r="A45" s="9"/>
      <c r="B45" s="9"/>
      <c r="C45" s="3" t="s">
        <v>14</v>
      </c>
      <c r="D45" s="3"/>
      <c r="E45" s="3"/>
      <c r="F45" s="20" t="s">
        <v>160</v>
      </c>
      <c r="G45" s="129"/>
      <c r="H45" s="107">
        <v>33.298033794162826</v>
      </c>
      <c r="I45" s="108">
        <v>31.009340501792114</v>
      </c>
      <c r="J45" s="108">
        <v>32.125118279569897</v>
      </c>
      <c r="K45" s="109">
        <v>30.676046594982079</v>
      </c>
      <c r="L45" s="108">
        <v>25.688591027067108</v>
      </c>
      <c r="M45" s="108">
        <v>21.837681003584226</v>
      </c>
      <c r="N45" s="108">
        <v>25.724408602150536</v>
      </c>
      <c r="O45" s="108">
        <v>29.811258064516128</v>
      </c>
      <c r="P45" s="107">
        <v>30.590199692780342</v>
      </c>
      <c r="Q45" s="108">
        <v>28.865225806451615</v>
      </c>
      <c r="R45" s="108">
        <v>26.415559139784946</v>
      </c>
      <c r="S45" s="108">
        <v>28.627401433691755</v>
      </c>
      <c r="T45" s="107">
        <v>55.214420122887866</v>
      </c>
      <c r="U45" s="108">
        <v>31.095670250896053</v>
      </c>
      <c r="V45" s="108">
        <v>26.585681003584227</v>
      </c>
      <c r="W45" s="109">
        <v>29.954075268817206</v>
      </c>
      <c r="X45" s="107">
        <v>33.825161546338968</v>
      </c>
      <c r="Y45" s="108">
        <v>24.376419354838713</v>
      </c>
      <c r="Z45" s="108">
        <v>22.842021505376341</v>
      </c>
      <c r="AA45" s="109">
        <v>21.997132616487452</v>
      </c>
      <c r="AB45" s="107">
        <v>22.072717834631067</v>
      </c>
      <c r="AC45" s="108">
        <v>21.379215053763442</v>
      </c>
      <c r="AD45" s="108">
        <v>22.513336917562725</v>
      </c>
      <c r="AE45" s="109">
        <v>24.973278581139539</v>
      </c>
      <c r="AF45" s="107">
        <v>25.481344086021505</v>
      </c>
      <c r="AG45" s="108">
        <v>22.570086021505375</v>
      </c>
      <c r="AH45" s="108">
        <v>22.690290322580648</v>
      </c>
      <c r="AI45" s="110">
        <v>26.094084538375977</v>
      </c>
      <c r="AJ45" s="107">
        <v>33.19622759856631</v>
      </c>
      <c r="AK45" s="108">
        <v>27.39832616487455</v>
      </c>
      <c r="AL45" s="108">
        <v>24.422025089605736</v>
      </c>
      <c r="AM45" s="110">
        <v>29.34837275985663</v>
      </c>
      <c r="AN45" s="107">
        <v>26.969953149001537</v>
      </c>
      <c r="AO45" s="108">
        <v>20.184967741935484</v>
      </c>
      <c r="AP45" s="108">
        <v>20.775709677419353</v>
      </c>
      <c r="AQ45" s="110">
        <v>23.38905376344086</v>
      </c>
      <c r="AR45" s="107">
        <v>17.671227660363368</v>
      </c>
      <c r="AS45" s="108">
        <v>14.852569892473118</v>
      </c>
      <c r="AT45" s="108">
        <v>17.429290322580645</v>
      </c>
      <c r="AU45" s="110">
        <v>19.592501792114696</v>
      </c>
      <c r="AV45" s="107">
        <v>26.498646953405018</v>
      </c>
      <c r="AW45" s="108">
        <v>23.430964157706089</v>
      </c>
      <c r="AX45" s="108">
        <v>32.313236559139789</v>
      </c>
      <c r="AY45" s="110">
        <v>45.306498207885305</v>
      </c>
      <c r="AZ45" s="107">
        <v>43.693049155145928</v>
      </c>
      <c r="BA45" s="108">
        <v>57.612471326164872</v>
      </c>
      <c r="BB45" s="108">
        <v>65.358139784946232</v>
      </c>
      <c r="BC45" s="110">
        <v>59.920229390681008</v>
      </c>
      <c r="BD45" s="107">
        <v>26.348091397849462</v>
      </c>
      <c r="BE45" s="108">
        <v>22.551111111111112</v>
      </c>
      <c r="BF45" s="108">
        <v>23.140146953405019</v>
      </c>
      <c r="BG45" s="109">
        <v>26.065799283154121</v>
      </c>
      <c r="BH45" s="107">
        <v>25.104175009269557</v>
      </c>
      <c r="BI45" s="108">
        <v>23.491459496442257</v>
      </c>
      <c r="BJ45" s="108">
        <v>23.89442528735632</v>
      </c>
      <c r="BK45" s="109"/>
      <c r="BL45" s="107"/>
      <c r="BM45" s="108"/>
      <c r="BN45" s="108"/>
      <c r="BO45" s="109"/>
      <c r="BP45" s="107"/>
      <c r="BQ45" s="108"/>
      <c r="BR45" s="108"/>
      <c r="BS45" s="109"/>
      <c r="BT45" s="107"/>
      <c r="BU45" s="111"/>
      <c r="BV45" s="111"/>
      <c r="BW45" s="26"/>
      <c r="BX45" s="29"/>
      <c r="BY45" s="29"/>
      <c r="BZ45" s="29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</row>
    <row r="46" spans="1:90" x14ac:dyDescent="0.25">
      <c r="A46" s="9"/>
      <c r="B46" s="9"/>
      <c r="C46" s="3" t="s">
        <v>15</v>
      </c>
      <c r="D46" s="3"/>
      <c r="E46" s="3"/>
      <c r="F46" s="20" t="s">
        <v>88</v>
      </c>
      <c r="G46" s="20" t="s">
        <v>179</v>
      </c>
      <c r="H46" s="107">
        <v>28.365737327188942</v>
      </c>
      <c r="I46" s="108">
        <v>24.09255555555556</v>
      </c>
      <c r="J46" s="108">
        <v>25.695250896057349</v>
      </c>
      <c r="K46" s="109">
        <v>20.59753405017921</v>
      </c>
      <c r="L46" s="108">
        <v>24.09860585836114</v>
      </c>
      <c r="M46" s="108">
        <v>19.812279569892471</v>
      </c>
      <c r="N46" s="108">
        <v>23.774541218637992</v>
      </c>
      <c r="O46" s="108">
        <v>23.10483870967742</v>
      </c>
      <c r="P46" s="107">
        <v>27.405944700460832</v>
      </c>
      <c r="Q46" s="108">
        <v>25.874584229390681</v>
      </c>
      <c r="R46" s="108">
        <v>23.870684587813617</v>
      </c>
      <c r="S46" s="108">
        <v>26.149584229390683</v>
      </c>
      <c r="T46" s="107">
        <v>46.07847542242704</v>
      </c>
      <c r="U46" s="108">
        <v>27.005200716845877</v>
      </c>
      <c r="V46" s="108">
        <v>24.014017921146955</v>
      </c>
      <c r="W46" s="109">
        <v>25.285017921146949</v>
      </c>
      <c r="X46" s="107">
        <v>27.835195852534564</v>
      </c>
      <c r="Y46" s="108">
        <v>18.379376344086022</v>
      </c>
      <c r="Z46" s="108">
        <v>21.306949820788532</v>
      </c>
      <c r="AA46" s="109">
        <v>19.738121863799282</v>
      </c>
      <c r="AB46" s="107">
        <v>19.842135706340379</v>
      </c>
      <c r="AC46" s="108">
        <v>18.19563082437276</v>
      </c>
      <c r="AD46" s="108">
        <v>21.276777777777777</v>
      </c>
      <c r="AE46" s="109">
        <v>23.444842293906806</v>
      </c>
      <c r="AF46" s="107">
        <v>23.188306451612902</v>
      </c>
      <c r="AG46" s="108">
        <v>20.113939068100358</v>
      </c>
      <c r="AH46" s="108">
        <v>18.337401433691756</v>
      </c>
      <c r="AI46" s="110">
        <v>21.493344086021505</v>
      </c>
      <c r="AJ46" s="107">
        <v>22.854642857142853</v>
      </c>
      <c r="AK46" s="108">
        <v>18.778000000000002</v>
      </c>
      <c r="AL46" s="108">
        <v>22.038691756272403</v>
      </c>
      <c r="AM46" s="110">
        <v>24.745315412186375</v>
      </c>
      <c r="AN46" s="107">
        <v>22.725783410138249</v>
      </c>
      <c r="AO46" s="108">
        <v>18.287035842293907</v>
      </c>
      <c r="AP46" s="108">
        <v>17.056290322580647</v>
      </c>
      <c r="AQ46" s="110">
        <v>16.944544802867384</v>
      </c>
      <c r="AR46" s="107">
        <v>16.37061920652577</v>
      </c>
      <c r="AS46" s="108">
        <v>12.41815770609319</v>
      </c>
      <c r="AT46" s="108">
        <v>15.267154121863799</v>
      </c>
      <c r="AU46" s="110">
        <v>16.659799283154122</v>
      </c>
      <c r="AV46" s="107">
        <v>24.988302611367128</v>
      </c>
      <c r="AW46" s="108">
        <v>21.212881720430108</v>
      </c>
      <c r="AX46" s="108">
        <v>30.059279569892471</v>
      </c>
      <c r="AY46" s="110">
        <v>36.044835125448024</v>
      </c>
      <c r="AZ46" s="107">
        <v>35.337546082949309</v>
      </c>
      <c r="BA46" s="108">
        <v>47.594390681003581</v>
      </c>
      <c r="BB46" s="108">
        <v>60.494186379928315</v>
      </c>
      <c r="BC46" s="110">
        <v>43.373978494623657</v>
      </c>
      <c r="BD46" s="107">
        <v>22.818207117255508</v>
      </c>
      <c r="BE46" s="108">
        <v>15.336743789395625</v>
      </c>
      <c r="BF46" s="108">
        <v>21.778172043010752</v>
      </c>
      <c r="BG46" s="109">
        <v>20.639609318996417</v>
      </c>
      <c r="BH46" s="107">
        <v>22.894942528735637</v>
      </c>
      <c r="BI46" s="108">
        <v>15.612743295019158</v>
      </c>
      <c r="BJ46" s="108">
        <v>18.680505376344087</v>
      </c>
      <c r="BK46" s="109">
        <v>25.492666666666665</v>
      </c>
      <c r="BL46" s="107">
        <v>35.363999999999997</v>
      </c>
      <c r="BM46" s="108">
        <v>23.592333333333332</v>
      </c>
      <c r="BN46" s="108">
        <v>28.414000000000001</v>
      </c>
      <c r="BO46" s="109">
        <v>29.799333333333333</v>
      </c>
      <c r="BP46" s="107">
        <v>38.283999999999999</v>
      </c>
      <c r="BQ46" s="108">
        <v>25.420666666666666</v>
      </c>
      <c r="BR46" s="108">
        <v>28.983333333333331</v>
      </c>
      <c r="BS46" s="109">
        <v>28.998666666666669</v>
      </c>
      <c r="BT46" s="107">
        <v>46.433250000000001</v>
      </c>
      <c r="BU46" s="111"/>
      <c r="BV46" s="111"/>
      <c r="BW46" s="26"/>
      <c r="BX46" s="29"/>
      <c r="BY46" s="29"/>
      <c r="BZ46" s="29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</row>
    <row r="47" spans="1:90" x14ac:dyDescent="0.25">
      <c r="A47" s="9"/>
      <c r="B47" s="9"/>
      <c r="C47" s="3" t="s">
        <v>16</v>
      </c>
      <c r="D47" s="3"/>
      <c r="E47" s="3"/>
      <c r="F47" s="20" t="s">
        <v>82</v>
      </c>
      <c r="G47" s="20" t="s">
        <v>215</v>
      </c>
      <c r="H47" s="107">
        <v>28.792995391705073</v>
      </c>
      <c r="I47" s="108">
        <v>26.111336917562724</v>
      </c>
      <c r="J47" s="108">
        <v>26.0621935483871</v>
      </c>
      <c r="K47" s="109">
        <v>21.418881720430107</v>
      </c>
      <c r="L47" s="108">
        <v>17.818427882832779</v>
      </c>
      <c r="M47" s="108">
        <v>15.593275985663084</v>
      </c>
      <c r="N47" s="108">
        <v>19.09759139784946</v>
      </c>
      <c r="O47" s="108">
        <v>21.150172043010752</v>
      </c>
      <c r="P47" s="107">
        <v>22.638437019969277</v>
      </c>
      <c r="Q47" s="108">
        <v>25.558698924731186</v>
      </c>
      <c r="R47" s="108">
        <v>24.006551971326164</v>
      </c>
      <c r="S47" s="108">
        <v>25.971541218637991</v>
      </c>
      <c r="T47" s="107">
        <v>32.398306451612903</v>
      </c>
      <c r="U47" s="108">
        <v>29.50877419354839</v>
      </c>
      <c r="V47" s="108">
        <v>26.784053763440863</v>
      </c>
      <c r="W47" s="109">
        <v>23.937885304659499</v>
      </c>
      <c r="X47" s="107">
        <v>19.345460829493089</v>
      </c>
      <c r="Y47" s="108">
        <v>18.209286738351253</v>
      </c>
      <c r="Z47" s="108">
        <v>18.644146953405016</v>
      </c>
      <c r="AA47" s="109">
        <v>15.067688172043011</v>
      </c>
      <c r="AB47" s="107">
        <v>12.695928809788654</v>
      </c>
      <c r="AC47" s="108">
        <v>12.968508960573478</v>
      </c>
      <c r="AD47" s="108">
        <v>18.55052329749104</v>
      </c>
      <c r="AE47" s="109">
        <v>16.590422939068102</v>
      </c>
      <c r="AF47" s="107">
        <v>17.379857910906299</v>
      </c>
      <c r="AG47" s="108">
        <v>20.988688172043013</v>
      </c>
      <c r="AH47" s="108">
        <v>19.935666666666666</v>
      </c>
      <c r="AI47" s="110">
        <v>18.296793968607094</v>
      </c>
      <c r="AJ47" s="107">
        <v>21.803218125960058</v>
      </c>
      <c r="AK47" s="108">
        <v>21.155616487455198</v>
      </c>
      <c r="AL47" s="108">
        <v>27.129236559139787</v>
      </c>
      <c r="AM47" s="110">
        <v>25.555974910394266</v>
      </c>
      <c r="AN47" s="107">
        <v>20.077050691244239</v>
      </c>
      <c r="AO47" s="108">
        <v>19.028960573476706</v>
      </c>
      <c r="AP47" s="108">
        <v>21.584390681003583</v>
      </c>
      <c r="AQ47" s="110">
        <v>17.980663082437278</v>
      </c>
      <c r="AR47" s="107">
        <v>14.836277345198368</v>
      </c>
      <c r="AS47" s="108">
        <v>13.490698924731182</v>
      </c>
      <c r="AT47" s="108">
        <v>18.018763440860216</v>
      </c>
      <c r="AU47" s="110">
        <v>18.575293906810035</v>
      </c>
      <c r="AV47" s="107">
        <v>513.02547619047607</v>
      </c>
      <c r="AW47" s="108">
        <v>22.95231541218638</v>
      </c>
      <c r="AX47" s="108">
        <v>31.178316648127549</v>
      </c>
      <c r="AY47" s="110">
        <v>31.927272401433687</v>
      </c>
      <c r="AZ47" s="107">
        <v>31.520698924731182</v>
      </c>
      <c r="BA47" s="108">
        <v>60.236752688172039</v>
      </c>
      <c r="BB47" s="108">
        <v>62.690230503028062</v>
      </c>
      <c r="BC47" s="110">
        <v>45.069310344827585</v>
      </c>
      <c r="BD47" s="107">
        <v>18.907290476190475</v>
      </c>
      <c r="BE47" s="108">
        <v>22.281172413793104</v>
      </c>
      <c r="BF47" s="108">
        <v>52.040743021346465</v>
      </c>
      <c r="BG47" s="109">
        <v>21.811176105137395</v>
      </c>
      <c r="BH47" s="107">
        <v>20.655462241997281</v>
      </c>
      <c r="BI47" s="108">
        <v>22.131288724685277</v>
      </c>
      <c r="BJ47" s="108">
        <v>22.833322580645159</v>
      </c>
      <c r="BK47" s="109">
        <v>26.926666666666666</v>
      </c>
      <c r="BL47" s="107">
        <v>49.259333333333331</v>
      </c>
      <c r="BM47" s="108">
        <v>35.447333333333333</v>
      </c>
      <c r="BN47" s="108">
        <v>46.280666666666662</v>
      </c>
      <c r="BO47" s="109">
        <v>37.702333333333335</v>
      </c>
      <c r="BP47" s="107">
        <v>51.395333333333326</v>
      </c>
      <c r="BQ47" s="108">
        <v>34.800333333333334</v>
      </c>
      <c r="BR47" s="108">
        <v>48.792999999999999</v>
      </c>
      <c r="BS47" s="109">
        <v>37.945666666666661</v>
      </c>
      <c r="BT47" s="107">
        <v>63.46275</v>
      </c>
      <c r="BU47" s="111"/>
      <c r="BV47" s="111"/>
      <c r="BW47" s="26"/>
      <c r="BX47" s="29"/>
      <c r="BY47" s="29"/>
      <c r="BZ47" s="29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</row>
    <row r="48" spans="1:90" x14ac:dyDescent="0.25">
      <c r="A48" s="9"/>
      <c r="B48" s="9"/>
      <c r="C48" s="3" t="s">
        <v>17</v>
      </c>
      <c r="D48" s="3"/>
      <c r="E48" s="3"/>
      <c r="F48" s="20" t="s">
        <v>83</v>
      </c>
      <c r="G48" s="20" t="s">
        <v>216</v>
      </c>
      <c r="H48" s="107">
        <v>29.003844086021505</v>
      </c>
      <c r="I48" s="108">
        <v>26.346229390681003</v>
      </c>
      <c r="J48" s="108">
        <v>26.107856630824372</v>
      </c>
      <c r="K48" s="109">
        <v>21.513906810035845</v>
      </c>
      <c r="L48" s="108">
        <v>17.816566555431962</v>
      </c>
      <c r="M48" s="108">
        <v>15.571286738351255</v>
      </c>
      <c r="N48" s="108">
        <v>19.02774551971326</v>
      </c>
      <c r="O48" s="108">
        <v>21.266666666666666</v>
      </c>
      <c r="P48" s="107">
        <v>22.624662058371737</v>
      </c>
      <c r="Q48" s="108">
        <v>25.451759856630826</v>
      </c>
      <c r="R48" s="108">
        <v>23.878240143369172</v>
      </c>
      <c r="S48" s="108">
        <v>25.720634408602152</v>
      </c>
      <c r="T48" s="107">
        <v>32.577872503840247</v>
      </c>
      <c r="U48" s="108">
        <v>29.44930465949821</v>
      </c>
      <c r="V48" s="108">
        <v>26.556881720430109</v>
      </c>
      <c r="W48" s="109">
        <v>24.043465949820789</v>
      </c>
      <c r="X48" s="107">
        <v>19.339297235023043</v>
      </c>
      <c r="Y48" s="108">
        <v>18.067842293906811</v>
      </c>
      <c r="Z48" s="108">
        <v>18.545322580645159</v>
      </c>
      <c r="AA48" s="109">
        <v>14.238308243727596</v>
      </c>
      <c r="AB48" s="107">
        <v>12.646262513904338</v>
      </c>
      <c r="AC48" s="108">
        <v>12.810566308243727</v>
      </c>
      <c r="AD48" s="108">
        <v>18.317469534050179</v>
      </c>
      <c r="AE48" s="109">
        <v>15.990107526881722</v>
      </c>
      <c r="AF48" s="107">
        <v>16.282837941628262</v>
      </c>
      <c r="AG48" s="108">
        <v>18.168369175627237</v>
      </c>
      <c r="AH48" s="108">
        <v>19.25232258064516</v>
      </c>
      <c r="AI48" s="110">
        <v>16.476257570139662</v>
      </c>
      <c r="AJ48" s="107">
        <v>21.37513440860215</v>
      </c>
      <c r="AK48" s="108">
        <v>20.672218637992831</v>
      </c>
      <c r="AL48" s="108">
        <v>26.916129032258066</v>
      </c>
      <c r="AM48" s="110">
        <v>25.50283870967742</v>
      </c>
      <c r="AN48" s="107">
        <v>19.817665130568358</v>
      </c>
      <c r="AO48" s="108">
        <v>18.587881720430108</v>
      </c>
      <c r="AP48" s="108">
        <v>21.263225806451612</v>
      </c>
      <c r="AQ48" s="110">
        <v>17.345541218637994</v>
      </c>
      <c r="AR48" s="107">
        <v>14.66602892102336</v>
      </c>
      <c r="AS48" s="108">
        <v>12.988505376344087</v>
      </c>
      <c r="AT48" s="108">
        <v>17.702774193548386</v>
      </c>
      <c r="AU48" s="110">
        <v>18.241125448028676</v>
      </c>
      <c r="AV48" s="107">
        <v>512.98281490015358</v>
      </c>
      <c r="AW48" s="108">
        <v>21.789426523297493</v>
      </c>
      <c r="AX48" s="108">
        <v>31.067011494252871</v>
      </c>
      <c r="AY48" s="110">
        <v>31.017989247311828</v>
      </c>
      <c r="AZ48" s="107">
        <v>30.00269969278034</v>
      </c>
      <c r="BA48" s="108">
        <v>53.835942652329749</v>
      </c>
      <c r="BB48" s="108">
        <v>62.740220615498707</v>
      </c>
      <c r="BC48" s="110">
        <v>43.947701149425285</v>
      </c>
      <c r="BD48" s="107">
        <v>18.192825396825395</v>
      </c>
      <c r="BE48" s="108">
        <v>21.009445295870581</v>
      </c>
      <c r="BF48" s="108">
        <v>51.036227422003286</v>
      </c>
      <c r="BG48" s="109">
        <v>20.604227160493824</v>
      </c>
      <c r="BH48" s="107">
        <v>20.226492769744159</v>
      </c>
      <c r="BI48" s="108">
        <v>20.040283251231525</v>
      </c>
      <c r="BJ48" s="108">
        <v>22.889430107526881</v>
      </c>
      <c r="BK48" s="109">
        <v>27.868333333333336</v>
      </c>
      <c r="BL48" s="107">
        <v>45.347666666666669</v>
      </c>
      <c r="BM48" s="108">
        <v>30.942333333333334</v>
      </c>
      <c r="BN48" s="108">
        <v>49.580999999999996</v>
      </c>
      <c r="BO48" s="109">
        <v>32.326333333333331</v>
      </c>
      <c r="BP48" s="107">
        <v>50.417333333333339</v>
      </c>
      <c r="BQ48" s="108">
        <v>30.915333333333333</v>
      </c>
      <c r="BR48" s="108">
        <v>48.68633333333333</v>
      </c>
      <c r="BS48" s="109">
        <v>32.704999999999998</v>
      </c>
      <c r="BT48" s="107">
        <v>60.722499999999997</v>
      </c>
      <c r="BU48" s="111"/>
      <c r="BV48" s="111"/>
      <c r="BW48" s="26"/>
      <c r="BX48" s="29"/>
      <c r="BY48" s="29"/>
      <c r="BZ48" s="29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</row>
    <row r="49" spans="1:90" x14ac:dyDescent="0.25">
      <c r="A49" s="9"/>
      <c r="B49" s="9"/>
      <c r="C49" s="3" t="s">
        <v>18</v>
      </c>
      <c r="D49" s="3"/>
      <c r="E49" s="3"/>
      <c r="F49" s="20" t="s">
        <v>84</v>
      </c>
      <c r="G49" s="20" t="s">
        <v>217</v>
      </c>
      <c r="H49" s="107">
        <v>29.307730414746544</v>
      </c>
      <c r="I49" s="108">
        <v>25.41595340501792</v>
      </c>
      <c r="J49" s="108">
        <v>25.988645161290322</v>
      </c>
      <c r="K49" s="109">
        <v>21.65830107526882</v>
      </c>
      <c r="L49" s="108">
        <v>17.777211716722285</v>
      </c>
      <c r="M49" s="108">
        <v>15.539756272401434</v>
      </c>
      <c r="N49" s="108">
        <v>19.10936917562724</v>
      </c>
      <c r="O49" s="108">
        <v>21.240896057347669</v>
      </c>
      <c r="P49" s="107">
        <v>22.531132872503843</v>
      </c>
      <c r="Q49" s="108">
        <v>25.333698924731181</v>
      </c>
      <c r="R49" s="108">
        <v>23.979591397849461</v>
      </c>
      <c r="S49" s="108">
        <v>25.927888888888887</v>
      </c>
      <c r="T49" s="107">
        <v>32.387584485407068</v>
      </c>
      <c r="U49" s="108">
        <v>29.294706093189962</v>
      </c>
      <c r="V49" s="108">
        <v>26.635136200716847</v>
      </c>
      <c r="W49" s="109">
        <v>23.917440860215052</v>
      </c>
      <c r="X49" s="107">
        <v>19.304354838709678</v>
      </c>
      <c r="Y49" s="108">
        <v>18.188609318996416</v>
      </c>
      <c r="Z49" s="108">
        <v>18.671107526881723</v>
      </c>
      <c r="AA49" s="109">
        <v>14.719444444444443</v>
      </c>
      <c r="AB49" s="107">
        <v>12.527096774193547</v>
      </c>
      <c r="AC49" s="108">
        <v>12.826999999999998</v>
      </c>
      <c r="AD49" s="108">
        <v>18.289566308243725</v>
      </c>
      <c r="AE49" s="109">
        <v>16.416759856630822</v>
      </c>
      <c r="AF49" s="107">
        <v>16.314665898617509</v>
      </c>
      <c r="AG49" s="108">
        <v>19.308118279569893</v>
      </c>
      <c r="AH49" s="108">
        <v>19.839706093189964</v>
      </c>
      <c r="AI49" s="110">
        <v>17.755352490421455</v>
      </c>
      <c r="AJ49" s="107">
        <v>22.018913210445465</v>
      </c>
      <c r="AK49" s="108">
        <v>21.435057347670252</v>
      </c>
      <c r="AL49" s="108">
        <v>27.206935483870968</v>
      </c>
      <c r="AM49" s="110">
        <v>25.106508960573475</v>
      </c>
      <c r="AN49" s="107">
        <v>19.930218894009219</v>
      </c>
      <c r="AO49" s="108">
        <v>18.221025089605735</v>
      </c>
      <c r="AP49" s="108">
        <v>21.483820788530466</v>
      </c>
      <c r="AQ49" s="110">
        <v>18.204440860215055</v>
      </c>
      <c r="AR49" s="107">
        <v>15.030177975528366</v>
      </c>
      <c r="AS49" s="108">
        <v>13.468537634408603</v>
      </c>
      <c r="AT49" s="108">
        <v>17.787867383512545</v>
      </c>
      <c r="AU49" s="110">
        <v>17.943448028673831</v>
      </c>
      <c r="AV49" s="107">
        <v>510.20155913978493</v>
      </c>
      <c r="AW49" s="108">
        <v>21.441974910394265</v>
      </c>
      <c r="AX49" s="108">
        <v>30.441086392287726</v>
      </c>
      <c r="AY49" s="110">
        <v>29.854992831541221</v>
      </c>
      <c r="AZ49" s="107">
        <v>27.697215821812595</v>
      </c>
      <c r="BA49" s="108">
        <v>52.691172043010745</v>
      </c>
      <c r="BB49" s="108">
        <v>62.033410579656412</v>
      </c>
      <c r="BC49" s="110">
        <v>44.400804597701153</v>
      </c>
      <c r="BD49" s="107">
        <v>18.369550793650792</v>
      </c>
      <c r="BE49" s="108">
        <v>21.479169433801616</v>
      </c>
      <c r="BF49" s="108">
        <v>50.33062397372742</v>
      </c>
      <c r="BG49" s="109">
        <v>21.945762007168458</v>
      </c>
      <c r="BH49" s="107">
        <v>20.123234705228029</v>
      </c>
      <c r="BI49" s="108">
        <v>22.238017515051997</v>
      </c>
      <c r="BJ49" s="108">
        <v>27.247835777126102</v>
      </c>
      <c r="BK49" s="109">
        <v>30.129333333333335</v>
      </c>
      <c r="BL49" s="107">
        <v>45.871000000000002</v>
      </c>
      <c r="BM49" s="108">
        <v>33.297333333333334</v>
      </c>
      <c r="BN49" s="108">
        <v>51.487333333333332</v>
      </c>
      <c r="BO49" s="109">
        <v>35.902999999999999</v>
      </c>
      <c r="BP49" s="107">
        <v>53.701999999999998</v>
      </c>
      <c r="BQ49" s="108">
        <v>36.776000000000003</v>
      </c>
      <c r="BR49" s="108">
        <v>49.336333333333336</v>
      </c>
      <c r="BS49" s="109">
        <v>34.567666666666668</v>
      </c>
      <c r="BT49" s="107">
        <v>65.698499999999996</v>
      </c>
      <c r="BU49" s="111"/>
      <c r="BV49" s="111"/>
      <c r="BW49" s="26"/>
      <c r="BX49" s="29"/>
      <c r="BY49" s="29"/>
      <c r="BZ49" s="29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</row>
    <row r="50" spans="1:90" x14ac:dyDescent="0.25">
      <c r="A50" s="9"/>
      <c r="B50" s="9"/>
      <c r="C50" s="3" t="s">
        <v>19</v>
      </c>
      <c r="D50" s="3"/>
      <c r="E50" s="3"/>
      <c r="F50" s="20" t="s">
        <v>93</v>
      </c>
      <c r="G50" s="20" t="s">
        <v>180</v>
      </c>
      <c r="H50" s="107">
        <v>20.989451563691841</v>
      </c>
      <c r="I50" s="108">
        <v>14.849151515151513</v>
      </c>
      <c r="J50" s="108">
        <v>24.74194927536232</v>
      </c>
      <c r="K50" s="109">
        <v>24.26255931495405</v>
      </c>
      <c r="L50" s="108">
        <v>19.155257575757577</v>
      </c>
      <c r="M50" s="108">
        <v>16.328321789321787</v>
      </c>
      <c r="N50" s="108">
        <v>20.926206094947513</v>
      </c>
      <c r="O50" s="108">
        <v>25.647444698703282</v>
      </c>
      <c r="P50" s="107">
        <v>26.908888053466999</v>
      </c>
      <c r="Q50" s="108">
        <v>27.335878787878784</v>
      </c>
      <c r="R50" s="108">
        <v>26.463727272727272</v>
      </c>
      <c r="S50" s="108">
        <v>31.073770531400967</v>
      </c>
      <c r="T50" s="107">
        <v>39.368287385129491</v>
      </c>
      <c r="U50" s="108">
        <v>32.674200083542189</v>
      </c>
      <c r="V50" s="108">
        <v>32.55665656565656</v>
      </c>
      <c r="W50" s="109">
        <v>30.011954288961963</v>
      </c>
      <c r="X50" s="107">
        <v>22.383044657097287</v>
      </c>
      <c r="Y50" s="108">
        <v>21.426091630591628</v>
      </c>
      <c r="Z50" s="108">
        <v>23.656327561327561</v>
      </c>
      <c r="AA50" s="109">
        <v>20.409894179894181</v>
      </c>
      <c r="AB50" s="107">
        <v>17.046860446570971</v>
      </c>
      <c r="AC50" s="108">
        <v>16.609292929292931</v>
      </c>
      <c r="AD50" s="108">
        <v>22.506254313319531</v>
      </c>
      <c r="AE50" s="109">
        <v>22.253646616541356</v>
      </c>
      <c r="AF50" s="107">
        <v>21.032033492822965</v>
      </c>
      <c r="AG50" s="108">
        <v>22.83050505050505</v>
      </c>
      <c r="AH50" s="108">
        <v>24.718803030303025</v>
      </c>
      <c r="AI50" s="110">
        <v>24.505534670008355</v>
      </c>
      <c r="AJ50" s="107">
        <v>24.928521303258147</v>
      </c>
      <c r="AK50" s="108">
        <v>19.439353383458648</v>
      </c>
      <c r="AL50" s="108">
        <v>32.849931731502672</v>
      </c>
      <c r="AM50" s="110">
        <v>34.045535638613444</v>
      </c>
      <c r="AN50" s="107">
        <v>37.928294068504592</v>
      </c>
      <c r="AO50" s="108">
        <v>14.95165162907268</v>
      </c>
      <c r="AP50" s="108">
        <v>22.892712121212124</v>
      </c>
      <c r="AQ50" s="110">
        <v>28.293421900161032</v>
      </c>
      <c r="AR50" s="107">
        <v>21.179055593529274</v>
      </c>
      <c r="AS50" s="108">
        <v>17.163253968253969</v>
      </c>
      <c r="AT50" s="108">
        <v>37.381248196248201</v>
      </c>
      <c r="AU50" s="110">
        <v>28.951308321308321</v>
      </c>
      <c r="AV50" s="107">
        <v>39.14651411136537</v>
      </c>
      <c r="AW50" s="108">
        <v>35.742676767676762</v>
      </c>
      <c r="AX50" s="108">
        <v>49.872604617604622</v>
      </c>
      <c r="AY50" s="110">
        <v>46.433987886382624</v>
      </c>
      <c r="AZ50" s="107">
        <v>41.855087337909993</v>
      </c>
      <c r="BA50" s="108">
        <v>66.260388888888883</v>
      </c>
      <c r="BB50" s="108">
        <v>85.078994824016561</v>
      </c>
      <c r="BC50" s="110">
        <v>119.44634795321637</v>
      </c>
      <c r="BD50" s="107">
        <v>91.846847826086957</v>
      </c>
      <c r="BE50" s="108">
        <v>42.127301587301588</v>
      </c>
      <c r="BF50" s="108">
        <v>56.599007246376807</v>
      </c>
      <c r="BG50" s="109">
        <v>50.674330143540665</v>
      </c>
      <c r="BH50" s="107">
        <v>44.364428571428569</v>
      </c>
      <c r="BI50" s="108">
        <v>24.906148325358853</v>
      </c>
      <c r="BJ50" s="108">
        <v>41.898034090909086</v>
      </c>
      <c r="BK50" s="109">
        <v>44.448333333333331</v>
      </c>
      <c r="BL50" s="107">
        <v>51.227333333333327</v>
      </c>
      <c r="BM50" s="108">
        <v>38.220666666666666</v>
      </c>
      <c r="BN50" s="108">
        <v>63.556999999999995</v>
      </c>
      <c r="BO50" s="109">
        <v>57.086333333333329</v>
      </c>
      <c r="BP50" s="107">
        <v>61.015666666666668</v>
      </c>
      <c r="BQ50" s="108">
        <v>37.25</v>
      </c>
      <c r="BR50" s="108">
        <v>73.39533333333334</v>
      </c>
      <c r="BS50" s="109">
        <v>60.539666666666669</v>
      </c>
      <c r="BT50" s="107">
        <v>76.326750000000004</v>
      </c>
      <c r="BU50" s="111"/>
      <c r="BV50" s="111"/>
      <c r="BW50" s="26"/>
      <c r="BX50" s="29"/>
      <c r="BY50" s="29"/>
      <c r="BZ50" s="29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</row>
    <row r="51" spans="1:90" x14ac:dyDescent="0.25">
      <c r="A51" s="9"/>
      <c r="B51" s="9"/>
      <c r="C51" s="3" t="s">
        <v>20</v>
      </c>
      <c r="D51" s="3"/>
      <c r="E51" s="3"/>
      <c r="F51" s="20" t="s">
        <v>94</v>
      </c>
      <c r="G51" s="20" t="s">
        <v>181</v>
      </c>
      <c r="H51" s="107">
        <v>22.127334858886346</v>
      </c>
      <c r="I51" s="108">
        <v>13.350181818181818</v>
      </c>
      <c r="J51" s="108">
        <v>25.059927536231882</v>
      </c>
      <c r="K51" s="109">
        <v>24.971964076858814</v>
      </c>
      <c r="L51" s="108">
        <v>20.408272727272728</v>
      </c>
      <c r="M51" s="108">
        <v>18.388093073593073</v>
      </c>
      <c r="N51" s="108">
        <v>23.608646236804134</v>
      </c>
      <c r="O51" s="108">
        <v>29.146674718196454</v>
      </c>
      <c r="P51" s="107">
        <v>38.534333333333336</v>
      </c>
      <c r="Q51" s="108">
        <v>36.508088751289989</v>
      </c>
      <c r="R51" s="108">
        <v>34.90521843825249</v>
      </c>
      <c r="S51" s="108">
        <v>38.032250233426701</v>
      </c>
      <c r="T51" s="107">
        <v>47.029963659147874</v>
      </c>
      <c r="U51" s="108">
        <v>38.568959694989104</v>
      </c>
      <c r="V51" s="108">
        <v>38.907664473684214</v>
      </c>
      <c r="W51" s="109">
        <v>37.020208333333336</v>
      </c>
      <c r="X51" s="107">
        <v>27.473252136752137</v>
      </c>
      <c r="Y51" s="108">
        <v>27.601428571428571</v>
      </c>
      <c r="Z51" s="108">
        <v>30.380361111111114</v>
      </c>
      <c r="AA51" s="109">
        <v>27.161861111111108</v>
      </c>
      <c r="AB51" s="107">
        <v>21.459458333333334</v>
      </c>
      <c r="AC51" s="108">
        <v>20.368954248366013</v>
      </c>
      <c r="AD51" s="108">
        <v>29.029335839599</v>
      </c>
      <c r="AE51" s="109">
        <v>28.461124183006536</v>
      </c>
      <c r="AF51" s="107">
        <v>24.177423245614037</v>
      </c>
      <c r="AG51" s="108">
        <v>25.267759259259261</v>
      </c>
      <c r="AH51" s="108">
        <v>33.730138888888888</v>
      </c>
      <c r="AI51" s="110">
        <v>34.067380952380951</v>
      </c>
      <c r="AJ51" s="107">
        <v>31.483999999999998</v>
      </c>
      <c r="AK51" s="108">
        <v>23.269603174603176</v>
      </c>
      <c r="AL51" s="108">
        <v>42.804829059829054</v>
      </c>
      <c r="AM51" s="110">
        <v>47.844141414141411</v>
      </c>
      <c r="AN51" s="107">
        <v>48.233333333333327</v>
      </c>
      <c r="AO51" s="108">
        <v>22.206</v>
      </c>
      <c r="AP51" s="108">
        <v>29.849067599067599</v>
      </c>
      <c r="AQ51" s="110">
        <v>36.166287878787877</v>
      </c>
      <c r="AR51" s="107">
        <v>25.186666666666667</v>
      </c>
      <c r="AS51" s="108">
        <v>16.94488888888889</v>
      </c>
      <c r="AT51" s="108">
        <v>46.142714285714284</v>
      </c>
      <c r="AU51" s="110">
        <v>38.042222222222222</v>
      </c>
      <c r="AV51" s="107">
        <v>78.562121212121212</v>
      </c>
      <c r="AW51" s="108">
        <v>37.064923076923073</v>
      </c>
      <c r="AX51" s="108">
        <v>57.398179487179483</v>
      </c>
      <c r="AY51" s="110">
        <v>56.125595238095237</v>
      </c>
      <c r="AZ51" s="107">
        <v>46.687681818181822</v>
      </c>
      <c r="BA51" s="108">
        <v>65.39991666666667</v>
      </c>
      <c r="BB51" s="108">
        <v>86.690388888888876</v>
      </c>
      <c r="BC51" s="110">
        <v>127.57222222222224</v>
      </c>
      <c r="BD51" s="107">
        <v>102.93873626373625</v>
      </c>
      <c r="BE51" s="108">
        <v>38.709694989106758</v>
      </c>
      <c r="BF51" s="108">
        <v>52.231697478991599</v>
      </c>
      <c r="BG51" s="109">
        <v>59.033888888888896</v>
      </c>
      <c r="BH51" s="107">
        <v>44.776404040404039</v>
      </c>
      <c r="BI51" s="108">
        <v>26.504185463659152</v>
      </c>
      <c r="BJ51" s="108">
        <v>39.207000000000001</v>
      </c>
      <c r="BK51" s="109">
        <v>47.125333333333337</v>
      </c>
      <c r="BL51" s="107">
        <v>51.604333333333329</v>
      </c>
      <c r="BM51" s="108">
        <v>33.452333333333335</v>
      </c>
      <c r="BN51" s="108">
        <v>53.127999999999993</v>
      </c>
      <c r="BO51" s="109">
        <v>59.179000000000002</v>
      </c>
      <c r="BP51" s="107">
        <v>63.558999999999997</v>
      </c>
      <c r="BQ51" s="108">
        <v>34.340333333333334</v>
      </c>
      <c r="BR51" s="108">
        <v>59.905333333333338</v>
      </c>
      <c r="BS51" s="109">
        <v>64.039666666666662</v>
      </c>
      <c r="BT51" s="107">
        <v>79.881750000000011</v>
      </c>
      <c r="BU51" s="111"/>
      <c r="BV51" s="111"/>
      <c r="BW51" s="26"/>
      <c r="BX51" s="29"/>
      <c r="BY51" s="29"/>
      <c r="BZ51" s="29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</row>
    <row r="52" spans="1:90" x14ac:dyDescent="0.25">
      <c r="A52" s="9"/>
      <c r="B52" s="9"/>
      <c r="C52" s="3" t="s">
        <v>21</v>
      </c>
      <c r="D52" s="3"/>
      <c r="E52" s="3"/>
      <c r="F52" s="20" t="s">
        <v>95</v>
      </c>
      <c r="G52" s="20" t="s">
        <v>182</v>
      </c>
      <c r="H52" s="107">
        <v>21.658611111111114</v>
      </c>
      <c r="I52" s="108">
        <v>9.6194052287581702</v>
      </c>
      <c r="J52" s="108">
        <v>24.193944444444444</v>
      </c>
      <c r="K52" s="109">
        <v>26.605211640211639</v>
      </c>
      <c r="L52" s="108">
        <v>20.140202020202022</v>
      </c>
      <c r="M52" s="108">
        <v>17.586916666666667</v>
      </c>
      <c r="N52" s="108">
        <v>22.187713675213672</v>
      </c>
      <c r="O52" s="108">
        <v>28.533804487179484</v>
      </c>
      <c r="P52" s="107">
        <v>34.392973901098898</v>
      </c>
      <c r="Q52" s="108">
        <v>33.279719169719165</v>
      </c>
      <c r="R52" s="108">
        <v>34.749194139194138</v>
      </c>
      <c r="S52" s="108">
        <v>39.196435185185187</v>
      </c>
      <c r="T52" s="107">
        <v>48.911060606060609</v>
      </c>
      <c r="U52" s="108">
        <v>39.273771043771042</v>
      </c>
      <c r="V52" s="108">
        <v>38.924444444444447</v>
      </c>
      <c r="W52" s="109">
        <v>36.6</v>
      </c>
      <c r="X52" s="107">
        <v>28.31</v>
      </c>
      <c r="Y52" s="108">
        <v>27.900000000000002</v>
      </c>
      <c r="Z52" s="108"/>
      <c r="AA52" s="109">
        <v>29.168333333333333</v>
      </c>
      <c r="AB52" s="107">
        <v>17.7</v>
      </c>
      <c r="AC52" s="108">
        <v>18.666666666666668</v>
      </c>
      <c r="AD52" s="108">
        <v>30.319444444444443</v>
      </c>
      <c r="AE52" s="109">
        <v>29.027777777777775</v>
      </c>
      <c r="AF52" s="107">
        <v>28.625</v>
      </c>
      <c r="AG52" s="108">
        <v>22.375</v>
      </c>
      <c r="AH52" s="108">
        <v>31.25</v>
      </c>
      <c r="AI52" s="110"/>
      <c r="AJ52" s="107"/>
      <c r="AK52" s="108"/>
      <c r="AL52" s="108"/>
      <c r="AM52" s="110"/>
      <c r="AN52" s="107">
        <v>65.658333333333331</v>
      </c>
      <c r="AO52" s="108"/>
      <c r="AP52" s="108"/>
      <c r="AQ52" s="110"/>
      <c r="AR52" s="107"/>
      <c r="AS52" s="108"/>
      <c r="AT52" s="108"/>
      <c r="AU52" s="110"/>
      <c r="AV52" s="107">
        <v>158.04999999999998</v>
      </c>
      <c r="AW52" s="108">
        <v>36</v>
      </c>
      <c r="AX52" s="108"/>
      <c r="AY52" s="110">
        <v>52</v>
      </c>
      <c r="AZ52" s="107">
        <v>44.666666666666664</v>
      </c>
      <c r="BA52" s="108"/>
      <c r="BB52" s="108"/>
      <c r="BC52" s="110"/>
      <c r="BD52" s="107">
        <v>70</v>
      </c>
      <c r="BE52" s="108">
        <v>24</v>
      </c>
      <c r="BF52" s="108">
        <v>44.479166666666671</v>
      </c>
      <c r="BG52" s="109">
        <v>60.3</v>
      </c>
      <c r="BH52" s="107">
        <v>146.66666666666666</v>
      </c>
      <c r="BI52" s="108"/>
      <c r="BJ52" s="108">
        <v>39.100111111111111</v>
      </c>
      <c r="BK52" s="109">
        <v>52.492666666666672</v>
      </c>
      <c r="BL52" s="107">
        <v>58.234999999999992</v>
      </c>
      <c r="BM52" s="108">
        <v>38.872999999999998</v>
      </c>
      <c r="BN52" s="108">
        <v>54.197333333333326</v>
      </c>
      <c r="BO52" s="109">
        <v>65.087333333333333</v>
      </c>
      <c r="BP52" s="107">
        <v>72.066999999999993</v>
      </c>
      <c r="BQ52" s="108">
        <v>41.112333333333332</v>
      </c>
      <c r="BR52" s="108">
        <v>62.349666666666657</v>
      </c>
      <c r="BS52" s="109">
        <v>72.724000000000004</v>
      </c>
      <c r="BT52" s="107">
        <v>87.377499999999998</v>
      </c>
      <c r="BU52" s="111"/>
      <c r="BV52" s="111"/>
      <c r="BW52" s="26"/>
      <c r="BX52" s="29"/>
      <c r="BY52" s="29"/>
      <c r="BZ52" s="29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</row>
    <row r="53" spans="1:90" x14ac:dyDescent="0.25">
      <c r="A53" s="9"/>
      <c r="B53" s="9"/>
      <c r="C53" s="3" t="s">
        <v>22</v>
      </c>
      <c r="D53" s="3"/>
      <c r="E53" s="3"/>
      <c r="F53" s="20" t="s">
        <v>96</v>
      </c>
      <c r="G53" s="20" t="s">
        <v>183</v>
      </c>
      <c r="H53" s="107">
        <v>15.853194889397406</v>
      </c>
      <c r="I53" s="108">
        <v>3.5539393939393942</v>
      </c>
      <c r="J53" s="108">
        <v>17.875231884057971</v>
      </c>
      <c r="K53" s="109">
        <v>27.452083124477863</v>
      </c>
      <c r="L53" s="108">
        <v>19.306015151515151</v>
      </c>
      <c r="M53" s="108">
        <v>-4.7837662337662325E-2</v>
      </c>
      <c r="N53" s="108">
        <v>14.080325088082526</v>
      </c>
      <c r="O53" s="108">
        <v>24.986628527841344</v>
      </c>
      <c r="P53" s="107">
        <v>27.86434962406015</v>
      </c>
      <c r="Q53" s="108">
        <v>16.729742424242424</v>
      </c>
      <c r="R53" s="108">
        <v>25.292666666666666</v>
      </c>
      <c r="S53" s="108">
        <v>34.797674718196454</v>
      </c>
      <c r="T53" s="107">
        <v>40.334193817878031</v>
      </c>
      <c r="U53" s="108">
        <v>11.424515873015872</v>
      </c>
      <c r="V53" s="108">
        <v>29.903761183261185</v>
      </c>
      <c r="W53" s="109">
        <v>28.144519546949216</v>
      </c>
      <c r="X53" s="107">
        <v>15.090196172248804</v>
      </c>
      <c r="Y53" s="108">
        <v>22.063629870129873</v>
      </c>
      <c r="Z53" s="108">
        <v>23.19210678210678</v>
      </c>
      <c r="AA53" s="109">
        <v>20.35431216931217</v>
      </c>
      <c r="AB53" s="107">
        <v>15.267507974481658</v>
      </c>
      <c r="AC53" s="108">
        <v>10.421464646464647</v>
      </c>
      <c r="AD53" s="108">
        <v>22.990583160800551</v>
      </c>
      <c r="AE53" s="109">
        <v>19.566411445279865</v>
      </c>
      <c r="AF53" s="107">
        <v>15.932524790236462</v>
      </c>
      <c r="AG53" s="108">
        <v>1.9659259259259263</v>
      </c>
      <c r="AH53" s="108">
        <v>24.159954545454543</v>
      </c>
      <c r="AI53" s="110">
        <v>23.530912002227794</v>
      </c>
      <c r="AJ53" s="107">
        <v>16.7052798663325</v>
      </c>
      <c r="AK53" s="108">
        <v>5.1253358395989972</v>
      </c>
      <c r="AL53" s="108">
        <v>30.704371090770405</v>
      </c>
      <c r="AM53" s="110">
        <v>43.097686668361725</v>
      </c>
      <c r="AN53" s="107">
        <v>62.480718462823724</v>
      </c>
      <c r="AO53" s="108">
        <v>12.694347535505429</v>
      </c>
      <c r="AP53" s="108">
        <v>24.059106060606059</v>
      </c>
      <c r="AQ53" s="110">
        <v>29.681182769726249</v>
      </c>
      <c r="AR53" s="107">
        <v>18.864641148325358</v>
      </c>
      <c r="AS53" s="108">
        <v>7.0575057720057721</v>
      </c>
      <c r="AT53" s="108">
        <v>16.296334776334778</v>
      </c>
      <c r="AU53" s="110">
        <v>25.561132756132753</v>
      </c>
      <c r="AV53" s="107">
        <v>28.072074752097635</v>
      </c>
      <c r="AW53" s="108">
        <v>31.181957545378598</v>
      </c>
      <c r="AX53" s="108">
        <v>45.886392496392489</v>
      </c>
      <c r="AY53" s="110">
        <v>45.727908103592313</v>
      </c>
      <c r="AZ53" s="107">
        <v>34.666482837528605</v>
      </c>
      <c r="BA53" s="108">
        <v>41.768920634920633</v>
      </c>
      <c r="BB53" s="108">
        <v>62.453201173222908</v>
      </c>
      <c r="BC53" s="110">
        <v>133.58834419381787</v>
      </c>
      <c r="BD53" s="107">
        <v>100.25704538520215</v>
      </c>
      <c r="BE53" s="108">
        <v>44.369314954051788</v>
      </c>
      <c r="BF53" s="108">
        <v>50.917260869565219</v>
      </c>
      <c r="BG53" s="109">
        <v>64.21924242424241</v>
      </c>
      <c r="BH53" s="107">
        <v>79.346634920634926</v>
      </c>
      <c r="BI53" s="108">
        <v>26.752256778309413</v>
      </c>
      <c r="BJ53" s="108">
        <v>37.012731060606058</v>
      </c>
      <c r="BK53" s="109">
        <v>55.924666666666667</v>
      </c>
      <c r="BL53" s="107">
        <v>63.157333333333327</v>
      </c>
      <c r="BM53" s="108">
        <v>28.292333333333332</v>
      </c>
      <c r="BN53" s="108">
        <v>46.194003333333335</v>
      </c>
      <c r="BO53" s="109">
        <v>67.50633333333333</v>
      </c>
      <c r="BP53" s="107">
        <v>76.76200333333334</v>
      </c>
      <c r="BQ53" s="108">
        <v>27.212</v>
      </c>
      <c r="BR53" s="108">
        <v>53.379003333333337</v>
      </c>
      <c r="BS53" s="109">
        <v>76.64400333333333</v>
      </c>
      <c r="BT53" s="107">
        <v>81.082504999999998</v>
      </c>
      <c r="BU53" s="127"/>
      <c r="BV53" s="127"/>
      <c r="BW53" s="51"/>
      <c r="BX53" s="29"/>
      <c r="BY53" s="29"/>
      <c r="BZ53" s="29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</row>
    <row r="54" spans="1:90" x14ac:dyDescent="0.25">
      <c r="A54" s="9"/>
      <c r="B54" s="9"/>
      <c r="C54" s="3" t="s">
        <v>23</v>
      </c>
      <c r="D54" s="3"/>
      <c r="E54" s="3"/>
      <c r="F54" s="20" t="s">
        <v>85</v>
      </c>
      <c r="G54" s="20" t="s">
        <v>218</v>
      </c>
      <c r="H54" s="107">
        <v>19.985549155145929</v>
      </c>
      <c r="I54" s="108">
        <v>12.548634408602149</v>
      </c>
      <c r="J54" s="108">
        <v>25.589032258064517</v>
      </c>
      <c r="K54" s="109">
        <v>15.205093189964158</v>
      </c>
      <c r="L54" s="108">
        <v>12.79</v>
      </c>
      <c r="M54" s="108">
        <v>11.478275985663082</v>
      </c>
      <c r="N54" s="108">
        <v>18.0467311827957</v>
      </c>
      <c r="O54" s="108">
        <v>18.457243727598566</v>
      </c>
      <c r="P54" s="107">
        <v>20.108966973886329</v>
      </c>
      <c r="Q54" s="108">
        <v>22.777971326164874</v>
      </c>
      <c r="R54" s="108">
        <v>23.914996415770606</v>
      </c>
      <c r="S54" s="108">
        <v>25.287232974910395</v>
      </c>
      <c r="T54" s="107">
        <v>32.584043778801842</v>
      </c>
      <c r="U54" s="108">
        <v>29.419641577060929</v>
      </c>
      <c r="V54" s="108">
        <v>26.507587813620074</v>
      </c>
      <c r="W54" s="109">
        <v>23.808146953405018</v>
      </c>
      <c r="X54" s="107">
        <v>19.392753456221197</v>
      </c>
      <c r="Y54" s="108">
        <v>18.055315412186378</v>
      </c>
      <c r="Z54" s="108">
        <v>18.548544802867383</v>
      </c>
      <c r="AA54" s="109">
        <v>13.892340501792114</v>
      </c>
      <c r="AB54" s="107">
        <v>12.307619577308122</v>
      </c>
      <c r="AC54" s="108">
        <v>12.378688172043011</v>
      </c>
      <c r="AD54" s="108">
        <v>18.189164874551974</v>
      </c>
      <c r="AE54" s="109">
        <v>15.707799283154122</v>
      </c>
      <c r="AF54" s="107">
        <v>13.998310291858679</v>
      </c>
      <c r="AG54" s="108">
        <v>16.686964157706093</v>
      </c>
      <c r="AH54" s="108">
        <v>19.225845878136202</v>
      </c>
      <c r="AI54" s="110">
        <v>15.937682363119514</v>
      </c>
      <c r="AJ54" s="107">
        <v>19.4427688172043</v>
      </c>
      <c r="AK54" s="108">
        <v>16.229175627240142</v>
      </c>
      <c r="AL54" s="108">
        <v>26.71393189964158</v>
      </c>
      <c r="AM54" s="110">
        <v>24.071724014336919</v>
      </c>
      <c r="AN54" s="107">
        <v>18.551117511520737</v>
      </c>
      <c r="AO54" s="108">
        <v>17.16941218637993</v>
      </c>
      <c r="AP54" s="108">
        <v>20.695071684587813</v>
      </c>
      <c r="AQ54" s="110">
        <v>15.421043010752689</v>
      </c>
      <c r="AR54" s="107">
        <v>12.662365591397849</v>
      </c>
      <c r="AS54" s="108">
        <v>11.537845878136201</v>
      </c>
      <c r="AT54" s="108">
        <v>17.37268100358423</v>
      </c>
      <c r="AU54" s="110">
        <v>14.2456164874552</v>
      </c>
      <c r="AV54" s="107">
        <v>512.24398233486943</v>
      </c>
      <c r="AW54" s="108">
        <v>19.448559139784948</v>
      </c>
      <c r="AX54" s="108">
        <v>29.713055246570264</v>
      </c>
      <c r="AY54" s="110">
        <v>23.791387096774191</v>
      </c>
      <c r="AZ54" s="107">
        <v>24.241482334869431</v>
      </c>
      <c r="BA54" s="108">
        <v>49.451161290322581</v>
      </c>
      <c r="BB54" s="108">
        <v>62.753097886540594</v>
      </c>
      <c r="BC54" s="110">
        <v>42.741609195402297</v>
      </c>
      <c r="BD54" s="107">
        <v>20.350577777777776</v>
      </c>
      <c r="BE54" s="108">
        <v>22.340263942103022</v>
      </c>
      <c r="BF54" s="108">
        <v>53.78913382594417</v>
      </c>
      <c r="BG54" s="109">
        <v>25.26274950219036</v>
      </c>
      <c r="BH54" s="107">
        <v>26.592841923124457</v>
      </c>
      <c r="BI54" s="108">
        <v>21.345093048713739</v>
      </c>
      <c r="BJ54" s="108">
        <v>26.011372759856631</v>
      </c>
      <c r="BK54" s="109">
        <v>33.031666666666666</v>
      </c>
      <c r="BL54" s="107">
        <v>50.55766666666667</v>
      </c>
      <c r="BM54" s="108">
        <v>35.163999999999994</v>
      </c>
      <c r="BN54" s="108">
        <v>48.68966666666666</v>
      </c>
      <c r="BO54" s="109">
        <v>37.979666666666667</v>
      </c>
      <c r="BP54" s="107">
        <v>53.020333333333333</v>
      </c>
      <c r="BQ54" s="108">
        <v>32.252666666666663</v>
      </c>
      <c r="BR54" s="108">
        <v>47.166333333333334</v>
      </c>
      <c r="BS54" s="109">
        <v>36.68</v>
      </c>
      <c r="BT54" s="107">
        <v>64.137749999999997</v>
      </c>
      <c r="BU54" s="111"/>
      <c r="BV54" s="111"/>
      <c r="BW54" s="26"/>
      <c r="BX54" s="29"/>
      <c r="BY54" s="29"/>
      <c r="BZ54" s="29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</row>
    <row r="55" spans="1:90" x14ac:dyDescent="0.25">
      <c r="A55" s="9"/>
      <c r="B55" s="9"/>
      <c r="C55" s="3"/>
      <c r="D55" s="3"/>
      <c r="E55" s="3"/>
      <c r="F55" s="20"/>
      <c r="G55" s="20"/>
      <c r="H55" s="48"/>
      <c r="I55" s="49"/>
      <c r="J55" s="49"/>
      <c r="K55" s="50"/>
      <c r="L55" s="48"/>
      <c r="M55" s="49"/>
      <c r="N55" s="49"/>
      <c r="O55" s="49"/>
      <c r="P55" s="48"/>
      <c r="Q55" s="49"/>
      <c r="R55" s="49"/>
      <c r="S55" s="50"/>
      <c r="T55" s="49"/>
      <c r="U55" s="49"/>
      <c r="V55" s="49"/>
      <c r="W55" s="50"/>
      <c r="X55" s="49"/>
      <c r="Y55" s="49"/>
      <c r="Z55" s="49"/>
      <c r="AA55" s="50"/>
      <c r="AB55" s="49"/>
      <c r="AC55" s="49"/>
      <c r="AD55" s="49"/>
      <c r="AE55" s="50"/>
      <c r="AF55" s="49"/>
      <c r="AG55" s="49"/>
      <c r="AH55" s="49"/>
      <c r="AI55" s="24"/>
      <c r="AJ55" s="49"/>
      <c r="AK55" s="49"/>
      <c r="AL55" s="49"/>
      <c r="AM55" s="24"/>
      <c r="AN55" s="49"/>
      <c r="AO55" s="49"/>
      <c r="AP55" s="49"/>
      <c r="AQ55" s="24"/>
      <c r="AR55" s="49"/>
      <c r="AS55" s="49"/>
      <c r="AT55" s="49"/>
      <c r="AU55" s="24"/>
      <c r="AV55" s="49"/>
      <c r="AW55" s="49"/>
      <c r="AX55" s="49"/>
      <c r="AY55" s="24"/>
      <c r="AZ55" s="49"/>
      <c r="BA55" s="49"/>
      <c r="BB55" s="49"/>
      <c r="BC55" s="24"/>
      <c r="BD55" s="49"/>
      <c r="BE55" s="49"/>
      <c r="BF55" s="49"/>
      <c r="BG55" s="23"/>
      <c r="BH55" s="49"/>
      <c r="BI55" s="25"/>
      <c r="BJ55" s="25"/>
      <c r="BK55" s="26"/>
      <c r="BL55" s="25"/>
      <c r="BM55" s="25"/>
      <c r="BN55" s="25"/>
      <c r="BO55" s="26"/>
      <c r="BP55" s="25"/>
      <c r="BQ55" s="25"/>
      <c r="BR55" s="25"/>
      <c r="BS55" s="26"/>
      <c r="BT55" s="25"/>
      <c r="BU55" s="25"/>
      <c r="BV55" s="25"/>
      <c r="BW55" s="26"/>
      <c r="BX55" s="29"/>
      <c r="BY55" s="29"/>
      <c r="BZ55" s="29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</row>
    <row r="56" spans="1:90" x14ac:dyDescent="0.25">
      <c r="A56" s="9"/>
      <c r="B56" s="9"/>
      <c r="C56" s="1" t="s">
        <v>25</v>
      </c>
      <c r="D56" s="41"/>
      <c r="E56" s="41"/>
      <c r="F56" s="78"/>
      <c r="G56" s="78"/>
      <c r="H56" s="30"/>
      <c r="I56" s="31"/>
      <c r="J56" s="31"/>
      <c r="K56" s="32"/>
      <c r="L56" s="30"/>
      <c r="M56" s="31"/>
      <c r="N56" s="31"/>
      <c r="O56" s="31"/>
      <c r="P56" s="47"/>
      <c r="Q56" s="33"/>
      <c r="R56" s="33"/>
      <c r="S56" s="34"/>
      <c r="T56" s="33"/>
      <c r="U56" s="33"/>
      <c r="V56" s="33"/>
      <c r="W56" s="34"/>
      <c r="X56" s="33"/>
      <c r="Y56" s="35"/>
      <c r="Z56" s="35"/>
      <c r="AA56" s="36"/>
      <c r="AB56" s="33"/>
      <c r="AC56" s="35"/>
      <c r="AD56" s="35"/>
      <c r="AE56" s="36"/>
      <c r="AF56" s="33"/>
      <c r="AG56" s="35"/>
      <c r="AH56" s="35"/>
      <c r="AI56" s="37"/>
      <c r="AJ56" s="33"/>
      <c r="AK56" s="35"/>
      <c r="AL56" s="35"/>
      <c r="AM56" s="37"/>
      <c r="AN56" s="33"/>
      <c r="AO56" s="35"/>
      <c r="AP56" s="35"/>
      <c r="AQ56" s="37"/>
      <c r="AR56" s="35"/>
      <c r="AS56" s="35"/>
      <c r="AT56" s="35"/>
      <c r="AU56" s="37"/>
      <c r="AV56" s="35"/>
      <c r="AW56" s="35"/>
      <c r="AX56" s="35"/>
      <c r="AY56" s="36"/>
      <c r="AZ56" s="35"/>
      <c r="BA56" s="35"/>
      <c r="BB56" s="35"/>
      <c r="BC56" s="36"/>
      <c r="BD56" s="38"/>
      <c r="BE56" s="38"/>
      <c r="BF56" s="38"/>
      <c r="BG56" s="39"/>
      <c r="BH56" s="35"/>
      <c r="BI56" s="35"/>
      <c r="BJ56" s="35"/>
      <c r="BK56" s="36"/>
      <c r="BL56" s="35"/>
      <c r="BM56" s="35"/>
      <c r="BN56" s="35"/>
      <c r="BO56" s="36"/>
      <c r="BP56" s="35"/>
      <c r="BQ56" s="35"/>
      <c r="BR56" s="35"/>
      <c r="BS56" s="36"/>
      <c r="BT56" s="35"/>
      <c r="BU56" s="35"/>
      <c r="BV56" s="35"/>
      <c r="BW56" s="36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</row>
    <row r="57" spans="1:90" x14ac:dyDescent="0.25">
      <c r="A57" s="9"/>
      <c r="B57" s="9"/>
      <c r="C57" s="5" t="s">
        <v>224</v>
      </c>
      <c r="D57" s="3" t="s">
        <v>213</v>
      </c>
      <c r="E57" s="131" t="s">
        <v>208</v>
      </c>
      <c r="F57" s="20"/>
      <c r="G57" s="20"/>
      <c r="H57" s="107"/>
      <c r="I57" s="22"/>
      <c r="J57" s="22"/>
      <c r="K57" s="23"/>
      <c r="L57" s="21"/>
      <c r="M57" s="22"/>
      <c r="N57" s="22"/>
      <c r="O57" s="22"/>
      <c r="P57" s="21"/>
      <c r="Q57" s="25"/>
      <c r="R57" s="25"/>
      <c r="S57" s="26"/>
      <c r="T57" s="25"/>
      <c r="U57" s="25"/>
      <c r="V57" s="25"/>
      <c r="W57" s="26"/>
      <c r="X57" s="25"/>
      <c r="Y57" s="25"/>
      <c r="Z57" s="25"/>
      <c r="AA57" s="26"/>
      <c r="AB57" s="25"/>
      <c r="AC57" s="25"/>
      <c r="AD57" s="25"/>
      <c r="AE57" s="26"/>
      <c r="AF57" s="25"/>
      <c r="AG57" s="25"/>
      <c r="AH57" s="25"/>
      <c r="AI57" s="24"/>
      <c r="AJ57" s="25"/>
      <c r="AK57" s="25"/>
      <c r="AL57" s="25"/>
      <c r="AM57" s="24"/>
      <c r="AN57" s="25"/>
      <c r="AO57" s="25"/>
      <c r="AP57" s="25"/>
      <c r="AQ57" s="24"/>
      <c r="AR57" s="25"/>
      <c r="AS57" s="25"/>
      <c r="AT57" s="25"/>
      <c r="AU57" s="24"/>
      <c r="AV57" s="25"/>
      <c r="AW57" s="25"/>
      <c r="AX57" s="25"/>
      <c r="AY57" s="26"/>
      <c r="AZ57" s="25"/>
      <c r="BA57" s="25"/>
      <c r="BB57" s="25"/>
      <c r="BC57" s="26"/>
      <c r="BD57" s="22"/>
      <c r="BE57" s="22"/>
      <c r="BF57" s="22"/>
      <c r="BG57" s="23"/>
      <c r="BH57" s="25"/>
      <c r="BI57" s="25"/>
      <c r="BJ57" s="25"/>
      <c r="BK57" s="26"/>
      <c r="BL57" s="25"/>
      <c r="BM57" s="25"/>
      <c r="BN57" s="25"/>
      <c r="BO57" s="26"/>
      <c r="BP57" s="25"/>
      <c r="BQ57" s="25"/>
      <c r="BR57" s="25"/>
      <c r="BS57" s="26"/>
      <c r="BT57" s="25"/>
      <c r="BU57" s="25"/>
      <c r="BV57" s="25"/>
      <c r="BW57" s="26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</row>
    <row r="58" spans="1:90" x14ac:dyDescent="0.25">
      <c r="A58" s="9"/>
      <c r="B58" s="9"/>
      <c r="C58" s="3" t="s">
        <v>7</v>
      </c>
      <c r="D58" s="130" t="s">
        <v>205</v>
      </c>
      <c r="E58" s="3" t="s">
        <v>206</v>
      </c>
      <c r="F58" s="20"/>
      <c r="G58" s="20"/>
      <c r="H58" s="107">
        <v>2.8901563691838295</v>
      </c>
      <c r="I58" s="108">
        <v>0.38814069264069317</v>
      </c>
      <c r="J58" s="108">
        <v>0.604976190476191</v>
      </c>
      <c r="K58" s="109">
        <v>0.49117460317460404</v>
      </c>
      <c r="L58" s="107">
        <v>0.71131020733652361</v>
      </c>
      <c r="M58" s="108">
        <v>0.20786078833447208</v>
      </c>
      <c r="N58" s="108">
        <v>0.1801402220967443</v>
      </c>
      <c r="O58" s="109">
        <v>0.77668379446640268</v>
      </c>
      <c r="P58" s="107">
        <v>4.1908244467377589</v>
      </c>
      <c r="Q58" s="108">
        <v>0.28893145743145698</v>
      </c>
      <c r="R58" s="108">
        <v>0.2976666666666663</v>
      </c>
      <c r="S58" s="109">
        <v>0.66396937997166861</v>
      </c>
      <c r="T58" s="107">
        <v>11.191780182780182</v>
      </c>
      <c r="U58" s="108">
        <v>-0.88089091192032365</v>
      </c>
      <c r="V58" s="108">
        <v>-1.3679588744588744</v>
      </c>
      <c r="W58" s="109">
        <v>-0.58599470899470862</v>
      </c>
      <c r="X58" s="107">
        <v>6.3359398148148136</v>
      </c>
      <c r="Y58" s="108">
        <v>-1.8976190476190702E-2</v>
      </c>
      <c r="Z58" s="108">
        <v>2.2908400673400675</v>
      </c>
      <c r="AA58" s="109">
        <v>1.8920833333333331</v>
      </c>
      <c r="AB58" s="107">
        <v>0.55239821159232938</v>
      </c>
      <c r="AC58" s="108">
        <v>-0.315625937392501</v>
      </c>
      <c r="AD58" s="108">
        <v>-1.1342986425339363</v>
      </c>
      <c r="AE58" s="109">
        <v>-0.11176190476190495</v>
      </c>
      <c r="AF58" s="107">
        <v>0.56011764705882383</v>
      </c>
      <c r="AG58" s="108">
        <v>-0.26336385836385778</v>
      </c>
      <c r="AH58" s="108">
        <v>2.5445726495726499</v>
      </c>
      <c r="AI58" s="109">
        <v>0.82550427350427391</v>
      </c>
      <c r="AJ58" s="107">
        <v>4.0249144921126341</v>
      </c>
      <c r="AK58" s="108">
        <v>-0.1179417862838914</v>
      </c>
      <c r="AL58" s="108">
        <v>6.4424400923255298E-3</v>
      </c>
      <c r="AM58" s="109">
        <v>-1.5252892194253853E-2</v>
      </c>
      <c r="AN58" s="107">
        <v>0.7728199665831248</v>
      </c>
      <c r="AO58" s="108">
        <v>-0.28140740740740755</v>
      </c>
      <c r="AP58" s="108">
        <v>-0.4081669704564439</v>
      </c>
      <c r="AQ58" s="109">
        <v>2.0476735316552475E-2</v>
      </c>
      <c r="AR58" s="107">
        <v>-8.5402407533986535E-2</v>
      </c>
      <c r="AS58" s="108">
        <v>-0.23452869352869343</v>
      </c>
      <c r="AT58" s="108">
        <v>-0.46663595262666457</v>
      </c>
      <c r="AU58" s="109">
        <v>-0.4796595860566446</v>
      </c>
      <c r="AV58" s="107">
        <v>0.1305929038281981</v>
      </c>
      <c r="AW58" s="108">
        <v>-0.50680340557275505</v>
      </c>
      <c r="AX58" s="108">
        <v>-0.50902738873327191</v>
      </c>
      <c r="AY58" s="109">
        <v>-0.32816855865153016</v>
      </c>
      <c r="AZ58" s="107">
        <v>2.4039294113907967</v>
      </c>
      <c r="BA58" s="108">
        <v>-0.70661422346716396</v>
      </c>
      <c r="BB58" s="108">
        <v>-0.58339539026206211</v>
      </c>
      <c r="BC58" s="109">
        <v>1.0507568172568176</v>
      </c>
      <c r="BD58" s="107">
        <v>0.40559077432142443</v>
      </c>
      <c r="BE58" s="108">
        <v>-0.62866427432216931</v>
      </c>
      <c r="BF58" s="108">
        <v>-1.0716845913393231</v>
      </c>
      <c r="BG58" s="109">
        <v>-0.769126187423401</v>
      </c>
      <c r="BH58" s="107">
        <v>0.41450326797385628</v>
      </c>
      <c r="BI58" s="108">
        <v>-0.46960667600373474</v>
      </c>
      <c r="BJ58" s="108">
        <v>-0.56448355263157901</v>
      </c>
      <c r="BK58" s="109">
        <v>-0.34533333333333349</v>
      </c>
      <c r="BL58" s="107">
        <v>1.7786666666666662</v>
      </c>
      <c r="BM58" s="108">
        <v>-0.71166666666666645</v>
      </c>
      <c r="BN58" s="108">
        <v>-0.89100000000000001</v>
      </c>
      <c r="BO58" s="109">
        <v>-0.43066666666666675</v>
      </c>
      <c r="BP58" s="107">
        <v>2.0903333333333323</v>
      </c>
      <c r="BQ58" s="108">
        <v>-0.7283333333333335</v>
      </c>
      <c r="BR58" s="108">
        <v>-0.8839999999999999</v>
      </c>
      <c r="BS58" s="109">
        <v>-0.20699999999999985</v>
      </c>
      <c r="BT58" s="107">
        <v>3.2480000000000011</v>
      </c>
      <c r="BU58" s="108"/>
      <c r="BV58" s="108"/>
      <c r="BW58" s="109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</row>
    <row r="59" spans="1:90" x14ac:dyDescent="0.25">
      <c r="A59" s="9"/>
      <c r="B59" s="9"/>
      <c r="C59" s="3" t="s">
        <v>8</v>
      </c>
      <c r="D59" s="130" t="s">
        <v>205</v>
      </c>
      <c r="E59" s="3" t="s">
        <v>207</v>
      </c>
      <c r="F59" s="20"/>
      <c r="G59" s="20"/>
      <c r="H59" s="107">
        <v>1.7494298245614033</v>
      </c>
      <c r="I59" s="108">
        <v>0.28882972582972677</v>
      </c>
      <c r="J59" s="108">
        <v>0.25620841959972473</v>
      </c>
      <c r="K59" s="109">
        <v>0.27394444444444455</v>
      </c>
      <c r="L59" s="107">
        <v>0.29753748006379643</v>
      </c>
      <c r="M59" s="108">
        <v>0.16276987924356368</v>
      </c>
      <c r="N59" s="108">
        <v>0.16539793158786331</v>
      </c>
      <c r="O59" s="109">
        <v>0.28000724637681085</v>
      </c>
      <c r="P59" s="107">
        <v>0.72228643504185319</v>
      </c>
      <c r="Q59" s="108">
        <v>0.1070829725829725</v>
      </c>
      <c r="R59" s="108">
        <v>8.0530303030303063E-2</v>
      </c>
      <c r="S59" s="109">
        <v>0.19774185463659144</v>
      </c>
      <c r="T59" s="107">
        <v>7.825910926305661</v>
      </c>
      <c r="U59" s="108">
        <v>-0.90806022408963605</v>
      </c>
      <c r="V59" s="108">
        <v>-1.4397914862914858</v>
      </c>
      <c r="W59" s="109">
        <v>-1.1032962962962962</v>
      </c>
      <c r="X59" s="107">
        <v>3.0571331738436998</v>
      </c>
      <c r="Y59" s="108">
        <v>-0.94385714285714273</v>
      </c>
      <c r="Z59" s="108">
        <v>1.3712525252525254</v>
      </c>
      <c r="AA59" s="109">
        <v>1.2871212121212121</v>
      </c>
      <c r="AB59" s="107">
        <v>-2.9919576719576568E-2</v>
      </c>
      <c r="AC59" s="108">
        <v>-0.47020476190476201</v>
      </c>
      <c r="AD59" s="108">
        <v>-1.7379955141476879</v>
      </c>
      <c r="AE59" s="109">
        <v>-0.70884920634920645</v>
      </c>
      <c r="AF59" s="107">
        <v>5.0556826849733394E-2</v>
      </c>
      <c r="AG59" s="108">
        <v>-0.49294486215538802</v>
      </c>
      <c r="AH59" s="108">
        <v>1.7192185354691076</v>
      </c>
      <c r="AI59" s="109">
        <v>0.21595454545454551</v>
      </c>
      <c r="AJ59" s="107">
        <v>3.043785935426802</v>
      </c>
      <c r="AK59" s="108">
        <v>-0.44818774208247891</v>
      </c>
      <c r="AL59" s="108">
        <v>-0.42400251286978952</v>
      </c>
      <c r="AM59" s="109">
        <v>-0.18357780801916901</v>
      </c>
      <c r="AN59" s="107">
        <v>0.34248955722639929</v>
      </c>
      <c r="AO59" s="108">
        <v>-0.33522414622414631</v>
      </c>
      <c r="AP59" s="108">
        <v>-0.48076148705096022</v>
      </c>
      <c r="AQ59" s="109">
        <v>-0.11430184761420437</v>
      </c>
      <c r="AR59" s="107">
        <v>-0.17016594516594519</v>
      </c>
      <c r="AS59" s="108">
        <v>-0.23708513708513701</v>
      </c>
      <c r="AT59" s="108">
        <v>-0.47520315941368585</v>
      </c>
      <c r="AU59" s="109">
        <v>-0.66868905217589414</v>
      </c>
      <c r="AV59" s="107">
        <v>-0.18492968904733642</v>
      </c>
      <c r="AW59" s="108">
        <v>-0.56048941798941776</v>
      </c>
      <c r="AX59" s="108">
        <v>-0.44569487890850201</v>
      </c>
      <c r="AY59" s="109">
        <v>-0.42553550543024166</v>
      </c>
      <c r="AZ59" s="107">
        <v>1.8157354287252669</v>
      </c>
      <c r="BA59" s="108">
        <v>-0.635851851851851</v>
      </c>
      <c r="BB59" s="108">
        <v>-0.82457131465026201</v>
      </c>
      <c r="BC59" s="109">
        <v>0.52437493305914451</v>
      </c>
      <c r="BD59" s="107">
        <v>0.37663797174094649</v>
      </c>
      <c r="BE59" s="108">
        <v>-0.64684609250398717</v>
      </c>
      <c r="BF59" s="108">
        <v>-1.1496334185848256</v>
      </c>
      <c r="BG59" s="109">
        <v>-0.8642636738906091</v>
      </c>
      <c r="BH59" s="107">
        <v>0.4338174029845856</v>
      </c>
      <c r="BI59" s="108">
        <v>-0.52807539682539684</v>
      </c>
      <c r="BJ59" s="108">
        <v>-0.55109565580618214</v>
      </c>
      <c r="BK59" s="109">
        <v>-0.45466666666666677</v>
      </c>
      <c r="BL59" s="107">
        <v>0.85866666666666625</v>
      </c>
      <c r="BM59" s="108">
        <v>-0.61766666666666659</v>
      </c>
      <c r="BN59" s="108">
        <v>-0.92966666666666686</v>
      </c>
      <c r="BO59" s="109">
        <v>-0.54233333333333311</v>
      </c>
      <c r="BP59" s="107">
        <v>1.2273333333333336</v>
      </c>
      <c r="BQ59" s="108">
        <v>-0.73399999999999999</v>
      </c>
      <c r="BR59" s="108">
        <v>-0.93699999999999983</v>
      </c>
      <c r="BS59" s="109">
        <v>-0.52533333333333321</v>
      </c>
      <c r="BT59" s="107">
        <v>2.1300000000000008</v>
      </c>
      <c r="BU59" s="108"/>
      <c r="BV59" s="108"/>
      <c r="BW59" s="109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</row>
    <row r="60" spans="1:90" x14ac:dyDescent="0.25">
      <c r="A60" s="9"/>
      <c r="B60" s="9"/>
      <c r="C60" s="3" t="s">
        <v>9</v>
      </c>
      <c r="D60" s="130" t="s">
        <v>205</v>
      </c>
      <c r="E60" s="3" t="s">
        <v>206</v>
      </c>
      <c r="F60" s="20"/>
      <c r="G60" s="20"/>
      <c r="H60" s="107">
        <v>2.8901563691838295</v>
      </c>
      <c r="I60" s="108">
        <v>0.38814069264069317</v>
      </c>
      <c r="J60" s="108">
        <v>0.604976190476191</v>
      </c>
      <c r="K60" s="109">
        <v>0.49117460317460404</v>
      </c>
      <c r="L60" s="107">
        <v>0.71131020733652361</v>
      </c>
      <c r="M60" s="108">
        <v>0.20786078833447208</v>
      </c>
      <c r="N60" s="108">
        <v>0.1801402220967443</v>
      </c>
      <c r="O60" s="109">
        <v>0.77668379446640268</v>
      </c>
      <c r="P60" s="107">
        <v>4.1908244467377589</v>
      </c>
      <c r="Q60" s="108">
        <v>0.28893145743145698</v>
      </c>
      <c r="R60" s="108">
        <v>0.2976666666666663</v>
      </c>
      <c r="S60" s="109">
        <v>0.66396937997166861</v>
      </c>
      <c r="T60" s="107">
        <v>11.191780182780182</v>
      </c>
      <c r="U60" s="108">
        <v>-0.88089091192032365</v>
      </c>
      <c r="V60" s="108">
        <v>-1.3679588744588744</v>
      </c>
      <c r="W60" s="109">
        <v>-0.58599470899470862</v>
      </c>
      <c r="X60" s="107">
        <v>6.3359398148148136</v>
      </c>
      <c r="Y60" s="108">
        <v>-1.8976190476190702E-2</v>
      </c>
      <c r="Z60" s="108">
        <v>2.2908400673400675</v>
      </c>
      <c r="AA60" s="109">
        <v>1.8920833333333331</v>
      </c>
      <c r="AB60" s="107">
        <v>0.55239821159232938</v>
      </c>
      <c r="AC60" s="108">
        <v>-0.315625937392501</v>
      </c>
      <c r="AD60" s="108">
        <v>-1.1342986425339363</v>
      </c>
      <c r="AE60" s="109">
        <v>-0.11176190476190495</v>
      </c>
      <c r="AF60" s="107">
        <v>0.56011764705882383</v>
      </c>
      <c r="AG60" s="108">
        <v>-0.26336385836385778</v>
      </c>
      <c r="AH60" s="108">
        <v>2.5445726495726499</v>
      </c>
      <c r="AI60" s="109">
        <v>0.82550427350427391</v>
      </c>
      <c r="AJ60" s="107">
        <v>4.0249144921126341</v>
      </c>
      <c r="AK60" s="108">
        <v>-0.1179417862838914</v>
      </c>
      <c r="AL60" s="108">
        <v>6.4424400923255298E-3</v>
      </c>
      <c r="AM60" s="109">
        <v>-1.5252892194253853E-2</v>
      </c>
      <c r="AN60" s="107">
        <v>0.7728199665831248</v>
      </c>
      <c r="AO60" s="108">
        <v>-0.28140740740740755</v>
      </c>
      <c r="AP60" s="108">
        <v>-0.4081669704564439</v>
      </c>
      <c r="AQ60" s="109">
        <v>2.0476735316552475E-2</v>
      </c>
      <c r="AR60" s="107">
        <v>-8.5402407533986535E-2</v>
      </c>
      <c r="AS60" s="108">
        <v>-0.23452869352869343</v>
      </c>
      <c r="AT60" s="108">
        <v>-0.46663595262666457</v>
      </c>
      <c r="AU60" s="109">
        <v>-0.4796595860566446</v>
      </c>
      <c r="AV60" s="107">
        <v>0.1305929038281981</v>
      </c>
      <c r="AW60" s="108">
        <v>-0.50680340557275505</v>
      </c>
      <c r="AX60" s="108">
        <v>-0.50902738873327191</v>
      </c>
      <c r="AY60" s="109">
        <v>-0.32816855865153016</v>
      </c>
      <c r="AZ60" s="107">
        <v>2.4039294113907967</v>
      </c>
      <c r="BA60" s="108">
        <v>-0.70661422346716396</v>
      </c>
      <c r="BB60" s="108">
        <v>-0.58339539026206211</v>
      </c>
      <c r="BC60" s="109">
        <v>1.0507568172568176</v>
      </c>
      <c r="BD60" s="107">
        <v>0.40559077432142443</v>
      </c>
      <c r="BE60" s="108">
        <v>-0.62866427432216931</v>
      </c>
      <c r="BF60" s="108">
        <v>-1.0716845913393231</v>
      </c>
      <c r="BG60" s="109">
        <v>-0.769126187423401</v>
      </c>
      <c r="BH60" s="107">
        <v>0.41450326797385628</v>
      </c>
      <c r="BI60" s="108">
        <v>-0.46960667600373474</v>
      </c>
      <c r="BJ60" s="108">
        <v>-0.56448355263157901</v>
      </c>
      <c r="BK60" s="109">
        <v>-0.34533333333333349</v>
      </c>
      <c r="BL60" s="107">
        <v>1.7786666666666662</v>
      </c>
      <c r="BM60" s="108">
        <v>-0.71166666666666645</v>
      </c>
      <c r="BN60" s="108">
        <v>-0.89100000000000001</v>
      </c>
      <c r="BO60" s="109">
        <v>-0.43066666666666675</v>
      </c>
      <c r="BP60" s="107">
        <v>2.0903333333333323</v>
      </c>
      <c r="BQ60" s="108">
        <v>-0.7283333333333335</v>
      </c>
      <c r="BR60" s="108">
        <v>-0.8839999999999999</v>
      </c>
      <c r="BS60" s="109">
        <v>-0.20699999999999985</v>
      </c>
      <c r="BT60" s="107">
        <v>3.2480000000000011</v>
      </c>
      <c r="BU60" s="108"/>
      <c r="BV60" s="108"/>
      <c r="BW60" s="109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</row>
    <row r="61" spans="1:90" x14ac:dyDescent="0.25">
      <c r="A61" s="9"/>
      <c r="B61" s="9"/>
      <c r="C61" s="3" t="s">
        <v>10</v>
      </c>
      <c r="D61" s="130" t="s">
        <v>205</v>
      </c>
      <c r="E61" s="3" t="s">
        <v>206</v>
      </c>
      <c r="F61" s="20"/>
      <c r="G61" s="20"/>
      <c r="H61" s="107">
        <v>2.8901563691838295</v>
      </c>
      <c r="I61" s="108">
        <v>0.38814069264069317</v>
      </c>
      <c r="J61" s="108">
        <v>0.604976190476191</v>
      </c>
      <c r="K61" s="109">
        <v>0.49117460317460404</v>
      </c>
      <c r="L61" s="107">
        <v>0.71131020733652361</v>
      </c>
      <c r="M61" s="108">
        <v>0.20786078833447208</v>
      </c>
      <c r="N61" s="108">
        <v>0.1801402220967443</v>
      </c>
      <c r="O61" s="109">
        <v>0.77668379446640268</v>
      </c>
      <c r="P61" s="107">
        <v>4.1908244467377589</v>
      </c>
      <c r="Q61" s="108">
        <v>0.28893145743145698</v>
      </c>
      <c r="R61" s="108">
        <v>0.2976666666666663</v>
      </c>
      <c r="S61" s="109">
        <v>0.66396937997166861</v>
      </c>
      <c r="T61" s="107">
        <v>11.191780182780182</v>
      </c>
      <c r="U61" s="108">
        <v>-0.88089091192032365</v>
      </c>
      <c r="V61" s="108">
        <v>-1.3679588744588744</v>
      </c>
      <c r="W61" s="109">
        <v>-0.58599470899470862</v>
      </c>
      <c r="X61" s="107">
        <v>6.3359398148148136</v>
      </c>
      <c r="Y61" s="108">
        <v>-1.8976190476190702E-2</v>
      </c>
      <c r="Z61" s="108">
        <v>2.2908400673400675</v>
      </c>
      <c r="AA61" s="109">
        <v>1.8920833333333331</v>
      </c>
      <c r="AB61" s="107">
        <v>0.55239821159232938</v>
      </c>
      <c r="AC61" s="108">
        <v>-0.315625937392501</v>
      </c>
      <c r="AD61" s="108">
        <v>-1.1342986425339363</v>
      </c>
      <c r="AE61" s="109">
        <v>-0.11176190476190495</v>
      </c>
      <c r="AF61" s="107">
        <v>0.56011764705882383</v>
      </c>
      <c r="AG61" s="108">
        <v>-0.26336385836385778</v>
      </c>
      <c r="AH61" s="108">
        <v>2.5445726495726499</v>
      </c>
      <c r="AI61" s="109">
        <v>0.82550427350427391</v>
      </c>
      <c r="AJ61" s="107">
        <v>4.0249144921126341</v>
      </c>
      <c r="AK61" s="108">
        <v>-0.1179417862838914</v>
      </c>
      <c r="AL61" s="108">
        <v>6.4424400923255298E-3</v>
      </c>
      <c r="AM61" s="109">
        <v>-1.5252892194253853E-2</v>
      </c>
      <c r="AN61" s="107">
        <v>0.7728199665831248</v>
      </c>
      <c r="AO61" s="108">
        <v>-0.28140740740740755</v>
      </c>
      <c r="AP61" s="108">
        <v>-0.4081669704564439</v>
      </c>
      <c r="AQ61" s="109">
        <v>2.0476735316552475E-2</v>
      </c>
      <c r="AR61" s="107">
        <v>-8.5402407533986535E-2</v>
      </c>
      <c r="AS61" s="108">
        <v>-0.23452869352869343</v>
      </c>
      <c r="AT61" s="108">
        <v>-0.46663595262666457</v>
      </c>
      <c r="AU61" s="109">
        <v>-0.4796595860566446</v>
      </c>
      <c r="AV61" s="107">
        <v>0.1305929038281981</v>
      </c>
      <c r="AW61" s="108">
        <v>-0.50680340557275505</v>
      </c>
      <c r="AX61" s="108">
        <v>-0.50902738873327191</v>
      </c>
      <c r="AY61" s="109">
        <v>-0.32816855865153016</v>
      </c>
      <c r="AZ61" s="107">
        <v>2.4039294113907967</v>
      </c>
      <c r="BA61" s="108">
        <v>-0.70661422346716396</v>
      </c>
      <c r="BB61" s="108">
        <v>-0.58339539026206211</v>
      </c>
      <c r="BC61" s="109">
        <v>1.0507568172568176</v>
      </c>
      <c r="BD61" s="107">
        <v>0.40559077432142443</v>
      </c>
      <c r="BE61" s="108">
        <v>-0.62866427432216931</v>
      </c>
      <c r="BF61" s="108">
        <v>-1.0716845913393231</v>
      </c>
      <c r="BG61" s="109">
        <v>-0.769126187423401</v>
      </c>
      <c r="BH61" s="107">
        <v>0.41450326797385628</v>
      </c>
      <c r="BI61" s="108">
        <v>-0.46960667600373474</v>
      </c>
      <c r="BJ61" s="108">
        <v>-0.56448355263157901</v>
      </c>
      <c r="BK61" s="109">
        <v>-0.34533333333333349</v>
      </c>
      <c r="BL61" s="107">
        <v>1.7786666666666662</v>
      </c>
      <c r="BM61" s="108">
        <v>-0.71166666666666645</v>
      </c>
      <c r="BN61" s="108">
        <v>-0.89100000000000001</v>
      </c>
      <c r="BO61" s="109">
        <v>-0.43066666666666675</v>
      </c>
      <c r="BP61" s="107">
        <v>2.0903333333333323</v>
      </c>
      <c r="BQ61" s="108">
        <v>-0.7283333333333335</v>
      </c>
      <c r="BR61" s="108">
        <v>-0.8839999999999999</v>
      </c>
      <c r="BS61" s="109">
        <v>-0.20699999999999985</v>
      </c>
      <c r="BT61" s="107">
        <v>3.2480000000000011</v>
      </c>
      <c r="BU61" s="108"/>
      <c r="BV61" s="108"/>
      <c r="BW61" s="109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</row>
    <row r="62" spans="1:90" x14ac:dyDescent="0.25">
      <c r="A62" s="9"/>
      <c r="B62" s="9"/>
      <c r="C62" s="3" t="s">
        <v>11</v>
      </c>
      <c r="D62" s="130" t="s">
        <v>205</v>
      </c>
      <c r="E62" s="3" t="s">
        <v>207</v>
      </c>
      <c r="F62" s="20"/>
      <c r="G62" s="20"/>
      <c r="H62" s="107">
        <v>1.7494298245614033</v>
      </c>
      <c r="I62" s="108">
        <v>0.28882972582972677</v>
      </c>
      <c r="J62" s="108">
        <v>0.25620841959972473</v>
      </c>
      <c r="K62" s="109">
        <v>0.27394444444444455</v>
      </c>
      <c r="L62" s="107">
        <v>0.29753748006379643</v>
      </c>
      <c r="M62" s="108">
        <v>0.16276987924356368</v>
      </c>
      <c r="N62" s="108">
        <v>0.16539793158786331</v>
      </c>
      <c r="O62" s="109">
        <v>0.28000724637681085</v>
      </c>
      <c r="P62" s="107">
        <v>0.72228643504185319</v>
      </c>
      <c r="Q62" s="108">
        <v>0.1070829725829725</v>
      </c>
      <c r="R62" s="108">
        <v>8.0530303030303063E-2</v>
      </c>
      <c r="S62" s="109">
        <v>0.19774185463659144</v>
      </c>
      <c r="T62" s="107">
        <v>7.825910926305661</v>
      </c>
      <c r="U62" s="108">
        <v>-0.90806022408963605</v>
      </c>
      <c r="V62" s="108">
        <v>-1.4397914862914858</v>
      </c>
      <c r="W62" s="109">
        <v>-1.1032962962962962</v>
      </c>
      <c r="X62" s="107">
        <v>3.0571331738436998</v>
      </c>
      <c r="Y62" s="108">
        <v>-0.94385714285714273</v>
      </c>
      <c r="Z62" s="108">
        <v>1.3712525252525254</v>
      </c>
      <c r="AA62" s="109">
        <v>1.2871212121212121</v>
      </c>
      <c r="AB62" s="107">
        <v>-2.9919576719576568E-2</v>
      </c>
      <c r="AC62" s="108">
        <v>-0.47020476190476201</v>
      </c>
      <c r="AD62" s="108">
        <v>-1.7379955141476879</v>
      </c>
      <c r="AE62" s="109">
        <v>-0.70884920634920645</v>
      </c>
      <c r="AF62" s="107">
        <v>5.0556826849733394E-2</v>
      </c>
      <c r="AG62" s="108">
        <v>-0.49294486215538802</v>
      </c>
      <c r="AH62" s="108">
        <v>1.7192185354691076</v>
      </c>
      <c r="AI62" s="109">
        <v>0.21595454545454551</v>
      </c>
      <c r="AJ62" s="107">
        <v>3.043785935426802</v>
      </c>
      <c r="AK62" s="108">
        <v>-0.44818774208247891</v>
      </c>
      <c r="AL62" s="108">
        <v>-0.42400251286978952</v>
      </c>
      <c r="AM62" s="109">
        <v>-0.18357780801916901</v>
      </c>
      <c r="AN62" s="107">
        <v>0.34248955722639929</v>
      </c>
      <c r="AO62" s="108">
        <v>-0.33522414622414631</v>
      </c>
      <c r="AP62" s="108">
        <v>-0.48076148705096022</v>
      </c>
      <c r="AQ62" s="109">
        <v>-0.11430184761420437</v>
      </c>
      <c r="AR62" s="107">
        <v>-0.17016594516594519</v>
      </c>
      <c r="AS62" s="108">
        <v>-0.23708513708513701</v>
      </c>
      <c r="AT62" s="108">
        <v>-0.47520315941368585</v>
      </c>
      <c r="AU62" s="109">
        <v>-0.66868905217589414</v>
      </c>
      <c r="AV62" s="107">
        <v>-0.18492968904733642</v>
      </c>
      <c r="AW62" s="108">
        <v>-0.56048941798941776</v>
      </c>
      <c r="AX62" s="108">
        <v>-0.44569487890850201</v>
      </c>
      <c r="AY62" s="109">
        <v>-0.42553550543024166</v>
      </c>
      <c r="AZ62" s="107">
        <v>1.8157354287252669</v>
      </c>
      <c r="BA62" s="108">
        <v>-0.635851851851851</v>
      </c>
      <c r="BB62" s="108">
        <v>-0.82457131465026201</v>
      </c>
      <c r="BC62" s="109">
        <v>0.52437493305914451</v>
      </c>
      <c r="BD62" s="107">
        <v>0.37663797174094649</v>
      </c>
      <c r="BE62" s="108">
        <v>-0.64684609250398717</v>
      </c>
      <c r="BF62" s="108">
        <v>-1.1496334185848256</v>
      </c>
      <c r="BG62" s="109">
        <v>-0.8642636738906091</v>
      </c>
      <c r="BH62" s="107">
        <v>0.4338174029845856</v>
      </c>
      <c r="BI62" s="108">
        <v>-0.52807539682539684</v>
      </c>
      <c r="BJ62" s="108">
        <v>-0.55109565580618214</v>
      </c>
      <c r="BK62" s="109">
        <v>-0.45466666666666677</v>
      </c>
      <c r="BL62" s="107">
        <v>0.85866666666666625</v>
      </c>
      <c r="BM62" s="108">
        <v>-0.61766666666666659</v>
      </c>
      <c r="BN62" s="108">
        <v>-0.92966666666666686</v>
      </c>
      <c r="BO62" s="109">
        <v>-0.54233333333333311</v>
      </c>
      <c r="BP62" s="107">
        <v>1.2273333333333336</v>
      </c>
      <c r="BQ62" s="108">
        <v>-0.73399999999999999</v>
      </c>
      <c r="BR62" s="108">
        <v>-0.93699999999999983</v>
      </c>
      <c r="BS62" s="109">
        <v>-0.52533333333333321</v>
      </c>
      <c r="BT62" s="107">
        <v>2.1300000000000008</v>
      </c>
      <c r="BU62" s="108"/>
      <c r="BV62" s="108"/>
      <c r="BW62" s="109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</row>
    <row r="63" spans="1:90" x14ac:dyDescent="0.25">
      <c r="A63" s="9"/>
      <c r="B63" s="9"/>
      <c r="C63" s="3" t="s">
        <v>12</v>
      </c>
      <c r="D63" s="130" t="s">
        <v>205</v>
      </c>
      <c r="E63" s="3" t="s">
        <v>207</v>
      </c>
      <c r="F63" s="20"/>
      <c r="G63" s="20"/>
      <c r="H63" s="107">
        <v>1.7494298245614033</v>
      </c>
      <c r="I63" s="108">
        <v>0.28882972582972677</v>
      </c>
      <c r="J63" s="108">
        <v>0.25620841959972473</v>
      </c>
      <c r="K63" s="109">
        <v>0.27394444444444455</v>
      </c>
      <c r="L63" s="107">
        <v>0.29753748006379643</v>
      </c>
      <c r="M63" s="108">
        <v>0.16276987924356368</v>
      </c>
      <c r="N63" s="108">
        <v>0.16539793158786331</v>
      </c>
      <c r="O63" s="109">
        <v>0.28000724637681085</v>
      </c>
      <c r="P63" s="107">
        <v>0.72228643504185319</v>
      </c>
      <c r="Q63" s="108">
        <v>0.1070829725829725</v>
      </c>
      <c r="R63" s="108">
        <v>8.0530303030303063E-2</v>
      </c>
      <c r="S63" s="109">
        <v>0.19774185463659144</v>
      </c>
      <c r="T63" s="107">
        <v>7.825910926305661</v>
      </c>
      <c r="U63" s="108">
        <v>-0.90806022408963605</v>
      </c>
      <c r="V63" s="108">
        <v>-1.4397914862914858</v>
      </c>
      <c r="W63" s="109">
        <v>-1.1032962962962962</v>
      </c>
      <c r="X63" s="107">
        <v>3.0571331738436998</v>
      </c>
      <c r="Y63" s="108">
        <v>-0.94385714285714273</v>
      </c>
      <c r="Z63" s="108">
        <v>1.3712525252525254</v>
      </c>
      <c r="AA63" s="109">
        <v>1.2871212121212121</v>
      </c>
      <c r="AB63" s="107">
        <v>-2.9919576719576568E-2</v>
      </c>
      <c r="AC63" s="108">
        <v>-0.47020476190476201</v>
      </c>
      <c r="AD63" s="108">
        <v>-1.7379955141476879</v>
      </c>
      <c r="AE63" s="109">
        <v>-0.70884920634920645</v>
      </c>
      <c r="AF63" s="107">
        <v>5.0556826849733394E-2</v>
      </c>
      <c r="AG63" s="108">
        <v>-0.49294486215538802</v>
      </c>
      <c r="AH63" s="108">
        <v>1.7192185354691076</v>
      </c>
      <c r="AI63" s="109">
        <v>0.21595454545454551</v>
      </c>
      <c r="AJ63" s="107">
        <v>3.043785935426802</v>
      </c>
      <c r="AK63" s="108">
        <v>-0.44818774208247891</v>
      </c>
      <c r="AL63" s="108">
        <v>-0.42400251286978952</v>
      </c>
      <c r="AM63" s="109">
        <v>-0.18357780801916901</v>
      </c>
      <c r="AN63" s="107">
        <v>0.34248955722639929</v>
      </c>
      <c r="AO63" s="108">
        <v>-0.33522414622414631</v>
      </c>
      <c r="AP63" s="108">
        <v>-0.48076148705096022</v>
      </c>
      <c r="AQ63" s="109">
        <v>-0.11430184761420437</v>
      </c>
      <c r="AR63" s="107">
        <v>-0.17016594516594519</v>
      </c>
      <c r="AS63" s="108">
        <v>-0.23708513708513701</v>
      </c>
      <c r="AT63" s="108">
        <v>-0.47520315941368585</v>
      </c>
      <c r="AU63" s="109">
        <v>-0.66868905217589414</v>
      </c>
      <c r="AV63" s="107">
        <v>-0.18492968904733642</v>
      </c>
      <c r="AW63" s="108">
        <v>-0.56048941798941776</v>
      </c>
      <c r="AX63" s="108">
        <v>-0.44569487890850201</v>
      </c>
      <c r="AY63" s="109">
        <v>-0.42553550543024166</v>
      </c>
      <c r="AZ63" s="107">
        <v>1.8157354287252669</v>
      </c>
      <c r="BA63" s="108">
        <v>-0.635851851851851</v>
      </c>
      <c r="BB63" s="108">
        <v>-0.82457131465026201</v>
      </c>
      <c r="BC63" s="109">
        <v>0.52437493305914451</v>
      </c>
      <c r="BD63" s="107">
        <v>0.37663797174094649</v>
      </c>
      <c r="BE63" s="108">
        <v>-0.64684609250398717</v>
      </c>
      <c r="BF63" s="108">
        <v>-1.1496334185848256</v>
      </c>
      <c r="BG63" s="109">
        <v>-0.8642636738906091</v>
      </c>
      <c r="BH63" s="107">
        <v>0.4338174029845856</v>
      </c>
      <c r="BI63" s="108">
        <v>-0.52807539682539684</v>
      </c>
      <c r="BJ63" s="108">
        <v>-0.55109565580618214</v>
      </c>
      <c r="BK63" s="109">
        <v>-0.45466666666666677</v>
      </c>
      <c r="BL63" s="107">
        <v>0.85866666666666625</v>
      </c>
      <c r="BM63" s="108">
        <v>-0.61766666666666659</v>
      </c>
      <c r="BN63" s="108">
        <v>-0.92966666666666686</v>
      </c>
      <c r="BO63" s="109">
        <v>-0.54233333333333311</v>
      </c>
      <c r="BP63" s="107">
        <v>1.2273333333333336</v>
      </c>
      <c r="BQ63" s="108">
        <v>-0.73399999999999999</v>
      </c>
      <c r="BR63" s="108">
        <v>-0.93699999999999983</v>
      </c>
      <c r="BS63" s="109">
        <v>-0.52533333333333321</v>
      </c>
      <c r="BT63" s="107">
        <v>2.1300000000000008</v>
      </c>
      <c r="BU63" s="108"/>
      <c r="BV63" s="108"/>
      <c r="BW63" s="109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</row>
    <row r="64" spans="1:90" x14ac:dyDescent="0.25">
      <c r="A64" s="9"/>
      <c r="B64" s="9"/>
      <c r="C64" s="3" t="s">
        <v>13</v>
      </c>
      <c r="D64" s="130" t="s">
        <v>205</v>
      </c>
      <c r="E64" s="3" t="s">
        <v>207</v>
      </c>
      <c r="F64" s="20"/>
      <c r="G64" s="20"/>
      <c r="H64" s="107">
        <v>1.7494298245614033</v>
      </c>
      <c r="I64" s="108">
        <v>0.28882972582972677</v>
      </c>
      <c r="J64" s="108">
        <v>0.25620841959972473</v>
      </c>
      <c r="K64" s="109">
        <v>0.27394444444444455</v>
      </c>
      <c r="L64" s="107">
        <v>0.29753748006379643</v>
      </c>
      <c r="M64" s="108">
        <v>0.16276987924356368</v>
      </c>
      <c r="N64" s="108">
        <v>0.16539793158786331</v>
      </c>
      <c r="O64" s="109">
        <v>0.28000724637681085</v>
      </c>
      <c r="P64" s="107">
        <v>0.72228643504185319</v>
      </c>
      <c r="Q64" s="108">
        <v>0.1070829725829725</v>
      </c>
      <c r="R64" s="108">
        <v>8.0530303030303063E-2</v>
      </c>
      <c r="S64" s="109">
        <v>0.19774185463659144</v>
      </c>
      <c r="T64" s="107">
        <v>7.825910926305661</v>
      </c>
      <c r="U64" s="108">
        <v>-0.90806022408963605</v>
      </c>
      <c r="V64" s="108">
        <v>-1.4397914862914858</v>
      </c>
      <c r="W64" s="109">
        <v>-1.1032962962962962</v>
      </c>
      <c r="X64" s="107">
        <v>3.0571331738436998</v>
      </c>
      <c r="Y64" s="108">
        <v>-0.94385714285714273</v>
      </c>
      <c r="Z64" s="108">
        <v>1.3712525252525254</v>
      </c>
      <c r="AA64" s="109">
        <v>1.2871212121212121</v>
      </c>
      <c r="AB64" s="107">
        <v>-2.9919576719576568E-2</v>
      </c>
      <c r="AC64" s="108">
        <v>-0.47020476190476201</v>
      </c>
      <c r="AD64" s="108">
        <v>-1.7379955141476879</v>
      </c>
      <c r="AE64" s="109">
        <v>-0.70884920634920645</v>
      </c>
      <c r="AF64" s="107">
        <v>5.0556826849733394E-2</v>
      </c>
      <c r="AG64" s="108">
        <v>-0.49294486215538802</v>
      </c>
      <c r="AH64" s="108">
        <v>1.7192185354691076</v>
      </c>
      <c r="AI64" s="109">
        <v>0.21595454545454551</v>
      </c>
      <c r="AJ64" s="107">
        <v>3.043785935426802</v>
      </c>
      <c r="AK64" s="108">
        <v>-0.44818774208247891</v>
      </c>
      <c r="AL64" s="108">
        <v>-0.42400251286978952</v>
      </c>
      <c r="AM64" s="109">
        <v>-0.18357780801916901</v>
      </c>
      <c r="AN64" s="107">
        <v>0.34248955722639929</v>
      </c>
      <c r="AO64" s="108">
        <v>-0.33522414622414631</v>
      </c>
      <c r="AP64" s="108">
        <v>-0.48076148705096022</v>
      </c>
      <c r="AQ64" s="109">
        <v>-0.11430184761420437</v>
      </c>
      <c r="AR64" s="107">
        <v>-0.17016594516594519</v>
      </c>
      <c r="AS64" s="108">
        <v>-0.23708513708513701</v>
      </c>
      <c r="AT64" s="108">
        <v>-0.47520315941368585</v>
      </c>
      <c r="AU64" s="109">
        <v>-0.66868905217589414</v>
      </c>
      <c r="AV64" s="107">
        <v>-0.18492968904733642</v>
      </c>
      <c r="AW64" s="108">
        <v>-0.56048941798941776</v>
      </c>
      <c r="AX64" s="108">
        <v>-0.44569487890850201</v>
      </c>
      <c r="AY64" s="109">
        <v>-0.42553550543024166</v>
      </c>
      <c r="AZ64" s="107">
        <v>1.8157354287252669</v>
      </c>
      <c r="BA64" s="108">
        <v>-0.635851851851851</v>
      </c>
      <c r="BB64" s="108">
        <v>-0.82457131465026201</v>
      </c>
      <c r="BC64" s="109">
        <v>0.52437493305914451</v>
      </c>
      <c r="BD64" s="107">
        <v>0.37663797174094649</v>
      </c>
      <c r="BE64" s="108">
        <v>-0.64684609250398717</v>
      </c>
      <c r="BF64" s="108">
        <v>-1.1496334185848256</v>
      </c>
      <c r="BG64" s="109">
        <v>-0.8642636738906091</v>
      </c>
      <c r="BH64" s="107">
        <v>0.4338174029845856</v>
      </c>
      <c r="BI64" s="108">
        <v>-0.52807539682539684</v>
      </c>
      <c r="BJ64" s="108">
        <v>-0.55109565580618214</v>
      </c>
      <c r="BK64" s="109">
        <v>-0.45466666666666677</v>
      </c>
      <c r="BL64" s="107">
        <v>0.85866666666666625</v>
      </c>
      <c r="BM64" s="108">
        <v>-0.61766666666666659</v>
      </c>
      <c r="BN64" s="108">
        <v>-0.92966666666666686</v>
      </c>
      <c r="BO64" s="109">
        <v>-0.54233333333333311</v>
      </c>
      <c r="BP64" s="107">
        <v>1.2273333333333336</v>
      </c>
      <c r="BQ64" s="108">
        <v>-0.73399999999999999</v>
      </c>
      <c r="BR64" s="108">
        <v>-0.93699999999999983</v>
      </c>
      <c r="BS64" s="109">
        <v>-0.52533333333333321</v>
      </c>
      <c r="BT64" s="107">
        <v>2.1300000000000008</v>
      </c>
      <c r="BU64" s="108"/>
      <c r="BV64" s="108"/>
      <c r="BW64" s="109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</row>
    <row r="65" spans="1:90" x14ac:dyDescent="0.25">
      <c r="A65" s="9"/>
      <c r="B65" s="9"/>
      <c r="C65" s="3" t="s">
        <v>14</v>
      </c>
      <c r="D65" s="130" t="s">
        <v>205</v>
      </c>
      <c r="E65" s="3" t="s">
        <v>208</v>
      </c>
      <c r="F65" s="20"/>
      <c r="G65" s="20"/>
      <c r="H65" s="107">
        <v>0</v>
      </c>
      <c r="I65" s="108">
        <v>0</v>
      </c>
      <c r="J65" s="108">
        <v>0</v>
      </c>
      <c r="K65" s="109">
        <v>0</v>
      </c>
      <c r="L65" s="107">
        <v>0</v>
      </c>
      <c r="M65" s="108">
        <v>0</v>
      </c>
      <c r="N65" s="108">
        <v>0</v>
      </c>
      <c r="O65" s="109">
        <v>0</v>
      </c>
      <c r="P65" s="107">
        <v>0</v>
      </c>
      <c r="Q65" s="108">
        <v>0</v>
      </c>
      <c r="R65" s="108">
        <v>0</v>
      </c>
      <c r="S65" s="109">
        <v>0</v>
      </c>
      <c r="T65" s="107">
        <v>0</v>
      </c>
      <c r="U65" s="108">
        <v>0</v>
      </c>
      <c r="V65" s="108">
        <v>0</v>
      </c>
      <c r="W65" s="109">
        <v>0</v>
      </c>
      <c r="X65" s="107">
        <v>0</v>
      </c>
      <c r="Y65" s="108">
        <v>0</v>
      </c>
      <c r="Z65" s="108">
        <v>0</v>
      </c>
      <c r="AA65" s="109">
        <v>0</v>
      </c>
      <c r="AB65" s="107">
        <v>0</v>
      </c>
      <c r="AC65" s="108">
        <v>0</v>
      </c>
      <c r="AD65" s="108">
        <v>0</v>
      </c>
      <c r="AE65" s="109">
        <v>0</v>
      </c>
      <c r="AF65" s="107">
        <v>0</v>
      </c>
      <c r="AG65" s="108">
        <v>0</v>
      </c>
      <c r="AH65" s="108">
        <v>0</v>
      </c>
      <c r="AI65" s="109">
        <v>0</v>
      </c>
      <c r="AJ65" s="107">
        <v>0</v>
      </c>
      <c r="AK65" s="108">
        <v>0</v>
      </c>
      <c r="AL65" s="108">
        <v>0</v>
      </c>
      <c r="AM65" s="109">
        <v>0</v>
      </c>
      <c r="AN65" s="107">
        <v>0</v>
      </c>
      <c r="AO65" s="108">
        <v>0</v>
      </c>
      <c r="AP65" s="108">
        <v>0</v>
      </c>
      <c r="AQ65" s="109">
        <v>0</v>
      </c>
      <c r="AR65" s="107">
        <v>0</v>
      </c>
      <c r="AS65" s="108">
        <v>0</v>
      </c>
      <c r="AT65" s="108">
        <v>0</v>
      </c>
      <c r="AU65" s="109">
        <v>0</v>
      </c>
      <c r="AV65" s="107">
        <v>0</v>
      </c>
      <c r="AW65" s="108">
        <v>0</v>
      </c>
      <c r="AX65" s="108">
        <v>0</v>
      </c>
      <c r="AY65" s="109">
        <v>0</v>
      </c>
      <c r="AZ65" s="107">
        <v>0</v>
      </c>
      <c r="BA65" s="108">
        <v>0</v>
      </c>
      <c r="BB65" s="108">
        <v>0</v>
      </c>
      <c r="BC65" s="109">
        <v>0</v>
      </c>
      <c r="BD65" s="107">
        <v>0</v>
      </c>
      <c r="BE65" s="108">
        <v>0</v>
      </c>
      <c r="BF65" s="108">
        <v>0</v>
      </c>
      <c r="BG65" s="109">
        <v>0</v>
      </c>
      <c r="BH65" s="107">
        <v>0</v>
      </c>
      <c r="BI65" s="108">
        <v>0</v>
      </c>
      <c r="BJ65" s="108">
        <v>0</v>
      </c>
      <c r="BK65" s="109">
        <v>0</v>
      </c>
      <c r="BL65" s="107">
        <v>0</v>
      </c>
      <c r="BM65" s="108">
        <v>0</v>
      </c>
      <c r="BN65" s="108">
        <v>0</v>
      </c>
      <c r="BO65" s="109">
        <v>0</v>
      </c>
      <c r="BP65" s="107">
        <v>0</v>
      </c>
      <c r="BQ65" s="108">
        <v>0</v>
      </c>
      <c r="BR65" s="108">
        <v>0</v>
      </c>
      <c r="BS65" s="109">
        <v>0</v>
      </c>
      <c r="BT65" s="107">
        <v>0</v>
      </c>
      <c r="BU65" s="108"/>
      <c r="BV65" s="108"/>
      <c r="BW65" s="109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</row>
    <row r="66" spans="1:90" x14ac:dyDescent="0.25">
      <c r="A66" s="9"/>
      <c r="B66" s="9"/>
      <c r="C66" s="3" t="s">
        <v>15</v>
      </c>
      <c r="D66" s="130" t="s">
        <v>205</v>
      </c>
      <c r="E66" s="3" t="s">
        <v>208</v>
      </c>
      <c r="F66" s="20"/>
      <c r="G66" s="20"/>
      <c r="H66" s="107">
        <v>0</v>
      </c>
      <c r="I66" s="108">
        <v>0</v>
      </c>
      <c r="J66" s="108">
        <v>0</v>
      </c>
      <c r="K66" s="109">
        <v>0</v>
      </c>
      <c r="L66" s="107">
        <v>0</v>
      </c>
      <c r="M66" s="108">
        <v>0</v>
      </c>
      <c r="N66" s="108">
        <v>0</v>
      </c>
      <c r="O66" s="109">
        <v>0</v>
      </c>
      <c r="P66" s="107">
        <v>0</v>
      </c>
      <c r="Q66" s="108">
        <v>0</v>
      </c>
      <c r="R66" s="108">
        <v>0</v>
      </c>
      <c r="S66" s="109">
        <v>0</v>
      </c>
      <c r="T66" s="107">
        <v>0</v>
      </c>
      <c r="U66" s="108">
        <v>0</v>
      </c>
      <c r="V66" s="108">
        <v>0</v>
      </c>
      <c r="W66" s="109">
        <v>0</v>
      </c>
      <c r="X66" s="107">
        <v>0</v>
      </c>
      <c r="Y66" s="108">
        <v>0</v>
      </c>
      <c r="Z66" s="108">
        <v>0</v>
      </c>
      <c r="AA66" s="109">
        <v>0</v>
      </c>
      <c r="AB66" s="107">
        <v>0</v>
      </c>
      <c r="AC66" s="108">
        <v>0</v>
      </c>
      <c r="AD66" s="108">
        <v>0</v>
      </c>
      <c r="AE66" s="109">
        <v>0</v>
      </c>
      <c r="AF66" s="107">
        <v>0</v>
      </c>
      <c r="AG66" s="108">
        <v>0</v>
      </c>
      <c r="AH66" s="108">
        <v>0</v>
      </c>
      <c r="AI66" s="109">
        <v>0</v>
      </c>
      <c r="AJ66" s="107">
        <v>0</v>
      </c>
      <c r="AK66" s="108">
        <v>0</v>
      </c>
      <c r="AL66" s="108">
        <v>0</v>
      </c>
      <c r="AM66" s="109">
        <v>0</v>
      </c>
      <c r="AN66" s="107">
        <v>0</v>
      </c>
      <c r="AO66" s="108">
        <v>0</v>
      </c>
      <c r="AP66" s="108">
        <v>0</v>
      </c>
      <c r="AQ66" s="109">
        <v>0</v>
      </c>
      <c r="AR66" s="107">
        <v>0</v>
      </c>
      <c r="AS66" s="108">
        <v>0</v>
      </c>
      <c r="AT66" s="108">
        <v>0</v>
      </c>
      <c r="AU66" s="109">
        <v>0</v>
      </c>
      <c r="AV66" s="107">
        <v>0</v>
      </c>
      <c r="AW66" s="108">
        <v>0</v>
      </c>
      <c r="AX66" s="108">
        <v>0</v>
      </c>
      <c r="AY66" s="109">
        <v>0</v>
      </c>
      <c r="AZ66" s="107">
        <v>0</v>
      </c>
      <c r="BA66" s="108">
        <v>0</v>
      </c>
      <c r="BB66" s="108">
        <v>0</v>
      </c>
      <c r="BC66" s="109">
        <v>0</v>
      </c>
      <c r="BD66" s="107">
        <v>0</v>
      </c>
      <c r="BE66" s="108">
        <v>0</v>
      </c>
      <c r="BF66" s="108">
        <v>0</v>
      </c>
      <c r="BG66" s="109">
        <v>0</v>
      </c>
      <c r="BH66" s="107">
        <v>0</v>
      </c>
      <c r="BI66" s="108">
        <v>0</v>
      </c>
      <c r="BJ66" s="108">
        <v>0</v>
      </c>
      <c r="BK66" s="109">
        <v>0</v>
      </c>
      <c r="BL66" s="107">
        <v>0</v>
      </c>
      <c r="BM66" s="108">
        <v>0</v>
      </c>
      <c r="BN66" s="108">
        <v>0</v>
      </c>
      <c r="BO66" s="109">
        <v>0</v>
      </c>
      <c r="BP66" s="107">
        <v>0</v>
      </c>
      <c r="BQ66" s="108">
        <v>0</v>
      </c>
      <c r="BR66" s="108">
        <v>0</v>
      </c>
      <c r="BS66" s="109">
        <v>0</v>
      </c>
      <c r="BT66" s="107">
        <v>0</v>
      </c>
      <c r="BU66" s="108"/>
      <c r="BV66" s="108"/>
      <c r="BW66" s="109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</row>
    <row r="67" spans="1:90" x14ac:dyDescent="0.25">
      <c r="A67" s="9"/>
      <c r="B67" s="9"/>
      <c r="C67" s="3" t="s">
        <v>16</v>
      </c>
      <c r="D67" s="130" t="s">
        <v>205</v>
      </c>
      <c r="E67" s="3" t="s">
        <v>208</v>
      </c>
      <c r="F67" s="20"/>
      <c r="G67" s="20"/>
      <c r="H67" s="107">
        <v>0</v>
      </c>
      <c r="I67" s="108">
        <v>0</v>
      </c>
      <c r="J67" s="108">
        <v>0</v>
      </c>
      <c r="K67" s="109">
        <v>0</v>
      </c>
      <c r="L67" s="107">
        <v>0</v>
      </c>
      <c r="M67" s="108">
        <v>0</v>
      </c>
      <c r="N67" s="108">
        <v>0</v>
      </c>
      <c r="O67" s="109">
        <v>0</v>
      </c>
      <c r="P67" s="107">
        <v>0</v>
      </c>
      <c r="Q67" s="108">
        <v>0</v>
      </c>
      <c r="R67" s="108">
        <v>0</v>
      </c>
      <c r="S67" s="109">
        <v>0</v>
      </c>
      <c r="T67" s="107">
        <v>0</v>
      </c>
      <c r="U67" s="108">
        <v>0</v>
      </c>
      <c r="V67" s="108">
        <v>0</v>
      </c>
      <c r="W67" s="109">
        <v>0</v>
      </c>
      <c r="X67" s="107">
        <v>0</v>
      </c>
      <c r="Y67" s="108">
        <v>0</v>
      </c>
      <c r="Z67" s="108">
        <v>0</v>
      </c>
      <c r="AA67" s="109">
        <v>0</v>
      </c>
      <c r="AB67" s="107">
        <v>0</v>
      </c>
      <c r="AC67" s="108">
        <v>0</v>
      </c>
      <c r="AD67" s="108">
        <v>0</v>
      </c>
      <c r="AE67" s="109">
        <v>0</v>
      </c>
      <c r="AF67" s="107">
        <v>0</v>
      </c>
      <c r="AG67" s="108">
        <v>0</v>
      </c>
      <c r="AH67" s="108">
        <v>0</v>
      </c>
      <c r="AI67" s="109">
        <v>0</v>
      </c>
      <c r="AJ67" s="107">
        <v>0</v>
      </c>
      <c r="AK67" s="108">
        <v>0</v>
      </c>
      <c r="AL67" s="108">
        <v>0</v>
      </c>
      <c r="AM67" s="109">
        <v>0</v>
      </c>
      <c r="AN67" s="107">
        <v>0</v>
      </c>
      <c r="AO67" s="108">
        <v>0</v>
      </c>
      <c r="AP67" s="108">
        <v>0</v>
      </c>
      <c r="AQ67" s="109">
        <v>0</v>
      </c>
      <c r="AR67" s="107">
        <v>0</v>
      </c>
      <c r="AS67" s="108">
        <v>0</v>
      </c>
      <c r="AT67" s="108">
        <v>0</v>
      </c>
      <c r="AU67" s="109">
        <v>0</v>
      </c>
      <c r="AV67" s="107">
        <v>0</v>
      </c>
      <c r="AW67" s="108">
        <v>0</v>
      </c>
      <c r="AX67" s="108">
        <v>0</v>
      </c>
      <c r="AY67" s="109">
        <v>0</v>
      </c>
      <c r="AZ67" s="107">
        <v>0</v>
      </c>
      <c r="BA67" s="108">
        <v>0</v>
      </c>
      <c r="BB67" s="108">
        <v>0</v>
      </c>
      <c r="BC67" s="109">
        <v>0</v>
      </c>
      <c r="BD67" s="107">
        <v>0</v>
      </c>
      <c r="BE67" s="108">
        <v>0</v>
      </c>
      <c r="BF67" s="108">
        <v>0</v>
      </c>
      <c r="BG67" s="109">
        <v>0</v>
      </c>
      <c r="BH67" s="107">
        <v>0</v>
      </c>
      <c r="BI67" s="108">
        <v>0</v>
      </c>
      <c r="BJ67" s="108">
        <v>0</v>
      </c>
      <c r="BK67" s="109">
        <v>0</v>
      </c>
      <c r="BL67" s="107">
        <v>0</v>
      </c>
      <c r="BM67" s="108">
        <v>0</v>
      </c>
      <c r="BN67" s="108">
        <v>0</v>
      </c>
      <c r="BO67" s="109">
        <v>0</v>
      </c>
      <c r="BP67" s="107">
        <v>0</v>
      </c>
      <c r="BQ67" s="108">
        <v>0</v>
      </c>
      <c r="BR67" s="108">
        <v>0</v>
      </c>
      <c r="BS67" s="109">
        <v>0</v>
      </c>
      <c r="BT67" s="107">
        <v>0</v>
      </c>
      <c r="BU67" s="108"/>
      <c r="BV67" s="108"/>
      <c r="BW67" s="109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</row>
    <row r="68" spans="1:90" x14ac:dyDescent="0.25">
      <c r="A68" s="9"/>
      <c r="B68" s="9"/>
      <c r="C68" s="3" t="s">
        <v>17</v>
      </c>
      <c r="D68" s="130" t="s">
        <v>205</v>
      </c>
      <c r="E68" s="3" t="s">
        <v>208</v>
      </c>
      <c r="F68" s="20"/>
      <c r="G68" s="20"/>
      <c r="H68" s="107">
        <v>0</v>
      </c>
      <c r="I68" s="108">
        <v>0</v>
      </c>
      <c r="J68" s="108">
        <v>0</v>
      </c>
      <c r="K68" s="109">
        <v>0</v>
      </c>
      <c r="L68" s="107">
        <v>0</v>
      </c>
      <c r="M68" s="108">
        <v>0</v>
      </c>
      <c r="N68" s="108">
        <v>0</v>
      </c>
      <c r="O68" s="109">
        <v>0</v>
      </c>
      <c r="P68" s="107">
        <v>0</v>
      </c>
      <c r="Q68" s="108">
        <v>0</v>
      </c>
      <c r="R68" s="108">
        <v>0</v>
      </c>
      <c r="S68" s="109">
        <v>0</v>
      </c>
      <c r="T68" s="107">
        <v>0</v>
      </c>
      <c r="U68" s="108">
        <v>0</v>
      </c>
      <c r="V68" s="108">
        <v>0</v>
      </c>
      <c r="W68" s="109">
        <v>0</v>
      </c>
      <c r="X68" s="107">
        <v>0</v>
      </c>
      <c r="Y68" s="108">
        <v>0</v>
      </c>
      <c r="Z68" s="108">
        <v>0</v>
      </c>
      <c r="AA68" s="109">
        <v>0</v>
      </c>
      <c r="AB68" s="107">
        <v>0</v>
      </c>
      <c r="AC68" s="108">
        <v>0</v>
      </c>
      <c r="AD68" s="108">
        <v>0</v>
      </c>
      <c r="AE68" s="109">
        <v>0</v>
      </c>
      <c r="AF68" s="107">
        <v>0</v>
      </c>
      <c r="AG68" s="108">
        <v>0</v>
      </c>
      <c r="AH68" s="108">
        <v>0</v>
      </c>
      <c r="AI68" s="109">
        <v>0</v>
      </c>
      <c r="AJ68" s="107">
        <v>0</v>
      </c>
      <c r="AK68" s="108">
        <v>0</v>
      </c>
      <c r="AL68" s="108">
        <v>0</v>
      </c>
      <c r="AM68" s="109">
        <v>0</v>
      </c>
      <c r="AN68" s="107">
        <v>0</v>
      </c>
      <c r="AO68" s="108">
        <v>0</v>
      </c>
      <c r="AP68" s="108">
        <v>0</v>
      </c>
      <c r="AQ68" s="109">
        <v>0</v>
      </c>
      <c r="AR68" s="107">
        <v>0</v>
      </c>
      <c r="AS68" s="108">
        <v>0</v>
      </c>
      <c r="AT68" s="108">
        <v>0</v>
      </c>
      <c r="AU68" s="109">
        <v>0</v>
      </c>
      <c r="AV68" s="107">
        <v>0</v>
      </c>
      <c r="AW68" s="108">
        <v>0</v>
      </c>
      <c r="AX68" s="108">
        <v>0</v>
      </c>
      <c r="AY68" s="109">
        <v>0</v>
      </c>
      <c r="AZ68" s="107">
        <v>0</v>
      </c>
      <c r="BA68" s="108">
        <v>0</v>
      </c>
      <c r="BB68" s="108">
        <v>0</v>
      </c>
      <c r="BC68" s="109">
        <v>0</v>
      </c>
      <c r="BD68" s="107">
        <v>0</v>
      </c>
      <c r="BE68" s="108">
        <v>0</v>
      </c>
      <c r="BF68" s="108">
        <v>0</v>
      </c>
      <c r="BG68" s="109">
        <v>0</v>
      </c>
      <c r="BH68" s="107">
        <v>0</v>
      </c>
      <c r="BI68" s="108">
        <v>0</v>
      </c>
      <c r="BJ68" s="108">
        <v>0</v>
      </c>
      <c r="BK68" s="109">
        <v>0</v>
      </c>
      <c r="BL68" s="107">
        <v>0</v>
      </c>
      <c r="BM68" s="108">
        <v>0</v>
      </c>
      <c r="BN68" s="108">
        <v>0</v>
      </c>
      <c r="BO68" s="109">
        <v>0</v>
      </c>
      <c r="BP68" s="107">
        <v>0</v>
      </c>
      <c r="BQ68" s="108">
        <v>0</v>
      </c>
      <c r="BR68" s="108">
        <v>0</v>
      </c>
      <c r="BS68" s="109">
        <v>0</v>
      </c>
      <c r="BT68" s="107">
        <v>0</v>
      </c>
      <c r="BU68" s="108"/>
      <c r="BV68" s="108"/>
      <c r="BW68" s="109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</row>
    <row r="69" spans="1:90" x14ac:dyDescent="0.25">
      <c r="A69" s="9"/>
      <c r="B69" s="9"/>
      <c r="C69" s="3" t="s">
        <v>18</v>
      </c>
      <c r="D69" s="130" t="s">
        <v>205</v>
      </c>
      <c r="E69" s="3" t="s">
        <v>208</v>
      </c>
      <c r="F69" s="20"/>
      <c r="G69" s="20"/>
      <c r="H69" s="107">
        <v>0</v>
      </c>
      <c r="I69" s="108">
        <v>0</v>
      </c>
      <c r="J69" s="108">
        <v>0</v>
      </c>
      <c r="K69" s="109">
        <v>0</v>
      </c>
      <c r="L69" s="107">
        <v>0</v>
      </c>
      <c r="M69" s="108">
        <v>0</v>
      </c>
      <c r="N69" s="108">
        <v>0</v>
      </c>
      <c r="O69" s="109">
        <v>0</v>
      </c>
      <c r="P69" s="107">
        <v>0</v>
      </c>
      <c r="Q69" s="108">
        <v>0</v>
      </c>
      <c r="R69" s="108">
        <v>0</v>
      </c>
      <c r="S69" s="109">
        <v>0</v>
      </c>
      <c r="T69" s="107">
        <v>0</v>
      </c>
      <c r="U69" s="108">
        <v>0</v>
      </c>
      <c r="V69" s="108">
        <v>0</v>
      </c>
      <c r="W69" s="109">
        <v>0</v>
      </c>
      <c r="X69" s="107">
        <v>0</v>
      </c>
      <c r="Y69" s="108">
        <v>0</v>
      </c>
      <c r="Z69" s="108">
        <v>0</v>
      </c>
      <c r="AA69" s="109">
        <v>0</v>
      </c>
      <c r="AB69" s="107">
        <v>0</v>
      </c>
      <c r="AC69" s="108">
        <v>0</v>
      </c>
      <c r="AD69" s="108">
        <v>0</v>
      </c>
      <c r="AE69" s="109">
        <v>0</v>
      </c>
      <c r="AF69" s="107">
        <v>0</v>
      </c>
      <c r="AG69" s="108">
        <v>0</v>
      </c>
      <c r="AH69" s="108">
        <v>0</v>
      </c>
      <c r="AI69" s="109">
        <v>0</v>
      </c>
      <c r="AJ69" s="107">
        <v>0</v>
      </c>
      <c r="AK69" s="108">
        <v>0</v>
      </c>
      <c r="AL69" s="108">
        <v>0</v>
      </c>
      <c r="AM69" s="109">
        <v>0</v>
      </c>
      <c r="AN69" s="107">
        <v>0</v>
      </c>
      <c r="AO69" s="108">
        <v>0</v>
      </c>
      <c r="AP69" s="108">
        <v>0</v>
      </c>
      <c r="AQ69" s="109">
        <v>0</v>
      </c>
      <c r="AR69" s="107">
        <v>0</v>
      </c>
      <c r="AS69" s="108">
        <v>0</v>
      </c>
      <c r="AT69" s="108">
        <v>0</v>
      </c>
      <c r="AU69" s="109">
        <v>0</v>
      </c>
      <c r="AV69" s="107">
        <v>0</v>
      </c>
      <c r="AW69" s="108">
        <v>0</v>
      </c>
      <c r="AX69" s="108">
        <v>0</v>
      </c>
      <c r="AY69" s="109">
        <v>0</v>
      </c>
      <c r="AZ69" s="107">
        <v>0</v>
      </c>
      <c r="BA69" s="108">
        <v>0</v>
      </c>
      <c r="BB69" s="108">
        <v>0</v>
      </c>
      <c r="BC69" s="109">
        <v>0</v>
      </c>
      <c r="BD69" s="107">
        <v>0</v>
      </c>
      <c r="BE69" s="108">
        <v>0</v>
      </c>
      <c r="BF69" s="108">
        <v>0</v>
      </c>
      <c r="BG69" s="109">
        <v>0</v>
      </c>
      <c r="BH69" s="107">
        <v>0</v>
      </c>
      <c r="BI69" s="108">
        <v>0</v>
      </c>
      <c r="BJ69" s="108">
        <v>0</v>
      </c>
      <c r="BK69" s="109">
        <v>0</v>
      </c>
      <c r="BL69" s="107">
        <v>0</v>
      </c>
      <c r="BM69" s="108">
        <v>0</v>
      </c>
      <c r="BN69" s="108">
        <v>0</v>
      </c>
      <c r="BO69" s="109">
        <v>0</v>
      </c>
      <c r="BP69" s="107">
        <v>0</v>
      </c>
      <c r="BQ69" s="108">
        <v>0</v>
      </c>
      <c r="BR69" s="108">
        <v>0</v>
      </c>
      <c r="BS69" s="109">
        <v>0</v>
      </c>
      <c r="BT69" s="107">
        <v>0</v>
      </c>
      <c r="BU69" s="108"/>
      <c r="BV69" s="108"/>
      <c r="BW69" s="109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</row>
    <row r="70" spans="1:90" x14ac:dyDescent="0.25">
      <c r="A70" s="9"/>
      <c r="B70" s="9"/>
      <c r="C70" s="3" t="s">
        <v>19</v>
      </c>
      <c r="D70" s="130" t="s">
        <v>205</v>
      </c>
      <c r="E70" s="3" t="s">
        <v>209</v>
      </c>
      <c r="F70" s="20"/>
      <c r="G70" s="20"/>
      <c r="H70" s="107">
        <v>-3.4329900839054517E-2</v>
      </c>
      <c r="I70" s="108">
        <v>2.6424603174604044E-2</v>
      </c>
      <c r="J70" s="108">
        <v>0.14779629629629731</v>
      </c>
      <c r="K70" s="109">
        <v>0.31662799154749655</v>
      </c>
      <c r="L70" s="107">
        <v>0.32185220627325917</v>
      </c>
      <c r="M70" s="108">
        <v>0.27271352772900759</v>
      </c>
      <c r="N70" s="108">
        <v>0.21824526731849403</v>
      </c>
      <c r="O70" s="109">
        <v>0.32701970256701651</v>
      </c>
      <c r="P70" s="107">
        <v>0.26670485288132362</v>
      </c>
      <c r="Q70" s="108">
        <v>0.15449513449513397</v>
      </c>
      <c r="R70" s="108">
        <v>0.31230880230880231</v>
      </c>
      <c r="S70" s="109">
        <v>0.31175980392156921</v>
      </c>
      <c r="T70" s="107">
        <v>0.50265197765197733</v>
      </c>
      <c r="U70" s="108">
        <v>0.30527433780529734</v>
      </c>
      <c r="V70" s="108">
        <v>0.52326100530589725</v>
      </c>
      <c r="W70" s="109">
        <v>0.11419047619047662</v>
      </c>
      <c r="X70" s="107">
        <v>-8.0208333333333659E-2</v>
      </c>
      <c r="Y70" s="108">
        <v>0.27747712418300674</v>
      </c>
      <c r="Z70" s="108">
        <v>3.0173606237816766</v>
      </c>
      <c r="AA70" s="109">
        <v>2.5278095238095237</v>
      </c>
      <c r="AB70" s="107">
        <v>0.29793928571428574</v>
      </c>
      <c r="AC70" s="108">
        <v>0.15017385620915036</v>
      </c>
      <c r="AD70" s="108">
        <v>-0.14299771167048059</v>
      </c>
      <c r="AE70" s="109">
        <v>9.5501253132831643E-2</v>
      </c>
      <c r="AF70" s="107">
        <v>0.25017450142450226</v>
      </c>
      <c r="AG70" s="108">
        <v>0.18115715983363057</v>
      </c>
      <c r="AH70" s="108">
        <v>3.2436414754835812</v>
      </c>
      <c r="AI70" s="109">
        <v>1.3857407407407409</v>
      </c>
      <c r="AJ70" s="107">
        <v>0.96738103428505928</v>
      </c>
      <c r="AK70" s="108">
        <v>0.19134215068270777</v>
      </c>
      <c r="AL70" s="108">
        <v>4.8859118261177743</v>
      </c>
      <c r="AM70" s="109">
        <v>2.6667931706753385</v>
      </c>
      <c r="AN70" s="107">
        <v>3.7040421888053467</v>
      </c>
      <c r="AO70" s="108">
        <v>6.4640211640211831E-2</v>
      </c>
      <c r="AP70" s="108">
        <v>0.63307769423558913</v>
      </c>
      <c r="AQ70" s="109">
        <v>2.1900410392990151</v>
      </c>
      <c r="AR70" s="107">
        <v>0.95993886230728354</v>
      </c>
      <c r="AS70" s="108">
        <v>0.16350889478598485</v>
      </c>
      <c r="AT70" s="108">
        <v>1.2246645654540391</v>
      </c>
      <c r="AU70" s="109">
        <v>1.8085396825396827</v>
      </c>
      <c r="AV70" s="107">
        <v>4.9556084656084654</v>
      </c>
      <c r="AW70" s="108">
        <v>1.0379595959595962</v>
      </c>
      <c r="AX70" s="108">
        <v>2.6683286647992519</v>
      </c>
      <c r="AY70" s="109">
        <v>1.7255068226120862</v>
      </c>
      <c r="AZ70" s="107">
        <v>0.31792753623188474</v>
      </c>
      <c r="BA70" s="108">
        <v>0.30360052910052993</v>
      </c>
      <c r="BB70" s="108">
        <v>1.3113383409115675</v>
      </c>
      <c r="BC70" s="109">
        <v>9.9792287342287338</v>
      </c>
      <c r="BD70" s="107">
        <v>8.5705822890559737</v>
      </c>
      <c r="BE70" s="108">
        <v>2.1793341307814997</v>
      </c>
      <c r="BF70" s="108">
        <v>2.7392440286564663</v>
      </c>
      <c r="BG70" s="109">
        <v>3.1176206961253405</v>
      </c>
      <c r="BH70" s="107">
        <v>0.91271241830065319</v>
      </c>
      <c r="BI70" s="108">
        <v>-0.32522354497354478</v>
      </c>
      <c r="BJ70" s="108">
        <v>0.22230482456140344</v>
      </c>
      <c r="BK70" s="109">
        <v>1.3006666666666664</v>
      </c>
      <c r="BL70" s="107">
        <v>2.1633333333333331</v>
      </c>
      <c r="BM70" s="108">
        <v>0.35666666666666691</v>
      </c>
      <c r="BN70" s="108">
        <v>1.8206666666666664</v>
      </c>
      <c r="BO70" s="109">
        <v>2.1010000000000004</v>
      </c>
      <c r="BP70" s="107">
        <v>2.2976666666666667</v>
      </c>
      <c r="BQ70" s="108">
        <v>0.45666666666666655</v>
      </c>
      <c r="BR70" s="108">
        <v>2.1550000000000002</v>
      </c>
      <c r="BS70" s="109">
        <v>2.1816666666666662</v>
      </c>
      <c r="BT70" s="107">
        <v>3.2910000000000004</v>
      </c>
      <c r="BU70" s="108"/>
      <c r="BV70" s="108"/>
      <c r="BW70" s="109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</row>
    <row r="71" spans="1:90" x14ac:dyDescent="0.25">
      <c r="A71" s="9"/>
      <c r="B71" s="9"/>
      <c r="C71" s="3" t="s">
        <v>20</v>
      </c>
      <c r="D71" s="130" t="s">
        <v>205</v>
      </c>
      <c r="E71" s="3" t="s">
        <v>209</v>
      </c>
      <c r="F71" s="20"/>
      <c r="G71" s="20"/>
      <c r="H71" s="107">
        <v>-3.4329900839054517E-2</v>
      </c>
      <c r="I71" s="108">
        <v>2.6424603174604044E-2</v>
      </c>
      <c r="J71" s="108">
        <v>0.14779629629629731</v>
      </c>
      <c r="K71" s="109">
        <v>0.31662799154749655</v>
      </c>
      <c r="L71" s="107">
        <v>0.32185220627325917</v>
      </c>
      <c r="M71" s="108">
        <v>0.27271352772900759</v>
      </c>
      <c r="N71" s="108">
        <v>0.21824526731849403</v>
      </c>
      <c r="O71" s="109">
        <v>0.32701970256701651</v>
      </c>
      <c r="P71" s="107">
        <v>0.26670485288132362</v>
      </c>
      <c r="Q71" s="108">
        <v>0.15449513449513397</v>
      </c>
      <c r="R71" s="108">
        <v>0.31230880230880231</v>
      </c>
      <c r="S71" s="109">
        <v>0.31175980392156921</v>
      </c>
      <c r="T71" s="107">
        <v>0.50265197765197733</v>
      </c>
      <c r="U71" s="108">
        <v>0.30527433780529734</v>
      </c>
      <c r="V71" s="108">
        <v>0.52326100530589725</v>
      </c>
      <c r="W71" s="109">
        <v>0.11419047619047662</v>
      </c>
      <c r="X71" s="107">
        <v>-8.0208333333333659E-2</v>
      </c>
      <c r="Y71" s="108">
        <v>0.27747712418300674</v>
      </c>
      <c r="Z71" s="108">
        <v>3.0173606237816766</v>
      </c>
      <c r="AA71" s="109">
        <v>2.5278095238095237</v>
      </c>
      <c r="AB71" s="107">
        <v>0.29793928571428574</v>
      </c>
      <c r="AC71" s="108">
        <v>0.15017385620915036</v>
      </c>
      <c r="AD71" s="108">
        <v>-0.14299771167048059</v>
      </c>
      <c r="AE71" s="109">
        <v>9.5501253132831643E-2</v>
      </c>
      <c r="AF71" s="107">
        <v>0.25017450142450226</v>
      </c>
      <c r="AG71" s="108">
        <v>0.18115715983363057</v>
      </c>
      <c r="AH71" s="108">
        <v>3.2436414754835812</v>
      </c>
      <c r="AI71" s="109">
        <v>1.3857407407407409</v>
      </c>
      <c r="AJ71" s="107">
        <v>0.96738103428505928</v>
      </c>
      <c r="AK71" s="108">
        <v>0.19134215068270777</v>
      </c>
      <c r="AL71" s="108">
        <v>4.8859118261177743</v>
      </c>
      <c r="AM71" s="109">
        <v>2.6667931706753385</v>
      </c>
      <c r="AN71" s="107">
        <v>3.7040421888053467</v>
      </c>
      <c r="AO71" s="108">
        <v>6.4640211640211831E-2</v>
      </c>
      <c r="AP71" s="108">
        <v>0.63307769423558913</v>
      </c>
      <c r="AQ71" s="109">
        <v>2.1900410392990151</v>
      </c>
      <c r="AR71" s="107">
        <v>0.95993886230728354</v>
      </c>
      <c r="AS71" s="108">
        <v>0.16350889478598485</v>
      </c>
      <c r="AT71" s="108">
        <v>1.2246645654540391</v>
      </c>
      <c r="AU71" s="109">
        <v>1.8085396825396827</v>
      </c>
      <c r="AV71" s="107">
        <v>4.9556084656084654</v>
      </c>
      <c r="AW71" s="108">
        <v>1.0379595959595962</v>
      </c>
      <c r="AX71" s="108">
        <v>2.6683286647992519</v>
      </c>
      <c r="AY71" s="109">
        <v>1.7255068226120862</v>
      </c>
      <c r="AZ71" s="107">
        <v>0.31792753623188474</v>
      </c>
      <c r="BA71" s="108">
        <v>0.30360052910052993</v>
      </c>
      <c r="BB71" s="108">
        <v>1.3113383409115675</v>
      </c>
      <c r="BC71" s="109">
        <v>9.9792287342287338</v>
      </c>
      <c r="BD71" s="107">
        <v>8.5705822890559737</v>
      </c>
      <c r="BE71" s="108">
        <v>2.1793341307814997</v>
      </c>
      <c r="BF71" s="108">
        <v>2.7392440286564663</v>
      </c>
      <c r="BG71" s="109">
        <v>3.1176206961253405</v>
      </c>
      <c r="BH71" s="107">
        <v>0.91271241830065319</v>
      </c>
      <c r="BI71" s="108">
        <v>-0.32522354497354478</v>
      </c>
      <c r="BJ71" s="108">
        <v>0.22230482456140344</v>
      </c>
      <c r="BK71" s="109">
        <v>1.3006666666666664</v>
      </c>
      <c r="BL71" s="107">
        <v>2.1633333333333331</v>
      </c>
      <c r="BM71" s="108">
        <v>0.35666666666666691</v>
      </c>
      <c r="BN71" s="108">
        <v>1.8206666666666664</v>
      </c>
      <c r="BO71" s="109">
        <v>2.1010000000000004</v>
      </c>
      <c r="BP71" s="107">
        <v>2.2976666666666667</v>
      </c>
      <c r="BQ71" s="108">
        <v>0.45666666666666655</v>
      </c>
      <c r="BR71" s="108">
        <v>2.1550000000000002</v>
      </c>
      <c r="BS71" s="109">
        <v>2.1816666666666662</v>
      </c>
      <c r="BT71" s="107">
        <v>3.2910000000000004</v>
      </c>
      <c r="BU71" s="108"/>
      <c r="BV71" s="108"/>
      <c r="BW71" s="109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</row>
    <row r="72" spans="1:90" x14ac:dyDescent="0.25">
      <c r="A72" s="9"/>
      <c r="B72" s="9"/>
      <c r="C72" s="3" t="s">
        <v>21</v>
      </c>
      <c r="D72" s="130" t="s">
        <v>205</v>
      </c>
      <c r="E72" s="3" t="s">
        <v>209</v>
      </c>
      <c r="F72" s="20"/>
      <c r="G72" s="20"/>
      <c r="H72" s="107">
        <v>-3.4329900839054517E-2</v>
      </c>
      <c r="I72" s="108">
        <v>2.6424603174604044E-2</v>
      </c>
      <c r="J72" s="108">
        <v>0.14779629629629731</v>
      </c>
      <c r="K72" s="109">
        <v>0.31662799154749655</v>
      </c>
      <c r="L72" s="107">
        <v>0.32185220627325917</v>
      </c>
      <c r="M72" s="108">
        <v>0.27271352772900759</v>
      </c>
      <c r="N72" s="108">
        <v>0.21824526731849403</v>
      </c>
      <c r="O72" s="109">
        <v>0.32701970256701651</v>
      </c>
      <c r="P72" s="107">
        <v>0.26670485288132362</v>
      </c>
      <c r="Q72" s="108">
        <v>0.15449513449513397</v>
      </c>
      <c r="R72" s="108">
        <v>0.31230880230880231</v>
      </c>
      <c r="S72" s="109">
        <v>0.31175980392156921</v>
      </c>
      <c r="T72" s="107">
        <v>0.50265197765197733</v>
      </c>
      <c r="U72" s="108">
        <v>0.30527433780529734</v>
      </c>
      <c r="V72" s="108">
        <v>0.52326100530589725</v>
      </c>
      <c r="W72" s="109">
        <v>0.11419047619047662</v>
      </c>
      <c r="X72" s="107">
        <v>-8.0208333333333659E-2</v>
      </c>
      <c r="Y72" s="108">
        <v>0.27747712418300674</v>
      </c>
      <c r="Z72" s="108">
        <v>3.0173606237816766</v>
      </c>
      <c r="AA72" s="109">
        <v>2.5278095238095237</v>
      </c>
      <c r="AB72" s="107">
        <v>0.29793928571428574</v>
      </c>
      <c r="AC72" s="108">
        <v>0.15017385620915036</v>
      </c>
      <c r="AD72" s="108">
        <v>-0.14299771167048059</v>
      </c>
      <c r="AE72" s="109">
        <v>9.5501253132831643E-2</v>
      </c>
      <c r="AF72" s="107">
        <v>0.25017450142450226</v>
      </c>
      <c r="AG72" s="108">
        <v>0.18115715983363057</v>
      </c>
      <c r="AH72" s="108">
        <v>3.2436414754835812</v>
      </c>
      <c r="AI72" s="109">
        <v>1.3857407407407409</v>
      </c>
      <c r="AJ72" s="107">
        <v>0.96738103428505928</v>
      </c>
      <c r="AK72" s="108">
        <v>0.19134215068270777</v>
      </c>
      <c r="AL72" s="108">
        <v>4.8859118261177743</v>
      </c>
      <c r="AM72" s="109">
        <v>2.6667931706753385</v>
      </c>
      <c r="AN72" s="107">
        <v>3.7040421888053467</v>
      </c>
      <c r="AO72" s="108">
        <v>6.4640211640211831E-2</v>
      </c>
      <c r="AP72" s="108">
        <v>0.63307769423558913</v>
      </c>
      <c r="AQ72" s="109">
        <v>2.1900410392990151</v>
      </c>
      <c r="AR72" s="107">
        <v>0.95993886230728354</v>
      </c>
      <c r="AS72" s="108">
        <v>0.16350889478598485</v>
      </c>
      <c r="AT72" s="108">
        <v>1.2246645654540391</v>
      </c>
      <c r="AU72" s="109">
        <v>1.8085396825396827</v>
      </c>
      <c r="AV72" s="107">
        <v>4.9556084656084654</v>
      </c>
      <c r="AW72" s="108">
        <v>1.0379595959595962</v>
      </c>
      <c r="AX72" s="108">
        <v>2.6683286647992519</v>
      </c>
      <c r="AY72" s="109">
        <v>1.7255068226120862</v>
      </c>
      <c r="AZ72" s="107">
        <v>0.31792753623188474</v>
      </c>
      <c r="BA72" s="108">
        <v>0.30360052910052993</v>
      </c>
      <c r="BB72" s="108">
        <v>1.3113383409115675</v>
      </c>
      <c r="BC72" s="109">
        <v>9.9792287342287338</v>
      </c>
      <c r="BD72" s="107">
        <v>8.5705822890559737</v>
      </c>
      <c r="BE72" s="108">
        <v>2.1793341307814997</v>
      </c>
      <c r="BF72" s="108">
        <v>2.7392440286564663</v>
      </c>
      <c r="BG72" s="109">
        <v>3.1176206961253405</v>
      </c>
      <c r="BH72" s="107">
        <v>0.91271241830065319</v>
      </c>
      <c r="BI72" s="108">
        <v>-0.32522354497354478</v>
      </c>
      <c r="BJ72" s="108">
        <v>0.22230482456140344</v>
      </c>
      <c r="BK72" s="109">
        <v>1.3006666666666664</v>
      </c>
      <c r="BL72" s="107">
        <v>2.1633333333333331</v>
      </c>
      <c r="BM72" s="108">
        <v>0.35666666666666691</v>
      </c>
      <c r="BN72" s="108">
        <v>1.8206666666666664</v>
      </c>
      <c r="BO72" s="109">
        <v>2.1010000000000004</v>
      </c>
      <c r="BP72" s="107">
        <v>2.2976666666666667</v>
      </c>
      <c r="BQ72" s="108">
        <v>0.45666666666666655</v>
      </c>
      <c r="BR72" s="108">
        <v>2.1550000000000002</v>
      </c>
      <c r="BS72" s="109">
        <v>2.1816666666666662</v>
      </c>
      <c r="BT72" s="107">
        <v>3.2910000000000004</v>
      </c>
      <c r="BU72" s="108"/>
      <c r="BV72" s="108"/>
      <c r="BW72" s="109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</row>
    <row r="73" spans="1:90" x14ac:dyDescent="0.25">
      <c r="A73" s="9"/>
      <c r="B73" s="9"/>
      <c r="C73" s="3" t="s">
        <v>22</v>
      </c>
      <c r="D73" s="130" t="s">
        <v>205</v>
      </c>
      <c r="E73" s="3" t="s">
        <v>209</v>
      </c>
      <c r="F73" s="20"/>
      <c r="G73" s="20"/>
      <c r="H73" s="123">
        <v>-3.4329900839054517E-2</v>
      </c>
      <c r="I73" s="124">
        <v>2.6424603174604044E-2</v>
      </c>
      <c r="J73" s="124">
        <v>0.14779629629629731</v>
      </c>
      <c r="K73" s="125">
        <v>0.31662799154749655</v>
      </c>
      <c r="L73" s="123">
        <v>0.32185220627325917</v>
      </c>
      <c r="M73" s="124">
        <v>0.27271352772900759</v>
      </c>
      <c r="N73" s="124">
        <v>0.21824526731849403</v>
      </c>
      <c r="O73" s="125">
        <v>0.32701970256701651</v>
      </c>
      <c r="P73" s="123">
        <v>0.26670485288132362</v>
      </c>
      <c r="Q73" s="124">
        <v>0.15449513449513397</v>
      </c>
      <c r="R73" s="124">
        <v>0.31230880230880231</v>
      </c>
      <c r="S73" s="125">
        <v>0.31175980392156921</v>
      </c>
      <c r="T73" s="123">
        <v>0.50265197765197733</v>
      </c>
      <c r="U73" s="124">
        <v>0.30527433780529734</v>
      </c>
      <c r="V73" s="124">
        <v>0.52326100530589725</v>
      </c>
      <c r="W73" s="125">
        <v>0.11419047619047662</v>
      </c>
      <c r="X73" s="123">
        <v>-8.0208333333333659E-2</v>
      </c>
      <c r="Y73" s="124">
        <v>0.27747712418300674</v>
      </c>
      <c r="Z73" s="124">
        <v>3.0173606237816766</v>
      </c>
      <c r="AA73" s="125">
        <v>2.5278095238095237</v>
      </c>
      <c r="AB73" s="123">
        <v>0.29793928571428574</v>
      </c>
      <c r="AC73" s="124">
        <v>0.15017385620915036</v>
      </c>
      <c r="AD73" s="124">
        <v>-0.14299771167048059</v>
      </c>
      <c r="AE73" s="125">
        <v>9.5501253132831643E-2</v>
      </c>
      <c r="AF73" s="123">
        <v>0.25017450142450226</v>
      </c>
      <c r="AG73" s="124">
        <v>0.18115715983363057</v>
      </c>
      <c r="AH73" s="124">
        <v>3.2436414754835812</v>
      </c>
      <c r="AI73" s="125">
        <v>1.3857407407407409</v>
      </c>
      <c r="AJ73" s="123">
        <v>0.96738103428505928</v>
      </c>
      <c r="AK73" s="124">
        <v>0.19134215068270777</v>
      </c>
      <c r="AL73" s="124">
        <v>4.8859118261177743</v>
      </c>
      <c r="AM73" s="125">
        <v>2.6667931706753385</v>
      </c>
      <c r="AN73" s="123">
        <v>3.7040421888053467</v>
      </c>
      <c r="AO73" s="124">
        <v>6.4640211640211831E-2</v>
      </c>
      <c r="AP73" s="124">
        <v>0.63307769423558913</v>
      </c>
      <c r="AQ73" s="125">
        <v>2.1900410392990151</v>
      </c>
      <c r="AR73" s="123">
        <v>0.95993886230728354</v>
      </c>
      <c r="AS73" s="124">
        <v>0.16350889478598485</v>
      </c>
      <c r="AT73" s="124">
        <v>1.2246645654540391</v>
      </c>
      <c r="AU73" s="125">
        <v>1.8085396825396827</v>
      </c>
      <c r="AV73" s="123">
        <v>4.9556084656084654</v>
      </c>
      <c r="AW73" s="124">
        <v>1.0379595959595962</v>
      </c>
      <c r="AX73" s="124">
        <v>2.6683286647992519</v>
      </c>
      <c r="AY73" s="125">
        <v>1.7255068226120862</v>
      </c>
      <c r="AZ73" s="123">
        <v>0.31792753623188474</v>
      </c>
      <c r="BA73" s="124">
        <v>0.30360052910052993</v>
      </c>
      <c r="BB73" s="124">
        <v>1.3113383409115675</v>
      </c>
      <c r="BC73" s="125">
        <v>9.9792287342287338</v>
      </c>
      <c r="BD73" s="123">
        <v>8.5705822890559737</v>
      </c>
      <c r="BE73" s="124">
        <v>2.1793341307814997</v>
      </c>
      <c r="BF73" s="124">
        <v>2.7392440286564663</v>
      </c>
      <c r="BG73" s="125">
        <v>3.1176206961253405</v>
      </c>
      <c r="BH73" s="123">
        <v>0.91271241830065319</v>
      </c>
      <c r="BI73" s="124">
        <v>-0.32522354497354478</v>
      </c>
      <c r="BJ73" s="124">
        <v>0.22230482456140344</v>
      </c>
      <c r="BK73" s="125">
        <v>1.3006666666666664</v>
      </c>
      <c r="BL73" s="123">
        <v>2.1633333333333331</v>
      </c>
      <c r="BM73" s="124">
        <v>0.35666666666666691</v>
      </c>
      <c r="BN73" s="124">
        <v>1.8206666666666664</v>
      </c>
      <c r="BO73" s="125">
        <v>2.1010000000000004</v>
      </c>
      <c r="BP73" s="123">
        <v>2.2976666666666667</v>
      </c>
      <c r="BQ73" s="124">
        <v>0.45666666666666655</v>
      </c>
      <c r="BR73" s="124">
        <v>2.1550000000000002</v>
      </c>
      <c r="BS73" s="125">
        <v>2.1816666666666662</v>
      </c>
      <c r="BT73" s="123">
        <v>3.2910000000000004</v>
      </c>
      <c r="BU73" s="124"/>
      <c r="BV73" s="124"/>
      <c r="BW73" s="125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</row>
    <row r="74" spans="1:90" x14ac:dyDescent="0.25">
      <c r="A74" s="9"/>
      <c r="B74" s="9"/>
      <c r="C74" s="3" t="s">
        <v>23</v>
      </c>
      <c r="D74" s="130" t="s">
        <v>205</v>
      </c>
      <c r="E74" s="3" t="s">
        <v>214</v>
      </c>
      <c r="F74" s="20"/>
      <c r="G74" s="20"/>
      <c r="H74" s="123">
        <v>-8.6147978642259204E-3</v>
      </c>
      <c r="I74" s="124">
        <v>-9.9861459203564706E-2</v>
      </c>
      <c r="J74" s="124">
        <v>-7.9329600351338847E-2</v>
      </c>
      <c r="K74" s="125">
        <v>-8.4566276803118345E-2</v>
      </c>
      <c r="L74" s="123">
        <v>-6.1935406698564233E-2</v>
      </c>
      <c r="M74" s="124">
        <v>-5.015278838808257E-2</v>
      </c>
      <c r="N74" s="124">
        <v>-8.1751100412426947E-2</v>
      </c>
      <c r="O74" s="125">
        <v>-7.8472328163404548E-2</v>
      </c>
      <c r="P74" s="123">
        <v>-7.6272462201254054E-2</v>
      </c>
      <c r="Q74" s="124">
        <v>-0.10543926661573755</v>
      </c>
      <c r="R74" s="124">
        <v>2.3643939393939828E-2</v>
      </c>
      <c r="S74" s="125">
        <v>1.3748015873015884E-2</v>
      </c>
      <c r="T74" s="123">
        <v>0.42111046361046345</v>
      </c>
      <c r="U74" s="124">
        <v>-0.18024067521745479</v>
      </c>
      <c r="V74" s="124">
        <v>-7.1429216981848231E-2</v>
      </c>
      <c r="W74" s="125">
        <v>-0.26401610889110838</v>
      </c>
      <c r="X74" s="123">
        <v>-0.35391941391941417</v>
      </c>
      <c r="Y74" s="124">
        <v>1.855521155830786E-2</v>
      </c>
      <c r="Z74" s="124">
        <v>2.5668482905982906</v>
      </c>
      <c r="AA74" s="125">
        <v>2.0339999999999998</v>
      </c>
      <c r="AB74" s="123">
        <v>6.1794451158389885E-2</v>
      </c>
      <c r="AC74" s="124">
        <v>-7.8683625730994411E-2</v>
      </c>
      <c r="AD74" s="124">
        <v>-0.35561821219715961</v>
      </c>
      <c r="AE74" s="125">
        <v>-0.15923297827903138</v>
      </c>
      <c r="AF74" s="123">
        <v>-0.16034391534391501</v>
      </c>
      <c r="AG74" s="124">
        <v>-0.28297979797979789</v>
      </c>
      <c r="AH74" s="124">
        <v>2.6726201372997713</v>
      </c>
      <c r="AI74" s="125">
        <v>-0.3838772338772336</v>
      </c>
      <c r="AJ74" s="123">
        <v>-0.53887906039608824</v>
      </c>
      <c r="AK74" s="124">
        <v>-0.87750231639705345</v>
      </c>
      <c r="AL74" s="124">
        <v>-1.0572813621669457</v>
      </c>
      <c r="AM74" s="125">
        <v>-2.0197867086193741</v>
      </c>
      <c r="AN74" s="123">
        <v>-1.5033583959899748</v>
      </c>
      <c r="AO74" s="124">
        <v>-2.5448551996151996</v>
      </c>
      <c r="AP74" s="124">
        <v>-1.4265565808460541</v>
      </c>
      <c r="AQ74" s="125">
        <v>-1.2013095238095237</v>
      </c>
      <c r="AR74" s="123">
        <v>-1.4083508012455379</v>
      </c>
      <c r="AS74" s="124">
        <v>-0.61455285942128035</v>
      </c>
      <c r="AT74" s="124">
        <v>-0.6914935064935066</v>
      </c>
      <c r="AU74" s="125">
        <v>-0.68214314194577352</v>
      </c>
      <c r="AV74" s="123">
        <v>7.1954881769641492</v>
      </c>
      <c r="AW74" s="124">
        <v>-0.24350793650793578</v>
      </c>
      <c r="AX74" s="124">
        <v>-0.25848739495798423</v>
      </c>
      <c r="AY74" s="125">
        <v>-0.47366861598440568</v>
      </c>
      <c r="AZ74" s="123">
        <v>-0.50649715692393116</v>
      </c>
      <c r="BA74" s="124">
        <v>-0.62973611111111083</v>
      </c>
      <c r="BB74" s="124">
        <v>-1.2918134516132227</v>
      </c>
      <c r="BC74" s="125">
        <v>-2.3496045991045986</v>
      </c>
      <c r="BD74" s="123">
        <v>-1.0308400772462558</v>
      </c>
      <c r="BE74" s="124">
        <v>-0.64584339636971211</v>
      </c>
      <c r="BF74" s="124">
        <v>-0.55796993015360252</v>
      </c>
      <c r="BG74" s="125">
        <v>-1.2239893517215499</v>
      </c>
      <c r="BH74" s="123">
        <v>-1.1337796451914099</v>
      </c>
      <c r="BI74" s="124">
        <v>-2.6512043049543048</v>
      </c>
      <c r="BJ74" s="124">
        <v>-2.6680087719298244</v>
      </c>
      <c r="BK74" s="125">
        <v>-1.2809999999999999</v>
      </c>
      <c r="BL74" s="123">
        <v>-0.79800000000000004</v>
      </c>
      <c r="BM74" s="124">
        <v>-1.6449999999999998</v>
      </c>
      <c r="BN74" s="124">
        <v>-0.98433333333333373</v>
      </c>
      <c r="BO74" s="125">
        <v>-1.3420000000000001</v>
      </c>
      <c r="BP74" s="123">
        <v>-0.6993333333333327</v>
      </c>
      <c r="BQ74" s="124">
        <v>-1.954</v>
      </c>
      <c r="BR74" s="124">
        <v>-1.1193333333333335</v>
      </c>
      <c r="BS74" s="125">
        <v>-0.91966666666666619</v>
      </c>
      <c r="BT74" s="123">
        <v>-0.14250000000000007</v>
      </c>
      <c r="BU74" s="124"/>
      <c r="BV74" s="124"/>
      <c r="BW74" s="125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</row>
    <row r="75" spans="1:90" x14ac:dyDescent="0.25">
      <c r="A75" s="9"/>
      <c r="B75" s="9"/>
      <c r="C75" s="3"/>
      <c r="D75" s="3"/>
      <c r="E75" s="3"/>
      <c r="F75" s="20"/>
      <c r="G75" s="20"/>
      <c r="H75" s="21"/>
      <c r="I75" s="22"/>
      <c r="J75" s="22"/>
      <c r="K75" s="23"/>
      <c r="L75" s="21"/>
      <c r="M75" s="22"/>
      <c r="N75" s="22"/>
      <c r="O75" s="22"/>
      <c r="P75" s="21"/>
      <c r="Q75" s="25"/>
      <c r="R75" s="25"/>
      <c r="S75" s="26"/>
      <c r="T75" s="25"/>
      <c r="U75" s="25"/>
      <c r="V75" s="25"/>
      <c r="W75" s="26"/>
      <c r="X75" s="25"/>
      <c r="Y75" s="25"/>
      <c r="Z75" s="25"/>
      <c r="AA75" s="26"/>
      <c r="AB75" s="25"/>
      <c r="AC75" s="25"/>
      <c r="AD75" s="25"/>
      <c r="AE75" s="26"/>
      <c r="AF75" s="25"/>
      <c r="AG75" s="25"/>
      <c r="AH75" s="25"/>
      <c r="AI75" s="26"/>
      <c r="AJ75" s="25"/>
      <c r="AK75" s="25"/>
      <c r="AL75" s="25"/>
      <c r="AM75" s="26"/>
      <c r="AN75" s="25"/>
      <c r="AO75" s="25"/>
      <c r="AP75" s="25"/>
      <c r="AQ75" s="26"/>
      <c r="AR75" s="25"/>
      <c r="AS75" s="25"/>
      <c r="AT75" s="25"/>
      <c r="AU75" s="26"/>
      <c r="AV75" s="25"/>
      <c r="AW75" s="25"/>
      <c r="AX75" s="25"/>
      <c r="AY75" s="26"/>
      <c r="AZ75" s="25"/>
      <c r="BA75" s="25"/>
      <c r="BB75" s="25"/>
      <c r="BC75" s="26"/>
      <c r="BD75" s="25"/>
      <c r="BE75" s="25"/>
      <c r="BF75" s="25"/>
      <c r="BG75" s="26"/>
      <c r="BH75" s="25"/>
      <c r="BI75" s="25"/>
      <c r="BJ75" s="25"/>
      <c r="BK75" s="26"/>
      <c r="BL75" s="25"/>
      <c r="BM75" s="25"/>
      <c r="BN75" s="25"/>
      <c r="BO75" s="26"/>
      <c r="BP75" s="25"/>
      <c r="BQ75" s="25"/>
      <c r="BR75" s="25"/>
      <c r="BS75" s="26"/>
      <c r="BT75" s="25"/>
      <c r="BU75" s="25"/>
      <c r="BV75" s="25"/>
      <c r="BW75" s="26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</row>
    <row r="76" spans="1:90" x14ac:dyDescent="0.25">
      <c r="A76" s="9"/>
      <c r="B76" s="9"/>
      <c r="C76" s="1" t="s">
        <v>26</v>
      </c>
      <c r="D76" s="41"/>
      <c r="E76" s="41"/>
      <c r="F76" s="78"/>
      <c r="G76" s="78"/>
      <c r="H76" s="21"/>
      <c r="I76" s="22"/>
      <c r="J76" s="22"/>
      <c r="K76" s="23"/>
      <c r="L76" s="21"/>
      <c r="M76" s="22"/>
      <c r="N76" s="22"/>
      <c r="O76" s="22"/>
      <c r="P76" s="21"/>
      <c r="Q76" s="25"/>
      <c r="R76" s="25"/>
      <c r="S76" s="26"/>
      <c r="T76" s="25"/>
      <c r="U76" s="25"/>
      <c r="V76" s="25"/>
      <c r="W76" s="26"/>
      <c r="X76" s="25"/>
      <c r="Y76" s="25"/>
      <c r="Z76" s="25"/>
      <c r="AA76" s="26"/>
      <c r="AB76" s="25"/>
      <c r="AC76" s="25"/>
      <c r="AD76" s="25"/>
      <c r="AE76" s="26"/>
      <c r="AF76" s="25"/>
      <c r="AG76" s="25"/>
      <c r="AH76" s="25"/>
      <c r="AI76" s="26"/>
      <c r="AJ76" s="25"/>
      <c r="AK76" s="25"/>
      <c r="AL76" s="25"/>
      <c r="AM76" s="26"/>
      <c r="AN76" s="25"/>
      <c r="AO76" s="25"/>
      <c r="AP76" s="25"/>
      <c r="AQ76" s="26"/>
      <c r="AR76" s="25"/>
      <c r="AS76" s="25"/>
      <c r="AT76" s="25"/>
      <c r="AU76" s="26"/>
      <c r="AV76" s="25"/>
      <c r="AW76" s="25"/>
      <c r="AX76" s="25"/>
      <c r="AY76" s="26"/>
      <c r="AZ76" s="25"/>
      <c r="BA76" s="25"/>
      <c r="BB76" s="25"/>
      <c r="BC76" s="26"/>
      <c r="BD76" s="25"/>
      <c r="BE76" s="25"/>
      <c r="BF76" s="25"/>
      <c r="BG76" s="26"/>
      <c r="BH76" s="25"/>
      <c r="BI76" s="25"/>
      <c r="BJ76" s="25"/>
      <c r="BK76" s="26"/>
      <c r="BL76" s="25"/>
      <c r="BM76" s="25"/>
      <c r="BN76" s="25"/>
      <c r="BO76" s="26"/>
      <c r="BP76" s="25"/>
      <c r="BQ76" s="25"/>
      <c r="BR76" s="25"/>
      <c r="BS76" s="26"/>
      <c r="BT76" s="25"/>
      <c r="BU76" s="25"/>
      <c r="BV76" s="25"/>
      <c r="BW76" s="26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</row>
    <row r="77" spans="1:90" x14ac:dyDescent="0.25">
      <c r="A77" s="9"/>
      <c r="B77" s="9"/>
      <c r="C77" s="3" t="s">
        <v>27</v>
      </c>
      <c r="D77" s="3"/>
      <c r="E77" s="3"/>
      <c r="F77" s="20"/>
      <c r="G77" s="20"/>
      <c r="H77" s="28">
        <v>5</v>
      </c>
      <c r="I77" s="25">
        <v>5</v>
      </c>
      <c r="J77" s="25">
        <v>5</v>
      </c>
      <c r="K77" s="26">
        <v>5</v>
      </c>
      <c r="L77" s="28">
        <v>5</v>
      </c>
      <c r="M77" s="25">
        <v>5</v>
      </c>
      <c r="N77" s="25">
        <v>5</v>
      </c>
      <c r="O77" s="25">
        <v>5</v>
      </c>
      <c r="P77" s="28">
        <v>5</v>
      </c>
      <c r="Q77" s="25">
        <v>5</v>
      </c>
      <c r="R77" s="25">
        <v>5</v>
      </c>
      <c r="S77" s="26">
        <v>5</v>
      </c>
      <c r="T77" s="25">
        <v>5</v>
      </c>
      <c r="U77" s="25">
        <v>5</v>
      </c>
      <c r="V77" s="25">
        <v>5</v>
      </c>
      <c r="W77" s="26">
        <v>5</v>
      </c>
      <c r="X77" s="25">
        <v>5</v>
      </c>
      <c r="Y77" s="25">
        <v>5</v>
      </c>
      <c r="Z77" s="25">
        <v>5</v>
      </c>
      <c r="AA77" s="26">
        <v>5</v>
      </c>
      <c r="AB77" s="25">
        <v>5</v>
      </c>
      <c r="AC77" s="25">
        <v>5</v>
      </c>
      <c r="AD77" s="25">
        <v>5</v>
      </c>
      <c r="AE77" s="26">
        <v>5</v>
      </c>
      <c r="AF77" s="25">
        <v>5</v>
      </c>
      <c r="AG77" s="25">
        <v>5</v>
      </c>
      <c r="AH77" s="25">
        <v>5</v>
      </c>
      <c r="AI77" s="26">
        <v>5</v>
      </c>
      <c r="AJ77" s="25">
        <v>5</v>
      </c>
      <c r="AK77" s="25">
        <v>5</v>
      </c>
      <c r="AL77" s="25">
        <v>5</v>
      </c>
      <c r="AM77" s="26">
        <v>5</v>
      </c>
      <c r="AN77" s="25">
        <v>5</v>
      </c>
      <c r="AO77" s="25">
        <v>5</v>
      </c>
      <c r="AP77" s="25">
        <v>5</v>
      </c>
      <c r="AQ77" s="26">
        <v>5</v>
      </c>
      <c r="AR77" s="25">
        <v>5</v>
      </c>
      <c r="AS77" s="25">
        <v>5</v>
      </c>
      <c r="AT77" s="25">
        <v>5</v>
      </c>
      <c r="AU77" s="26">
        <v>5</v>
      </c>
      <c r="AV77" s="25">
        <v>5</v>
      </c>
      <c r="AW77" s="25">
        <v>5</v>
      </c>
      <c r="AX77" s="25">
        <v>5</v>
      </c>
      <c r="AY77" s="26">
        <v>5</v>
      </c>
      <c r="AZ77" s="25">
        <v>5</v>
      </c>
      <c r="BA77" s="25">
        <v>5</v>
      </c>
      <c r="BB77" s="25">
        <v>5</v>
      </c>
      <c r="BC77" s="26">
        <v>5</v>
      </c>
      <c r="BD77" s="25">
        <v>5</v>
      </c>
      <c r="BE77" s="25">
        <v>5</v>
      </c>
      <c r="BF77" s="25">
        <v>5</v>
      </c>
      <c r="BG77" s="26">
        <v>5</v>
      </c>
      <c r="BH77" s="25">
        <v>5</v>
      </c>
      <c r="BI77" s="25">
        <v>5</v>
      </c>
      <c r="BJ77" s="25">
        <v>5</v>
      </c>
      <c r="BK77" s="26">
        <v>5</v>
      </c>
      <c r="BL77" s="25">
        <v>5</v>
      </c>
      <c r="BM77" s="25">
        <v>5</v>
      </c>
      <c r="BN77" s="25">
        <v>5</v>
      </c>
      <c r="BO77" s="26">
        <v>5</v>
      </c>
      <c r="BP77" s="25">
        <v>5</v>
      </c>
      <c r="BQ77" s="25">
        <v>5</v>
      </c>
      <c r="BR77" s="25">
        <v>5</v>
      </c>
      <c r="BS77" s="26">
        <v>5</v>
      </c>
      <c r="BT77" s="25">
        <v>5</v>
      </c>
      <c r="BU77" s="25"/>
      <c r="BV77" s="25"/>
      <c r="BW77" s="26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</row>
    <row r="78" spans="1:90" x14ac:dyDescent="0.25">
      <c r="A78" s="9"/>
      <c r="B78" s="9"/>
      <c r="C78" s="3" t="s">
        <v>28</v>
      </c>
      <c r="D78" s="3"/>
      <c r="E78" s="3"/>
      <c r="F78" s="20"/>
      <c r="G78" s="20"/>
      <c r="H78" s="28">
        <v>15</v>
      </c>
      <c r="I78" s="25">
        <v>15</v>
      </c>
      <c r="J78" s="25">
        <v>15</v>
      </c>
      <c r="K78" s="26">
        <v>15</v>
      </c>
      <c r="L78" s="28">
        <v>15</v>
      </c>
      <c r="M78" s="25">
        <v>15</v>
      </c>
      <c r="N78" s="25">
        <v>15</v>
      </c>
      <c r="O78" s="25">
        <v>15</v>
      </c>
      <c r="P78" s="28">
        <v>15</v>
      </c>
      <c r="Q78" s="25">
        <v>15</v>
      </c>
      <c r="R78" s="25">
        <v>15</v>
      </c>
      <c r="S78" s="26">
        <v>15</v>
      </c>
      <c r="T78" s="25">
        <v>15</v>
      </c>
      <c r="U78" s="25">
        <v>15</v>
      </c>
      <c r="V78" s="25">
        <v>15</v>
      </c>
      <c r="W78" s="26">
        <v>15</v>
      </c>
      <c r="X78" s="25">
        <v>15</v>
      </c>
      <c r="Y78" s="25">
        <v>15</v>
      </c>
      <c r="Z78" s="25">
        <v>15</v>
      </c>
      <c r="AA78" s="26">
        <v>15</v>
      </c>
      <c r="AB78" s="25">
        <v>15</v>
      </c>
      <c r="AC78" s="25">
        <v>15</v>
      </c>
      <c r="AD78" s="25">
        <v>15</v>
      </c>
      <c r="AE78" s="26">
        <v>15</v>
      </c>
      <c r="AF78" s="25">
        <v>15</v>
      </c>
      <c r="AG78" s="25">
        <v>15</v>
      </c>
      <c r="AH78" s="25">
        <v>15</v>
      </c>
      <c r="AI78" s="26">
        <v>15</v>
      </c>
      <c r="AJ78" s="25">
        <v>15</v>
      </c>
      <c r="AK78" s="25">
        <v>15</v>
      </c>
      <c r="AL78" s="25">
        <v>15</v>
      </c>
      <c r="AM78" s="26">
        <v>15</v>
      </c>
      <c r="AN78" s="25">
        <v>15</v>
      </c>
      <c r="AO78" s="25">
        <v>15</v>
      </c>
      <c r="AP78" s="25">
        <v>15</v>
      </c>
      <c r="AQ78" s="26">
        <v>15</v>
      </c>
      <c r="AR78" s="25">
        <v>15</v>
      </c>
      <c r="AS78" s="25">
        <v>15</v>
      </c>
      <c r="AT78" s="25">
        <v>15</v>
      </c>
      <c r="AU78" s="26">
        <v>15</v>
      </c>
      <c r="AV78" s="25">
        <v>15</v>
      </c>
      <c r="AW78" s="25">
        <v>15</v>
      </c>
      <c r="AX78" s="25">
        <v>15</v>
      </c>
      <c r="AY78" s="26">
        <v>15</v>
      </c>
      <c r="AZ78" s="25">
        <v>15</v>
      </c>
      <c r="BA78" s="25">
        <v>15</v>
      </c>
      <c r="BB78" s="25">
        <v>15</v>
      </c>
      <c r="BC78" s="26">
        <v>15</v>
      </c>
      <c r="BD78" s="25">
        <v>15</v>
      </c>
      <c r="BE78" s="25">
        <v>15</v>
      </c>
      <c r="BF78" s="25">
        <v>15</v>
      </c>
      <c r="BG78" s="26">
        <v>15</v>
      </c>
      <c r="BH78" s="25">
        <v>15</v>
      </c>
      <c r="BI78" s="25">
        <v>15</v>
      </c>
      <c r="BJ78" s="25">
        <v>15</v>
      </c>
      <c r="BK78" s="26">
        <v>15</v>
      </c>
      <c r="BL78" s="25">
        <v>15</v>
      </c>
      <c r="BM78" s="25">
        <v>15</v>
      </c>
      <c r="BN78" s="25">
        <v>15</v>
      </c>
      <c r="BO78" s="26">
        <v>15</v>
      </c>
      <c r="BP78" s="25">
        <v>15</v>
      </c>
      <c r="BQ78" s="25">
        <v>15</v>
      </c>
      <c r="BR78" s="25">
        <v>15</v>
      </c>
      <c r="BS78" s="26">
        <v>15</v>
      </c>
      <c r="BT78" s="25">
        <v>15</v>
      </c>
      <c r="BU78" s="25"/>
      <c r="BV78" s="25"/>
      <c r="BW78" s="26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</row>
    <row r="79" spans="1:90" x14ac:dyDescent="0.25">
      <c r="A79" s="9"/>
      <c r="B79" s="9"/>
      <c r="C79" s="3" t="s">
        <v>29</v>
      </c>
      <c r="D79" s="3"/>
      <c r="E79" s="3"/>
      <c r="F79" s="20"/>
      <c r="G79" s="20"/>
      <c r="H79" s="28">
        <v>25</v>
      </c>
      <c r="I79" s="25">
        <v>25</v>
      </c>
      <c r="J79" s="25">
        <v>25</v>
      </c>
      <c r="K79" s="26">
        <v>25</v>
      </c>
      <c r="L79" s="28">
        <v>25</v>
      </c>
      <c r="M79" s="25">
        <v>25</v>
      </c>
      <c r="N79" s="25">
        <v>25</v>
      </c>
      <c r="O79" s="25">
        <v>25</v>
      </c>
      <c r="P79" s="28">
        <v>25</v>
      </c>
      <c r="Q79" s="25">
        <v>25</v>
      </c>
      <c r="R79" s="25">
        <v>25</v>
      </c>
      <c r="S79" s="26">
        <v>25</v>
      </c>
      <c r="T79" s="25">
        <v>25</v>
      </c>
      <c r="U79" s="25">
        <v>25</v>
      </c>
      <c r="V79" s="25">
        <v>25</v>
      </c>
      <c r="W79" s="26">
        <v>25</v>
      </c>
      <c r="X79" s="25">
        <v>25</v>
      </c>
      <c r="Y79" s="25">
        <v>25</v>
      </c>
      <c r="Z79" s="25">
        <v>25</v>
      </c>
      <c r="AA79" s="26">
        <v>25</v>
      </c>
      <c r="AB79" s="25">
        <v>25</v>
      </c>
      <c r="AC79" s="25">
        <v>25</v>
      </c>
      <c r="AD79" s="25">
        <v>25</v>
      </c>
      <c r="AE79" s="26">
        <v>25</v>
      </c>
      <c r="AF79" s="25">
        <v>25</v>
      </c>
      <c r="AG79" s="25">
        <v>25</v>
      </c>
      <c r="AH79" s="25">
        <v>25</v>
      </c>
      <c r="AI79" s="26">
        <v>25</v>
      </c>
      <c r="AJ79" s="25">
        <v>25</v>
      </c>
      <c r="AK79" s="25">
        <v>25</v>
      </c>
      <c r="AL79" s="25">
        <v>25</v>
      </c>
      <c r="AM79" s="26">
        <v>25</v>
      </c>
      <c r="AN79" s="25">
        <v>25</v>
      </c>
      <c r="AO79" s="25">
        <v>25</v>
      </c>
      <c r="AP79" s="25">
        <v>25</v>
      </c>
      <c r="AQ79" s="26">
        <v>25</v>
      </c>
      <c r="AR79" s="25">
        <v>25</v>
      </c>
      <c r="AS79" s="25">
        <v>25</v>
      </c>
      <c r="AT79" s="25">
        <v>25</v>
      </c>
      <c r="AU79" s="26">
        <v>25</v>
      </c>
      <c r="AV79" s="25">
        <v>25</v>
      </c>
      <c r="AW79" s="25">
        <v>25</v>
      </c>
      <c r="AX79" s="25">
        <v>25</v>
      </c>
      <c r="AY79" s="26">
        <v>25</v>
      </c>
      <c r="AZ79" s="25">
        <v>25</v>
      </c>
      <c r="BA79" s="25">
        <v>25</v>
      </c>
      <c r="BB79" s="25">
        <v>25</v>
      </c>
      <c r="BC79" s="26">
        <v>25</v>
      </c>
      <c r="BD79" s="25">
        <v>25</v>
      </c>
      <c r="BE79" s="25">
        <v>25</v>
      </c>
      <c r="BF79" s="25">
        <v>25</v>
      </c>
      <c r="BG79" s="26">
        <v>25</v>
      </c>
      <c r="BH79" s="25">
        <v>25</v>
      </c>
      <c r="BI79" s="25">
        <v>25</v>
      </c>
      <c r="BJ79" s="25">
        <v>25</v>
      </c>
      <c r="BK79" s="26">
        <v>25</v>
      </c>
      <c r="BL79" s="25">
        <v>25</v>
      </c>
      <c r="BM79" s="25">
        <v>25</v>
      </c>
      <c r="BN79" s="25">
        <v>25</v>
      </c>
      <c r="BO79" s="26">
        <v>25</v>
      </c>
      <c r="BP79" s="25">
        <v>25</v>
      </c>
      <c r="BQ79" s="25">
        <v>25</v>
      </c>
      <c r="BR79" s="25">
        <v>25</v>
      </c>
      <c r="BS79" s="26">
        <v>25</v>
      </c>
      <c r="BT79" s="25">
        <v>25</v>
      </c>
      <c r="BU79" s="25"/>
      <c r="BV79" s="25"/>
      <c r="BW79" s="26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</row>
    <row r="80" spans="1:90" x14ac:dyDescent="0.25">
      <c r="A80" s="9"/>
      <c r="B80" s="9"/>
      <c r="C80" s="3"/>
      <c r="D80" s="3"/>
      <c r="E80" s="3"/>
      <c r="F80" s="20"/>
      <c r="G80" s="20"/>
      <c r="H80" s="21"/>
      <c r="I80" s="22"/>
      <c r="J80" s="22"/>
      <c r="K80" s="23"/>
      <c r="L80" s="21"/>
      <c r="M80" s="22"/>
      <c r="N80" s="22"/>
      <c r="O80" s="22"/>
      <c r="P80" s="21"/>
      <c r="Q80" s="25"/>
      <c r="R80" s="25"/>
      <c r="S80" s="26"/>
      <c r="T80" s="25"/>
      <c r="U80" s="25"/>
      <c r="V80" s="25"/>
      <c r="W80" s="26"/>
      <c r="X80" s="25"/>
      <c r="Y80" s="25"/>
      <c r="Z80" s="25"/>
      <c r="AA80" s="26"/>
      <c r="AB80" s="25"/>
      <c r="AC80" s="25"/>
      <c r="AD80" s="25"/>
      <c r="AE80" s="26"/>
      <c r="AF80" s="25"/>
      <c r="AG80" s="25"/>
      <c r="AH80" s="25"/>
      <c r="AI80" s="26"/>
      <c r="AJ80" s="25"/>
      <c r="AK80" s="25"/>
      <c r="AL80" s="25"/>
      <c r="AM80" s="26"/>
      <c r="AN80" s="25"/>
      <c r="AO80" s="25"/>
      <c r="AP80" s="25"/>
      <c r="AQ80" s="26"/>
      <c r="AR80" s="25"/>
      <c r="AS80" s="25"/>
      <c r="AT80" s="25"/>
      <c r="AU80" s="26"/>
      <c r="AV80" s="25"/>
      <c r="AW80" s="25"/>
      <c r="AX80" s="25"/>
      <c r="AY80" s="26"/>
      <c r="AZ80" s="25"/>
      <c r="BA80" s="25"/>
      <c r="BB80" s="25"/>
      <c r="BC80" s="26"/>
      <c r="BD80" s="25"/>
      <c r="BE80" s="25"/>
      <c r="BF80" s="25"/>
      <c r="BG80" s="26"/>
      <c r="BH80" s="25"/>
      <c r="BI80" s="25"/>
      <c r="BJ80" s="25"/>
      <c r="BK80" s="26"/>
      <c r="BL80" s="25"/>
      <c r="BM80" s="25"/>
      <c r="BN80" s="25"/>
      <c r="BO80" s="26"/>
      <c r="BP80" s="25"/>
      <c r="BQ80" s="25"/>
      <c r="BR80" s="25"/>
      <c r="BS80" s="26"/>
      <c r="BT80" s="25"/>
      <c r="BU80" s="25"/>
      <c r="BV80" s="25"/>
      <c r="BW80" s="26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</row>
    <row r="81" spans="1:90" x14ac:dyDescent="0.25">
      <c r="A81" s="9"/>
      <c r="B81" s="9"/>
      <c r="C81" s="3"/>
      <c r="D81" s="3"/>
      <c r="E81" s="3"/>
      <c r="F81" s="20"/>
      <c r="G81" s="20"/>
      <c r="H81" s="132"/>
      <c r="I81" s="31"/>
      <c r="J81" s="31"/>
      <c r="K81" s="32"/>
      <c r="L81" s="30"/>
      <c r="M81" s="31"/>
      <c r="N81" s="31"/>
      <c r="O81" s="31"/>
      <c r="P81" s="47"/>
      <c r="Q81" s="33"/>
      <c r="R81" s="33"/>
      <c r="S81" s="34"/>
      <c r="T81" s="33"/>
      <c r="U81" s="33"/>
      <c r="V81" s="33"/>
      <c r="W81" s="36"/>
      <c r="X81" s="35"/>
      <c r="Y81" s="35"/>
      <c r="Z81" s="35"/>
      <c r="AA81" s="36"/>
      <c r="AB81" s="35"/>
      <c r="AC81" s="35"/>
      <c r="AD81" s="35"/>
      <c r="AE81" s="36"/>
      <c r="AF81" s="35"/>
      <c r="AG81" s="35"/>
      <c r="AH81" s="35"/>
      <c r="AI81" s="36"/>
      <c r="AJ81" s="35"/>
      <c r="AK81" s="35"/>
      <c r="AL81" s="35"/>
      <c r="AM81" s="36"/>
      <c r="AN81" s="35"/>
      <c r="AO81" s="35"/>
      <c r="AP81" s="35"/>
      <c r="AQ81" s="36"/>
      <c r="AR81" s="35"/>
      <c r="AS81" s="35"/>
      <c r="AT81" s="35"/>
      <c r="AU81" s="36"/>
      <c r="AV81" s="35"/>
      <c r="AW81" s="35"/>
      <c r="AX81" s="35"/>
      <c r="AY81" s="36"/>
      <c r="AZ81" s="35"/>
      <c r="BA81" s="35"/>
      <c r="BB81" s="35"/>
      <c r="BC81" s="36"/>
      <c r="BD81" s="35"/>
      <c r="BE81" s="35"/>
      <c r="BF81" s="35"/>
      <c r="BG81" s="36"/>
      <c r="BH81" s="35"/>
      <c r="BI81" s="35"/>
      <c r="BJ81" s="35"/>
      <c r="BK81" s="36"/>
      <c r="BL81" s="35"/>
      <c r="BM81" s="35"/>
      <c r="BN81" s="35"/>
      <c r="BO81" s="36"/>
      <c r="BP81" s="35"/>
      <c r="BQ81" s="35"/>
      <c r="BR81" s="35"/>
      <c r="BS81" s="36"/>
      <c r="BT81" s="35"/>
      <c r="BU81" s="35"/>
      <c r="BV81" s="35"/>
      <c r="BW81" s="36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</row>
    <row r="82" spans="1:90" x14ac:dyDescent="0.25">
      <c r="A82" s="9"/>
      <c r="B82" s="9"/>
      <c r="C82" s="1" t="s">
        <v>30</v>
      </c>
      <c r="D82" s="41"/>
      <c r="E82" s="41"/>
      <c r="F82" s="78"/>
      <c r="G82" s="78"/>
      <c r="H82" s="21"/>
      <c r="I82" s="22"/>
      <c r="J82" s="22"/>
      <c r="K82" s="23"/>
      <c r="L82" s="21"/>
      <c r="M82" s="22"/>
      <c r="N82" s="22"/>
      <c r="O82" s="22"/>
      <c r="P82" s="21"/>
      <c r="Q82" s="25"/>
      <c r="R82" s="25"/>
      <c r="S82" s="26"/>
      <c r="T82" s="25"/>
      <c r="U82" s="25"/>
      <c r="V82" s="25"/>
      <c r="W82" s="26"/>
      <c r="X82" s="25"/>
      <c r="Y82" s="25"/>
      <c r="Z82" s="25"/>
      <c r="AA82" s="26"/>
      <c r="AB82" s="25"/>
      <c r="AC82" s="25"/>
      <c r="AD82" s="25"/>
      <c r="AE82" s="26"/>
      <c r="AF82" s="25"/>
      <c r="AG82" s="25"/>
      <c r="AH82" s="25"/>
      <c r="AI82" s="26"/>
      <c r="AJ82" s="25"/>
      <c r="AK82" s="25"/>
      <c r="AL82" s="25"/>
      <c r="AM82" s="26"/>
      <c r="AN82" s="25"/>
      <c r="AO82" s="25"/>
      <c r="AP82" s="25"/>
      <c r="AQ82" s="26"/>
      <c r="AR82" s="25"/>
      <c r="AS82" s="25"/>
      <c r="AT82" s="25"/>
      <c r="AU82" s="26"/>
      <c r="AV82" s="25"/>
      <c r="AW82" s="25"/>
      <c r="AX82" s="25"/>
      <c r="AY82" s="26"/>
      <c r="AZ82" s="25"/>
      <c r="BA82" s="25"/>
      <c r="BB82" s="25"/>
      <c r="BC82" s="26"/>
      <c r="BD82" s="25"/>
      <c r="BE82" s="25"/>
      <c r="BF82" s="25"/>
      <c r="BG82" s="26"/>
      <c r="BH82" s="25"/>
      <c r="BI82" s="25"/>
      <c r="BJ82" s="25"/>
      <c r="BK82" s="26"/>
      <c r="BL82" s="25"/>
      <c r="BM82" s="25"/>
      <c r="BN82" s="25"/>
      <c r="BO82" s="26"/>
      <c r="BP82" s="25"/>
      <c r="BQ82" s="25"/>
      <c r="BR82" s="25"/>
      <c r="BS82" s="26"/>
      <c r="BT82" s="25"/>
      <c r="BU82" s="25"/>
      <c r="BV82" s="25"/>
      <c r="BW82" s="26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</row>
    <row r="83" spans="1:90" x14ac:dyDescent="0.25">
      <c r="A83" s="9"/>
      <c r="B83" s="9"/>
      <c r="C83" s="3" t="s">
        <v>7</v>
      </c>
      <c r="D83" s="3"/>
      <c r="E83" s="3"/>
      <c r="F83" s="20"/>
      <c r="G83" s="20"/>
      <c r="H83" s="132">
        <v>9082.1939150679318</v>
      </c>
      <c r="I83" s="133">
        <v>10200.009599488676</v>
      </c>
      <c r="J83" s="133">
        <v>11779.37505146295</v>
      </c>
      <c r="K83" s="134">
        <v>10939.114759001111</v>
      </c>
      <c r="L83" s="132">
        <v>10598.585678814477</v>
      </c>
      <c r="M83" s="133">
        <v>13932.640510759564</v>
      </c>
      <c r="N83" s="133">
        <v>14961.133327669088</v>
      </c>
      <c r="O83" s="134">
        <v>12257.60422501434</v>
      </c>
      <c r="P83" s="132">
        <v>11761.100626673122</v>
      </c>
      <c r="Q83" s="133">
        <v>10478.74331597926</v>
      </c>
      <c r="R83" s="133">
        <v>14200.019268905608</v>
      </c>
      <c r="S83" s="134">
        <v>15303.385685810706</v>
      </c>
      <c r="T83" s="132">
        <v>10209.308560614978</v>
      </c>
      <c r="U83" s="133">
        <v>11866.573474122328</v>
      </c>
      <c r="V83" s="133">
        <v>16103.231698749476</v>
      </c>
      <c r="W83" s="134">
        <v>14347.319563252209</v>
      </c>
      <c r="X83" s="132">
        <v>9558.1949250899706</v>
      </c>
      <c r="Y83" s="133">
        <v>11223.00662001329</v>
      </c>
      <c r="Z83" s="133">
        <v>18599.808102163515</v>
      </c>
      <c r="AA83" s="134">
        <v>17481.627995435527</v>
      </c>
      <c r="AB83" s="132">
        <v>13087.214569918706</v>
      </c>
      <c r="AC83" s="133">
        <v>16310.680211755884</v>
      </c>
      <c r="AD83" s="133">
        <v>22209.257654979196</v>
      </c>
      <c r="AE83" s="134">
        <v>13416.73823522935</v>
      </c>
      <c r="AF83" s="132">
        <v>9757.2066262623102</v>
      </c>
      <c r="AG83" s="133">
        <v>12011.785309191428</v>
      </c>
      <c r="AH83" s="133">
        <v>12308.32501340698</v>
      </c>
      <c r="AI83" s="134">
        <v>14095.180884970343</v>
      </c>
      <c r="AJ83" s="132">
        <v>8876.3353866708567</v>
      </c>
      <c r="AK83" s="133">
        <v>12850.177263118338</v>
      </c>
      <c r="AL83" s="133">
        <v>14597.274117489867</v>
      </c>
      <c r="AM83" s="134">
        <v>13255.580246788382</v>
      </c>
      <c r="AN83" s="132">
        <v>12253.506505994359</v>
      </c>
      <c r="AO83" s="133">
        <v>11524.824816838858</v>
      </c>
      <c r="AP83" s="133">
        <v>13388.812954340869</v>
      </c>
      <c r="AQ83" s="134">
        <v>15608.589601231592</v>
      </c>
      <c r="AR83" s="132">
        <v>12457.5525049476</v>
      </c>
      <c r="AS83" s="133">
        <v>14074.075047989692</v>
      </c>
      <c r="AT83" s="133">
        <v>17362.758536587909</v>
      </c>
      <c r="AU83" s="134">
        <v>18162.539927572354</v>
      </c>
      <c r="AV83" s="132">
        <v>15408.421027272729</v>
      </c>
      <c r="AW83" s="133">
        <v>13403.802643751911</v>
      </c>
      <c r="AX83" s="133">
        <v>13518.967778314884</v>
      </c>
      <c r="AY83" s="134">
        <v>14362.194890168026</v>
      </c>
      <c r="AZ83" s="132">
        <v>16199.624372335229</v>
      </c>
      <c r="BA83" s="133">
        <v>10755.134946099464</v>
      </c>
      <c r="BB83" s="133">
        <v>12602.656870837298</v>
      </c>
      <c r="BC83" s="134">
        <v>12694.792364742711</v>
      </c>
      <c r="BD83" s="132">
        <v>15446.100408592416</v>
      </c>
      <c r="BE83" s="133">
        <v>20725.905772269627</v>
      </c>
      <c r="BF83" s="133">
        <v>30509.676531163161</v>
      </c>
      <c r="BG83" s="134">
        <v>18533.77805233144</v>
      </c>
      <c r="BH83" s="132">
        <v>16692.036472968677</v>
      </c>
      <c r="BI83" s="133">
        <v>19069.096696408793</v>
      </c>
      <c r="BJ83" s="133">
        <v>33023.056847193278</v>
      </c>
      <c r="BK83" s="134">
        <v>24508.710801393729</v>
      </c>
      <c r="BL83" s="132">
        <v>19223.338989688033</v>
      </c>
      <c r="BM83" s="133">
        <v>20365.310365310364</v>
      </c>
      <c r="BN83" s="133">
        <v>24850.223964165732</v>
      </c>
      <c r="BO83" s="134">
        <v>21275.398562050643</v>
      </c>
      <c r="BP83" s="132">
        <v>18668.86353566682</v>
      </c>
      <c r="BQ83" s="133">
        <v>17370.689655172417</v>
      </c>
      <c r="BR83" s="133">
        <v>22770.383770512984</v>
      </c>
      <c r="BS83" s="134">
        <v>17834.283612286185</v>
      </c>
      <c r="BT83" s="133">
        <v>16935.101691568485</v>
      </c>
      <c r="BU83" s="133"/>
      <c r="BV83" s="57"/>
      <c r="BW83" s="58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</row>
    <row r="84" spans="1:90" x14ac:dyDescent="0.25">
      <c r="A84" s="9"/>
      <c r="B84" s="9"/>
      <c r="C84" s="3" t="s">
        <v>8</v>
      </c>
      <c r="D84" s="3"/>
      <c r="E84" s="3"/>
      <c r="F84" s="20"/>
      <c r="G84" s="20"/>
      <c r="H84" s="132">
        <v>7073.5442235786713</v>
      </c>
      <c r="I84" s="133">
        <v>8939.6775290996502</v>
      </c>
      <c r="J84" s="133">
        <v>10659.135432413439</v>
      </c>
      <c r="K84" s="134">
        <v>10195.606936416187</v>
      </c>
      <c r="L84" s="132">
        <v>11208.841221057375</v>
      </c>
      <c r="M84" s="133">
        <v>13271.65205809894</v>
      </c>
      <c r="N84" s="133">
        <v>13557.071931342411</v>
      </c>
      <c r="O84" s="134">
        <v>10455.758600168167</v>
      </c>
      <c r="P84" s="132">
        <v>10291.236266095022</v>
      </c>
      <c r="Q84" s="133">
        <v>10116.769783987311</v>
      </c>
      <c r="R84" s="133">
        <v>12891.849643275478</v>
      </c>
      <c r="S84" s="134">
        <v>12024.09967436907</v>
      </c>
      <c r="T84" s="132">
        <v>8303.0304916707773</v>
      </c>
      <c r="U84" s="133">
        <v>11781.246108343712</v>
      </c>
      <c r="V84" s="133">
        <v>16193.275974720582</v>
      </c>
      <c r="W84" s="134">
        <v>13408.003165385522</v>
      </c>
      <c r="X84" s="132">
        <v>8992.5851211495537</v>
      </c>
      <c r="Y84" s="133">
        <v>21860.880440085282</v>
      </c>
      <c r="Z84" s="133">
        <v>26756.373443853547</v>
      </c>
      <c r="AA84" s="134">
        <v>24515.562095350204</v>
      </c>
      <c r="AB84" s="132">
        <v>14482.650014057241</v>
      </c>
      <c r="AC84" s="133">
        <v>21593.027070808475</v>
      </c>
      <c r="AD84" s="133">
        <v>36599.754772842702</v>
      </c>
      <c r="AE84" s="134">
        <v>13339.663752079508</v>
      </c>
      <c r="AF84" s="132">
        <v>9975.9993653009915</v>
      </c>
      <c r="AG84" s="133">
        <v>12154.175196263537</v>
      </c>
      <c r="AH84" s="133">
        <v>21103.337585548055</v>
      </c>
      <c r="AI84" s="134">
        <v>9523.4642109680681</v>
      </c>
      <c r="AJ84" s="132">
        <v>6530.1034172576728</v>
      </c>
      <c r="AK84" s="133">
        <v>15896.307477589995</v>
      </c>
      <c r="AL84" s="133">
        <v>17809.331763089624</v>
      </c>
      <c r="AM84" s="134">
        <v>10414.886099303825</v>
      </c>
      <c r="AN84" s="132">
        <v>10839.9346889344</v>
      </c>
      <c r="AO84" s="133">
        <v>15013.295271495384</v>
      </c>
      <c r="AP84" s="133">
        <v>17877.19944548413</v>
      </c>
      <c r="AQ84" s="134">
        <v>11577.864566749085</v>
      </c>
      <c r="AR84" s="132">
        <v>10693.821037381909</v>
      </c>
      <c r="AS84" s="133">
        <v>15031.427660788808</v>
      </c>
      <c r="AT84" s="133">
        <v>18731.965982991496</v>
      </c>
      <c r="AU84" s="134">
        <v>11373.333763007029</v>
      </c>
      <c r="AV84" s="132">
        <v>9017.8732787035933</v>
      </c>
      <c r="AW84" s="133">
        <v>9948.1849925249353</v>
      </c>
      <c r="AX84" s="133">
        <v>13883.631211692675</v>
      </c>
      <c r="AY84" s="134">
        <v>11092.973322603304</v>
      </c>
      <c r="AZ84" s="132">
        <v>11692.380494862013</v>
      </c>
      <c r="BA84" s="133">
        <v>7524.4725578801299</v>
      </c>
      <c r="BB84" s="133">
        <v>12172.753499609029</v>
      </c>
      <c r="BC84" s="134">
        <v>8338.7712001344389</v>
      </c>
      <c r="BD84" s="132">
        <v>8403.6838355304462</v>
      </c>
      <c r="BE84" s="133">
        <v>14919.633102648499</v>
      </c>
      <c r="BF84" s="133">
        <v>25114.696444615587</v>
      </c>
      <c r="BG84" s="134">
        <v>16027.363530693314</v>
      </c>
      <c r="BH84" s="132">
        <v>13750.61712576299</v>
      </c>
      <c r="BI84" s="133">
        <v>20156.248962961596</v>
      </c>
      <c r="BJ84" s="133">
        <v>27264.261393898465</v>
      </c>
      <c r="BK84" s="134">
        <v>0</v>
      </c>
      <c r="BL84" s="132">
        <v>0</v>
      </c>
      <c r="BM84" s="133">
        <v>0</v>
      </c>
      <c r="BN84" s="133">
        <v>0</v>
      </c>
      <c r="BO84" s="134">
        <v>0</v>
      </c>
      <c r="BP84" s="132">
        <v>0</v>
      </c>
      <c r="BQ84" s="133">
        <v>0</v>
      </c>
      <c r="BR84" s="133">
        <v>0</v>
      </c>
      <c r="BS84" s="134">
        <v>0</v>
      </c>
      <c r="BT84" s="133">
        <v>0</v>
      </c>
      <c r="BU84" s="133"/>
      <c r="BV84" s="57"/>
      <c r="BW84" s="58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</row>
    <row r="85" spans="1:90" x14ac:dyDescent="0.25">
      <c r="A85" s="9"/>
      <c r="B85" s="9"/>
      <c r="C85" s="3" t="s">
        <v>9</v>
      </c>
      <c r="D85" s="3"/>
      <c r="E85" s="3"/>
      <c r="F85" s="20"/>
      <c r="G85" s="20"/>
      <c r="H85" s="132">
        <v>9113.2285795179814</v>
      </c>
      <c r="I85" s="133">
        <v>11808.021162619591</v>
      </c>
      <c r="J85" s="133">
        <v>13306.302218469198</v>
      </c>
      <c r="K85" s="134">
        <v>11262.066559223751</v>
      </c>
      <c r="L85" s="132">
        <v>11819.907665011569</v>
      </c>
      <c r="M85" s="133">
        <v>16078.825378220725</v>
      </c>
      <c r="N85" s="133">
        <v>16385.127518381836</v>
      </c>
      <c r="O85" s="134">
        <v>11789.76457805573</v>
      </c>
      <c r="P85" s="132">
        <v>10089.5994270666</v>
      </c>
      <c r="Q85" s="133">
        <v>11572.501136768195</v>
      </c>
      <c r="R85" s="133">
        <v>14359.802654291751</v>
      </c>
      <c r="S85" s="134">
        <v>12304.403480778157</v>
      </c>
      <c r="T85" s="132">
        <v>9705.5393266309366</v>
      </c>
      <c r="U85" s="133">
        <v>12875.782408501427</v>
      </c>
      <c r="V85" s="133">
        <v>16368.132640157373</v>
      </c>
      <c r="W85" s="134">
        <v>12996.524761177137</v>
      </c>
      <c r="X85" s="132">
        <v>9242.5310379684161</v>
      </c>
      <c r="Y85" s="133">
        <v>13487.786627077146</v>
      </c>
      <c r="Z85" s="133">
        <v>16663.733140637316</v>
      </c>
      <c r="AA85" s="134">
        <v>14963.672398950974</v>
      </c>
      <c r="AB85" s="132">
        <v>13837.813571997416</v>
      </c>
      <c r="AC85" s="133">
        <v>16523.842480591073</v>
      </c>
      <c r="AD85" s="133">
        <v>20413.852022370113</v>
      </c>
      <c r="AE85" s="134">
        <v>12522.041378798784</v>
      </c>
      <c r="AF85" s="132">
        <v>11108.515072696338</v>
      </c>
      <c r="AG85" s="133">
        <v>12433.806830513919</v>
      </c>
      <c r="AH85" s="133">
        <v>13061.304513685654</v>
      </c>
      <c r="AI85" s="134">
        <v>10261.20335468009</v>
      </c>
      <c r="AJ85" s="132">
        <v>7363.501538865803</v>
      </c>
      <c r="AK85" s="133">
        <v>12500.432966973889</v>
      </c>
      <c r="AL85" s="133">
        <v>14284.951684827567</v>
      </c>
      <c r="AM85" s="134">
        <v>11007.662924408609</v>
      </c>
      <c r="AN85" s="132">
        <v>11338.736102616864</v>
      </c>
      <c r="AO85" s="133">
        <v>11265.999175608655</v>
      </c>
      <c r="AP85" s="133">
        <v>14003.834745230592</v>
      </c>
      <c r="AQ85" s="134">
        <v>11134.702179369415</v>
      </c>
      <c r="AR85" s="132">
        <v>11940.015325416387</v>
      </c>
      <c r="AS85" s="133">
        <v>12393.288375617652</v>
      </c>
      <c r="AT85" s="133">
        <v>16131.600820061782</v>
      </c>
      <c r="AU85" s="134">
        <v>13824.079078230456</v>
      </c>
      <c r="AV85" s="132">
        <v>12583.068232522217</v>
      </c>
      <c r="AW85" s="133">
        <v>13258.66777913202</v>
      </c>
      <c r="AX85" s="133">
        <v>13299.482956085158</v>
      </c>
      <c r="AY85" s="134">
        <v>13071.852473720119</v>
      </c>
      <c r="AZ85" s="132">
        <v>14242.342970041045</v>
      </c>
      <c r="BA85" s="133">
        <v>11829.704686162802</v>
      </c>
      <c r="BB85" s="133">
        <v>14228.509755955982</v>
      </c>
      <c r="BC85" s="134">
        <v>11945.795274758853</v>
      </c>
      <c r="BD85" s="132">
        <v>13416.024337272542</v>
      </c>
      <c r="BE85" s="133">
        <v>20426.757476348979</v>
      </c>
      <c r="BF85" s="133">
        <v>26724.89527375442</v>
      </c>
      <c r="BG85" s="134">
        <v>18354.964648005709</v>
      </c>
      <c r="BH85" s="132">
        <v>17219.688211213634</v>
      </c>
      <c r="BI85" s="133">
        <v>20815.260711022453</v>
      </c>
      <c r="BJ85" s="133">
        <v>28964.624896099722</v>
      </c>
      <c r="BK85" s="134">
        <v>19581.881533101048</v>
      </c>
      <c r="BL85" s="132">
        <v>15356.350345907844</v>
      </c>
      <c r="BM85" s="133">
        <v>19125.334125334124</v>
      </c>
      <c r="BN85" s="133">
        <v>23461.646136618143</v>
      </c>
      <c r="BO85" s="134">
        <v>17393.977284568096</v>
      </c>
      <c r="BP85" s="132">
        <v>13826.982720425345</v>
      </c>
      <c r="BQ85" s="133">
        <v>17310.075431034486</v>
      </c>
      <c r="BR85" s="133">
        <v>23106.344488952058</v>
      </c>
      <c r="BS85" s="134">
        <v>16597.38826558764</v>
      </c>
      <c r="BT85" s="133">
        <v>13774.764694267094</v>
      </c>
      <c r="BU85" s="133"/>
      <c r="BV85" s="57"/>
      <c r="BW85" s="58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</row>
    <row r="86" spans="1:90" x14ac:dyDescent="0.25">
      <c r="A86" s="9"/>
      <c r="B86" s="9"/>
      <c r="C86" s="3" t="s">
        <v>10</v>
      </c>
      <c r="D86" s="3"/>
      <c r="E86" s="3"/>
      <c r="F86" s="20"/>
      <c r="G86" s="20"/>
      <c r="H86" s="132">
        <v>10395.771285362471</v>
      </c>
      <c r="I86" s="133">
        <v>13613.742700895122</v>
      </c>
      <c r="J86" s="133">
        <v>14374.386021465818</v>
      </c>
      <c r="K86" s="134">
        <v>12177.422034658644</v>
      </c>
      <c r="L86" s="132">
        <v>13275.858953925585</v>
      </c>
      <c r="M86" s="133">
        <v>16807.20496059108</v>
      </c>
      <c r="N86" s="133">
        <v>17485.925951732337</v>
      </c>
      <c r="O86" s="134">
        <v>12130.817213967606</v>
      </c>
      <c r="P86" s="132">
        <v>11049.013182683329</v>
      </c>
      <c r="Q86" s="133">
        <v>12325.940521468176</v>
      </c>
      <c r="R86" s="133">
        <v>15428.034651915252</v>
      </c>
      <c r="S86" s="134">
        <v>12387.079637473893</v>
      </c>
      <c r="T86" s="132">
        <v>10033.083930044124</v>
      </c>
      <c r="U86" s="133">
        <v>13289.137488192644</v>
      </c>
      <c r="V86" s="133">
        <v>16654.390895040047</v>
      </c>
      <c r="W86" s="134">
        <v>13126.060960532224</v>
      </c>
      <c r="X86" s="132">
        <v>9402.7428006290738</v>
      </c>
      <c r="Y86" s="133">
        <v>14059.210678224254</v>
      </c>
      <c r="Z86" s="133">
        <v>17536.356570896023</v>
      </c>
      <c r="AA86" s="134">
        <v>15385.077375828314</v>
      </c>
      <c r="AB86" s="132">
        <v>14230.261875933691</v>
      </c>
      <c r="AC86" s="133">
        <v>17561.44606795469</v>
      </c>
      <c r="AD86" s="133">
        <v>21548.442890936247</v>
      </c>
      <c r="AE86" s="134">
        <v>12953.414370967384</v>
      </c>
      <c r="AF86" s="132">
        <v>11372.234440819235</v>
      </c>
      <c r="AG86" s="133">
        <v>14015.159915158292</v>
      </c>
      <c r="AH86" s="133">
        <v>14551.701088090935</v>
      </c>
      <c r="AI86" s="134">
        <v>10812.473057700705</v>
      </c>
      <c r="AJ86" s="132">
        <v>8856.6337190036356</v>
      </c>
      <c r="AK86" s="133">
        <v>13292.485205754512</v>
      </c>
      <c r="AL86" s="133">
        <v>15976.476022878349</v>
      </c>
      <c r="AM86" s="134">
        <v>11428.923476334026</v>
      </c>
      <c r="AN86" s="132">
        <v>12258.27548176442</v>
      </c>
      <c r="AO86" s="133">
        <v>12954.153203824113</v>
      </c>
      <c r="AP86" s="133">
        <v>15705.73544662315</v>
      </c>
      <c r="AQ86" s="134">
        <v>11985.656812367637</v>
      </c>
      <c r="AR86" s="132">
        <v>13037.392121030522</v>
      </c>
      <c r="AS86" s="133">
        <v>12993.77428868081</v>
      </c>
      <c r="AT86" s="133">
        <v>18071.999287461495</v>
      </c>
      <c r="AU86" s="134">
        <v>14343.690469261272</v>
      </c>
      <c r="AV86" s="132">
        <v>13417.261236295013</v>
      </c>
      <c r="AW86" s="133">
        <v>13592.310203660831</v>
      </c>
      <c r="AX86" s="133">
        <v>14461.380545495143</v>
      </c>
      <c r="AY86" s="134">
        <v>13573.093679514961</v>
      </c>
      <c r="AZ86" s="132">
        <v>14834.890891780924</v>
      </c>
      <c r="BA86" s="133">
        <v>12067.462312008762</v>
      </c>
      <c r="BB86" s="133">
        <v>14870.177859117312</v>
      </c>
      <c r="BC86" s="134">
        <v>12285.983177629892</v>
      </c>
      <c r="BD86" s="132">
        <v>13575.871179347896</v>
      </c>
      <c r="BE86" s="133">
        <v>20876.785611143277</v>
      </c>
      <c r="BF86" s="133">
        <v>27702.619900219466</v>
      </c>
      <c r="BG86" s="134">
        <v>18958.877001619032</v>
      </c>
      <c r="BH86" s="132">
        <v>19168.930431642293</v>
      </c>
      <c r="BI86" s="133">
        <v>22120.891930064463</v>
      </c>
      <c r="BJ86" s="133">
        <v>30011.850678900068</v>
      </c>
      <c r="BK86" s="134">
        <v>20822.299651567944</v>
      </c>
      <c r="BL86" s="132">
        <v>16341.861375799503</v>
      </c>
      <c r="BM86" s="133">
        <v>20086.130086130084</v>
      </c>
      <c r="BN86" s="133">
        <v>25918.253079507278</v>
      </c>
      <c r="BO86" s="134">
        <v>18998.645410023964</v>
      </c>
      <c r="BP86" s="132">
        <v>16464.610101905182</v>
      </c>
      <c r="BQ86" s="133">
        <v>18852.370689655174</v>
      </c>
      <c r="BR86" s="133">
        <v>25089.804884351983</v>
      </c>
      <c r="BS86" s="134">
        <v>17321.592790141622</v>
      </c>
      <c r="BT86" s="133">
        <v>16118.278154413214</v>
      </c>
      <c r="BU86" s="133"/>
      <c r="BV86" s="57"/>
      <c r="BW86" s="58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</row>
    <row r="87" spans="1:90" x14ac:dyDescent="0.25">
      <c r="A87" s="9"/>
      <c r="B87" s="9"/>
      <c r="C87" s="3" t="s">
        <v>11</v>
      </c>
      <c r="D87" s="3"/>
      <c r="E87" s="3"/>
      <c r="F87" s="20"/>
      <c r="G87" s="20"/>
      <c r="H87" s="132">
        <v>8638.9462280577445</v>
      </c>
      <c r="I87" s="133">
        <v>12135.415252684632</v>
      </c>
      <c r="J87" s="133">
        <v>13271.158085776769</v>
      </c>
      <c r="K87" s="134">
        <v>11089.766033581061</v>
      </c>
      <c r="L87" s="132">
        <v>12689.786021203092</v>
      </c>
      <c r="M87" s="133">
        <v>15911.912314352523</v>
      </c>
      <c r="N87" s="133">
        <v>14874.507669039285</v>
      </c>
      <c r="O87" s="134">
        <v>10965.421803191461</v>
      </c>
      <c r="P87" s="132">
        <v>9907.0606786779281</v>
      </c>
      <c r="Q87" s="133">
        <v>11223.646194105933</v>
      </c>
      <c r="R87" s="133">
        <v>14001.737834096473</v>
      </c>
      <c r="S87" s="134">
        <v>10771.469617305944</v>
      </c>
      <c r="T87" s="132">
        <v>8814.4064164053289</v>
      </c>
      <c r="U87" s="133">
        <v>13675.85421855542</v>
      </c>
      <c r="V87" s="133">
        <v>17301.283052033279</v>
      </c>
      <c r="W87" s="134">
        <v>14880.181935339973</v>
      </c>
      <c r="X87" s="132">
        <v>10009.351148717538</v>
      </c>
      <c r="Y87" s="133">
        <v>25189.785428778585</v>
      </c>
      <c r="Z87" s="133">
        <v>28540.625228480054</v>
      </c>
      <c r="AA87" s="134">
        <v>25653.219540906415</v>
      </c>
      <c r="AB87" s="132">
        <v>17768.034383267091</v>
      </c>
      <c r="AC87" s="133">
        <v>20280.769801161317</v>
      </c>
      <c r="AD87" s="133">
        <v>31054.161168737272</v>
      </c>
      <c r="AE87" s="134">
        <v>15006.925760705422</v>
      </c>
      <c r="AF87" s="132">
        <v>10913.384524303354</v>
      </c>
      <c r="AG87" s="133">
        <v>13119.831354953907</v>
      </c>
      <c r="AH87" s="133">
        <v>20253.307683350464</v>
      </c>
      <c r="AI87" s="134">
        <v>11360.07383547877</v>
      </c>
      <c r="AJ87" s="132">
        <v>7885.0786187044914</v>
      </c>
      <c r="AK87" s="133">
        <v>16492.882407731864</v>
      </c>
      <c r="AL87" s="133">
        <v>16023.159205975062</v>
      </c>
      <c r="AM87" s="134">
        <v>10817.318031539176</v>
      </c>
      <c r="AN87" s="132">
        <v>10386.210081359875</v>
      </c>
      <c r="AO87" s="133">
        <v>12826.461429316261</v>
      </c>
      <c r="AP87" s="133">
        <v>16309.39990546479</v>
      </c>
      <c r="AQ87" s="134">
        <v>13032.031398474703</v>
      </c>
      <c r="AR87" s="132">
        <v>12894.932404387077</v>
      </c>
      <c r="AS87" s="133">
        <v>14239.637395951468</v>
      </c>
      <c r="AT87" s="133">
        <v>18791.52450621446</v>
      </c>
      <c r="AU87" s="134">
        <v>14955.979929941705</v>
      </c>
      <c r="AV87" s="132">
        <v>10829.278324546336</v>
      </c>
      <c r="AW87" s="133">
        <v>14352.688668619061</v>
      </c>
      <c r="AX87" s="133">
        <v>13339.001576733712</v>
      </c>
      <c r="AY87" s="134">
        <v>14538.231177594955</v>
      </c>
      <c r="AZ87" s="132">
        <v>9056.9185203149173</v>
      </c>
      <c r="BA87" s="133">
        <v>13656.526949559084</v>
      </c>
      <c r="BB87" s="133">
        <v>15594.195410627797</v>
      </c>
      <c r="BC87" s="134">
        <v>11870.789520337725</v>
      </c>
      <c r="BD87" s="132">
        <v>12012.645353182077</v>
      </c>
      <c r="BE87" s="133">
        <v>23240.069196726501</v>
      </c>
      <c r="BF87" s="133">
        <v>29992.54658385093</v>
      </c>
      <c r="BG87" s="134">
        <v>22493.309158223678</v>
      </c>
      <c r="BH87" s="132">
        <v>13818.709746788962</v>
      </c>
      <c r="BI87" s="133">
        <v>24232.257789068091</v>
      </c>
      <c r="BJ87" s="133">
        <v>32708.93885067337</v>
      </c>
      <c r="BK87" s="134">
        <v>19417.263034905798</v>
      </c>
      <c r="BL87" s="132">
        <v>13532.080878840949</v>
      </c>
      <c r="BM87" s="133">
        <v>20017.103762827825</v>
      </c>
      <c r="BN87" s="133">
        <v>25848.03642572567</v>
      </c>
      <c r="BO87" s="134">
        <v>16454.329518462535</v>
      </c>
      <c r="BP87" s="132">
        <v>12236.374216072929</v>
      </c>
      <c r="BQ87" s="133">
        <v>19711.08410962603</v>
      </c>
      <c r="BR87" s="133">
        <v>25947.229551451186</v>
      </c>
      <c r="BS87" s="134">
        <v>15993.547736667</v>
      </c>
      <c r="BT87" s="133">
        <v>11222.119317743305</v>
      </c>
      <c r="BU87" s="133"/>
      <c r="BV87" s="57"/>
      <c r="BW87" s="58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</row>
    <row r="88" spans="1:90" x14ac:dyDescent="0.25">
      <c r="A88" s="9"/>
      <c r="B88" s="9"/>
      <c r="C88" s="3" t="s">
        <v>12</v>
      </c>
      <c r="D88" s="3"/>
      <c r="E88" s="3"/>
      <c r="F88" s="20"/>
      <c r="G88" s="20"/>
      <c r="H88" s="132">
        <v>10116.312578103136</v>
      </c>
      <c r="I88" s="133">
        <v>13132.394948277539</v>
      </c>
      <c r="J88" s="133">
        <v>15669.384362010573</v>
      </c>
      <c r="K88" s="134">
        <v>11705.895953757226</v>
      </c>
      <c r="L88" s="132">
        <v>14012.952650492171</v>
      </c>
      <c r="M88" s="133">
        <v>15659.596462300209</v>
      </c>
      <c r="N88" s="133">
        <v>17369.158262003537</v>
      </c>
      <c r="O88" s="134">
        <v>12219.176209175774</v>
      </c>
      <c r="P88" s="132">
        <v>10209.817955028242</v>
      </c>
      <c r="Q88" s="133">
        <v>11780.895630058483</v>
      </c>
      <c r="R88" s="133">
        <v>15760.672984772656</v>
      </c>
      <c r="S88" s="134">
        <v>11130.753280307054</v>
      </c>
      <c r="T88" s="132">
        <v>10623.053616853351</v>
      </c>
      <c r="U88" s="133">
        <v>14565.879903486924</v>
      </c>
      <c r="V88" s="133">
        <v>18952.924884502187</v>
      </c>
      <c r="W88" s="134">
        <v>17994.31484665813</v>
      </c>
      <c r="X88" s="132">
        <v>12533.132752961035</v>
      </c>
      <c r="Y88" s="133">
        <v>25132.571377746157</v>
      </c>
      <c r="Z88" s="133">
        <v>28507.17689294949</v>
      </c>
      <c r="AA88" s="134">
        <v>25246.286050618008</v>
      </c>
      <c r="AB88" s="132">
        <v>18767.965417596803</v>
      </c>
      <c r="AC88" s="133">
        <v>18148.484468223454</v>
      </c>
      <c r="AD88" s="133">
        <v>33744.039288946457</v>
      </c>
      <c r="AE88" s="134">
        <v>13165.47187169117</v>
      </c>
      <c r="AF88" s="132">
        <v>11599.385727013672</v>
      </c>
      <c r="AG88" s="133">
        <v>12978.271246875905</v>
      </c>
      <c r="AH88" s="133">
        <v>19661.126808272715</v>
      </c>
      <c r="AI88" s="134">
        <v>12010.954643113075</v>
      </c>
      <c r="AJ88" s="132">
        <v>8412.1319370141373</v>
      </c>
      <c r="AK88" s="133">
        <v>14613.523575058929</v>
      </c>
      <c r="AL88" s="133">
        <v>17444.661113280701</v>
      </c>
      <c r="AM88" s="134">
        <v>12443.34999958074</v>
      </c>
      <c r="AN88" s="132">
        <v>10222.80005845268</v>
      </c>
      <c r="AO88" s="133">
        <v>11588.422439710204</v>
      </c>
      <c r="AP88" s="133">
        <v>16287.635270927247</v>
      </c>
      <c r="AQ88" s="134">
        <v>10975.844997359891</v>
      </c>
      <c r="AR88" s="132">
        <v>11610.232825580941</v>
      </c>
      <c r="AS88" s="133">
        <v>12343.292343954992</v>
      </c>
      <c r="AT88" s="133">
        <v>17874.724560347804</v>
      </c>
      <c r="AU88" s="134">
        <v>13815.125180060135</v>
      </c>
      <c r="AV88" s="132">
        <v>11315.799346485855</v>
      </c>
      <c r="AW88" s="133">
        <v>12310.165680231012</v>
      </c>
      <c r="AX88" s="133">
        <v>12548.704416453189</v>
      </c>
      <c r="AY88" s="134">
        <v>11971.015775482652</v>
      </c>
      <c r="AZ88" s="132">
        <v>8819.9893251464528</v>
      </c>
      <c r="BA88" s="133">
        <v>9936.3930162530214</v>
      </c>
      <c r="BB88" s="133">
        <v>14986.722586069605</v>
      </c>
      <c r="BC88" s="134">
        <v>10985.483540348581</v>
      </c>
      <c r="BD88" s="132">
        <v>10361.901180761066</v>
      </c>
      <c r="BE88" s="133">
        <v>15147.688949722457</v>
      </c>
      <c r="BF88" s="133">
        <v>30672.002812609873</v>
      </c>
      <c r="BG88" s="134">
        <v>16949.317156855923</v>
      </c>
      <c r="BH88" s="132">
        <v>11910.434651762303</v>
      </c>
      <c r="BI88" s="133">
        <v>19195.503207420294</v>
      </c>
      <c r="BJ88" s="133">
        <v>36279.973596430289</v>
      </c>
      <c r="BK88" s="134">
        <v>19395.355630203008</v>
      </c>
      <c r="BL88" s="132">
        <v>14694.316191689222</v>
      </c>
      <c r="BM88" s="133">
        <v>19357.183580387686</v>
      </c>
      <c r="BN88" s="133">
        <v>26502.561183836082</v>
      </c>
      <c r="BO88" s="134">
        <v>16143.381559058518</v>
      </c>
      <c r="BP88" s="132">
        <v>13038.081075838882</v>
      </c>
      <c r="BQ88" s="133">
        <v>19592.277575266642</v>
      </c>
      <c r="BR88" s="133">
        <v>25972.295514511872</v>
      </c>
      <c r="BS88" s="134">
        <v>16051.01320697651</v>
      </c>
      <c r="BT88" s="133">
        <v>12046.384193872038</v>
      </c>
      <c r="BU88" s="133"/>
      <c r="BV88" s="57"/>
      <c r="BW88" s="58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</row>
    <row r="89" spans="1:90" x14ac:dyDescent="0.25">
      <c r="A89" s="9"/>
      <c r="B89" s="9"/>
      <c r="C89" s="3" t="s">
        <v>13</v>
      </c>
      <c r="D89" s="3"/>
      <c r="E89" s="3"/>
      <c r="F89" s="20"/>
      <c r="G89" s="20"/>
      <c r="H89" s="132">
        <v>6988.8304652661091</v>
      </c>
      <c r="I89" s="133">
        <v>10989.742693148459</v>
      </c>
      <c r="J89" s="133">
        <v>11550.176550369008</v>
      </c>
      <c r="K89" s="134">
        <v>10380.005505092211</v>
      </c>
      <c r="L89" s="132">
        <v>11724.088644899221</v>
      </c>
      <c r="M89" s="133">
        <v>14173.206428596306</v>
      </c>
      <c r="N89" s="133">
        <v>14646.95068557808</v>
      </c>
      <c r="O89" s="134">
        <v>10304.603399048216</v>
      </c>
      <c r="P89" s="132">
        <v>9033.2199233157462</v>
      </c>
      <c r="Q89" s="133">
        <v>10141.333912409777</v>
      </c>
      <c r="R89" s="133">
        <v>11701.007347460332</v>
      </c>
      <c r="S89" s="134">
        <v>9027.8496671902558</v>
      </c>
      <c r="T89" s="132">
        <v>6055.2276319706871</v>
      </c>
      <c r="U89" s="133">
        <v>13641.379981320049</v>
      </c>
      <c r="V89" s="133">
        <v>15320.3091120401</v>
      </c>
      <c r="W89" s="134">
        <v>14091.140523386448</v>
      </c>
      <c r="X89" s="132">
        <v>7149.8132989463229</v>
      </c>
      <c r="Y89" s="133">
        <v>22880.83763904274</v>
      </c>
      <c r="Z89" s="133">
        <v>26123.341297745636</v>
      </c>
      <c r="AA89" s="134">
        <v>23968.722778104766</v>
      </c>
      <c r="AB89" s="132">
        <v>15555.368771729327</v>
      </c>
      <c r="AC89" s="133">
        <v>19809.333896120192</v>
      </c>
      <c r="AD89" s="133">
        <v>28711.120094240454</v>
      </c>
      <c r="AE89" s="134">
        <v>14154.428841714256</v>
      </c>
      <c r="AF89" s="132">
        <v>10369.377813095833</v>
      </c>
      <c r="AG89" s="133">
        <v>13008.995714351362</v>
      </c>
      <c r="AH89" s="133">
        <v>21235.204518027524</v>
      </c>
      <c r="AI89" s="134">
        <v>9959.6223524979705</v>
      </c>
      <c r="AJ89" s="132">
        <v>6512.8001060495599</v>
      </c>
      <c r="AK89" s="133">
        <v>17322.126083063038</v>
      </c>
      <c r="AL89" s="133">
        <v>15816.962729085884</v>
      </c>
      <c r="AM89" s="134">
        <v>10494.042038620468</v>
      </c>
      <c r="AN89" s="132">
        <v>9639.1881450308101</v>
      </c>
      <c r="AO89" s="133">
        <v>12480.538269785973</v>
      </c>
      <c r="AP89" s="133">
        <v>17594.774946129666</v>
      </c>
      <c r="AQ89" s="134">
        <v>13456.199187960106</v>
      </c>
      <c r="AR89" s="132">
        <v>12646.990384508539</v>
      </c>
      <c r="AS89" s="133">
        <v>15083.136539844198</v>
      </c>
      <c r="AT89" s="133">
        <v>19073.843201794134</v>
      </c>
      <c r="AU89" s="134">
        <v>14897.090357155517</v>
      </c>
      <c r="AV89" s="132">
        <v>10775.387921285048</v>
      </c>
      <c r="AW89" s="133">
        <v>15262.368981547854</v>
      </c>
      <c r="AX89" s="133">
        <v>13172.761296506906</v>
      </c>
      <c r="AY89" s="134">
        <v>13995.364217279546</v>
      </c>
      <c r="AZ89" s="132">
        <v>7337.6827385669085</v>
      </c>
      <c r="BA89" s="133">
        <v>14315.092056103829</v>
      </c>
      <c r="BB89" s="133">
        <v>14432.4615112498</v>
      </c>
      <c r="BC89" s="134">
        <v>12862.235113738352</v>
      </c>
      <c r="BD89" s="132">
        <v>10537.427034944549</v>
      </c>
      <c r="BE89" s="133">
        <v>21780.312432118371</v>
      </c>
      <c r="BF89" s="133">
        <v>26271.744990038675</v>
      </c>
      <c r="BG89" s="134">
        <v>18878.711419421605</v>
      </c>
      <c r="BH89" s="132">
        <v>12050.309708006367</v>
      </c>
      <c r="BI89" s="133">
        <v>23048.116641227894</v>
      </c>
      <c r="BJ89" s="133">
        <v>26692.179864827089</v>
      </c>
      <c r="BK89" s="134">
        <v>18244.486636483132</v>
      </c>
      <c r="BL89" s="132">
        <v>12196.306320649577</v>
      </c>
      <c r="BM89" s="133">
        <v>19023.660205245153</v>
      </c>
      <c r="BN89" s="133">
        <v>25018.497438816165</v>
      </c>
      <c r="BO89" s="134">
        <v>14894.191319369464</v>
      </c>
      <c r="BP89" s="132">
        <v>10590.935540182323</v>
      </c>
      <c r="BQ89" s="133">
        <v>18319.157553665453</v>
      </c>
      <c r="BR89" s="133">
        <v>24336.411609498678</v>
      </c>
      <c r="BS89" s="134">
        <v>14721.242060691604</v>
      </c>
      <c r="BT89" s="133">
        <v>9635.7181446322447</v>
      </c>
      <c r="BU89" s="133"/>
      <c r="BV89" s="57"/>
      <c r="BW89" s="58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</row>
    <row r="90" spans="1:90" x14ac:dyDescent="0.25">
      <c r="A90" s="9"/>
      <c r="B90" s="9"/>
      <c r="C90" s="3" t="s">
        <v>14</v>
      </c>
      <c r="D90" s="3"/>
      <c r="E90" s="3"/>
      <c r="F90" s="20"/>
      <c r="G90" s="20"/>
      <c r="H90" s="132">
        <v>9919.2610835882315</v>
      </c>
      <c r="I90" s="133">
        <v>11692.745993405917</v>
      </c>
      <c r="J90" s="133">
        <v>12257.789770679701</v>
      </c>
      <c r="K90" s="134">
        <v>11268.088310995026</v>
      </c>
      <c r="L90" s="132">
        <v>13179.324922055346</v>
      </c>
      <c r="M90" s="133">
        <v>15235.212873897479</v>
      </c>
      <c r="N90" s="133">
        <v>15590.177399757351</v>
      </c>
      <c r="O90" s="134">
        <v>11187.23508220819</v>
      </c>
      <c r="P90" s="132">
        <v>10824.143087419639</v>
      </c>
      <c r="Q90" s="133">
        <v>10456.743299707407</v>
      </c>
      <c r="R90" s="133">
        <v>12016.647781748454</v>
      </c>
      <c r="S90" s="134">
        <v>9521.796811797105</v>
      </c>
      <c r="T90" s="132">
        <v>15174.504065567922</v>
      </c>
      <c r="U90" s="133">
        <v>10983.951259130996</v>
      </c>
      <c r="V90" s="133">
        <v>9712.8146329327537</v>
      </c>
      <c r="W90" s="134">
        <v>9908.5287337975878</v>
      </c>
      <c r="X90" s="132">
        <v>14497.624897624897</v>
      </c>
      <c r="Y90" s="133">
        <v>13935.026737967917</v>
      </c>
      <c r="Z90" s="133"/>
      <c r="AA90" s="134"/>
      <c r="AB90" s="132">
        <v>15176.94629921321</v>
      </c>
      <c r="AC90" s="133">
        <v>15394.300914173948</v>
      </c>
      <c r="AD90" s="133">
        <v>12553.796965685775</v>
      </c>
      <c r="AE90" s="134">
        <v>10808.548639266501</v>
      </c>
      <c r="AF90" s="132">
        <v>10578.177942230295</v>
      </c>
      <c r="AG90" s="133">
        <v>10939.069256265882</v>
      </c>
      <c r="AH90" s="133"/>
      <c r="AI90" s="134">
        <v>10659.09454487282</v>
      </c>
      <c r="AJ90" s="132">
        <v>12816.927747831647</v>
      </c>
      <c r="AK90" s="133">
        <v>14732.258367967643</v>
      </c>
      <c r="AL90" s="133">
        <v>13528.673138131642</v>
      </c>
      <c r="AM90" s="134">
        <v>10078.397792951424</v>
      </c>
      <c r="AN90" s="132">
        <v>10793.298682886449</v>
      </c>
      <c r="AO90" s="133">
        <v>10884.649170678595</v>
      </c>
      <c r="AP90" s="133">
        <v>14207.557699884348</v>
      </c>
      <c r="AQ90" s="134">
        <v>12897.82393223172</v>
      </c>
      <c r="AR90" s="132">
        <v>11543.916375924828</v>
      </c>
      <c r="AS90" s="133">
        <v>12986.951466546503</v>
      </c>
      <c r="AT90" s="133">
        <v>14673.869593761001</v>
      </c>
      <c r="AU90" s="134">
        <v>10822.152774538614</v>
      </c>
      <c r="AV90" s="132">
        <v>10310.828308473498</v>
      </c>
      <c r="AW90" s="133">
        <v>12499.903648342492</v>
      </c>
      <c r="AX90" s="133">
        <v>11849.182248187302</v>
      </c>
      <c r="AY90" s="134">
        <v>12600.077373360638</v>
      </c>
      <c r="AZ90" s="132">
        <v>10205.672842039674</v>
      </c>
      <c r="BA90" s="133">
        <v>13119.969764036548</v>
      </c>
      <c r="BB90" s="133">
        <v>12947.912033887447</v>
      </c>
      <c r="BC90" s="134">
        <v>14015.876778914813</v>
      </c>
      <c r="BD90" s="132">
        <v>12001.278989966053</v>
      </c>
      <c r="BE90" s="133">
        <v>15260.763363266267</v>
      </c>
      <c r="BF90" s="133">
        <v>14665.106199429007</v>
      </c>
      <c r="BG90" s="134">
        <v>12860.211987129651</v>
      </c>
      <c r="BH90" s="132">
        <v>14516.102613644196</v>
      </c>
      <c r="BI90" s="133">
        <v>17192.695598214006</v>
      </c>
      <c r="BJ90" s="133">
        <v>20159.742237172693</v>
      </c>
      <c r="BK90" s="134">
        <v>0</v>
      </c>
      <c r="BL90" s="132">
        <v>0</v>
      </c>
      <c r="BM90" s="133">
        <v>0</v>
      </c>
      <c r="BN90" s="133">
        <v>0</v>
      </c>
      <c r="BO90" s="134">
        <v>0</v>
      </c>
      <c r="BP90" s="132">
        <v>0</v>
      </c>
      <c r="BQ90" s="133">
        <v>0</v>
      </c>
      <c r="BR90" s="133">
        <v>0</v>
      </c>
      <c r="BS90" s="134">
        <v>0</v>
      </c>
      <c r="BT90" s="133">
        <v>0</v>
      </c>
      <c r="BU90" s="133"/>
      <c r="BV90" s="57"/>
      <c r="BW90" s="58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</row>
    <row r="91" spans="1:90" x14ac:dyDescent="0.25">
      <c r="A91" s="9"/>
      <c r="B91" s="9"/>
      <c r="C91" s="3" t="s">
        <v>15</v>
      </c>
      <c r="D91" s="3"/>
      <c r="E91" s="3"/>
      <c r="F91" s="20"/>
      <c r="G91" s="20"/>
      <c r="H91" s="132">
        <v>9353.8185717074939</v>
      </c>
      <c r="I91" s="133">
        <v>10153.616086484972</v>
      </c>
      <c r="J91" s="133">
        <v>11706.82218374337</v>
      </c>
      <c r="K91" s="134">
        <v>9956.4831938380594</v>
      </c>
      <c r="L91" s="132">
        <v>12262.521729860036</v>
      </c>
      <c r="M91" s="133">
        <v>13882.976279879842</v>
      </c>
      <c r="N91" s="133">
        <v>14023.046535114219</v>
      </c>
      <c r="O91" s="134">
        <v>9922.7368551190775</v>
      </c>
      <c r="P91" s="132">
        <v>9999.5867438192981</v>
      </c>
      <c r="Q91" s="133">
        <v>9955.9979630102807</v>
      </c>
      <c r="R91" s="133">
        <v>12378.994160202214</v>
      </c>
      <c r="S91" s="134">
        <v>9371.1166911273303</v>
      </c>
      <c r="T91" s="132">
        <v>15648.673134361201</v>
      </c>
      <c r="U91" s="133">
        <v>9970.2232712190289</v>
      </c>
      <c r="V91" s="133">
        <v>9548.9936641200802</v>
      </c>
      <c r="W91" s="134">
        <v>9531.043223832703</v>
      </c>
      <c r="X91" s="132">
        <v>13792.579511329512</v>
      </c>
      <c r="Y91" s="133">
        <v>12340.499108734404</v>
      </c>
      <c r="Z91" s="133"/>
      <c r="AA91" s="134"/>
      <c r="AB91" s="132">
        <v>15172.172545394405</v>
      </c>
      <c r="AC91" s="133">
        <v>14075.400393390662</v>
      </c>
      <c r="AD91" s="133">
        <v>12592.863139078394</v>
      </c>
      <c r="AE91" s="134">
        <v>11111.482099795958</v>
      </c>
      <c r="AF91" s="132">
        <v>10337.045984108601</v>
      </c>
      <c r="AG91" s="133">
        <v>10958.608582034931</v>
      </c>
      <c r="AH91" s="133"/>
      <c r="AI91" s="134">
        <v>10552.631578947368</v>
      </c>
      <c r="AJ91" s="132">
        <v>11106.219984373645</v>
      </c>
      <c r="AK91" s="133">
        <v>11116.423800547425</v>
      </c>
      <c r="AL91" s="133">
        <v>12676.749728674282</v>
      </c>
      <c r="AM91" s="134">
        <v>9387.1986424114184</v>
      </c>
      <c r="AN91" s="132">
        <v>10256.427682683205</v>
      </c>
      <c r="AO91" s="133">
        <v>10424.968537993085</v>
      </c>
      <c r="AP91" s="133">
        <v>12433.329197539495</v>
      </c>
      <c r="AQ91" s="134">
        <v>10917.501060463163</v>
      </c>
      <c r="AR91" s="132">
        <v>11095.484833518869</v>
      </c>
      <c r="AS91" s="133">
        <v>11341.425714036719</v>
      </c>
      <c r="AT91" s="133">
        <v>13005.245364042028</v>
      </c>
      <c r="AU91" s="134">
        <v>9640.9907178506473</v>
      </c>
      <c r="AV91" s="132">
        <v>9763.4846080609314</v>
      </c>
      <c r="AW91" s="133">
        <v>11009.187260748418</v>
      </c>
      <c r="AX91" s="133">
        <v>11214.901420006619</v>
      </c>
      <c r="AY91" s="134">
        <v>10854.687107313393</v>
      </c>
      <c r="AZ91" s="132">
        <v>9624.008481017614</v>
      </c>
      <c r="BA91" s="133">
        <v>11364.988952057774</v>
      </c>
      <c r="BB91" s="133">
        <v>12642.438924728243</v>
      </c>
      <c r="BC91" s="134">
        <v>10305.716729697328</v>
      </c>
      <c r="BD91" s="132">
        <v>11148.649371144726</v>
      </c>
      <c r="BE91" s="133">
        <v>13788.480475007716</v>
      </c>
      <c r="BF91" s="133">
        <v>15243.432998691722</v>
      </c>
      <c r="BG91" s="134">
        <v>11551.762657877358</v>
      </c>
      <c r="BH91" s="132">
        <v>13967.636889074369</v>
      </c>
      <c r="BI91" s="133">
        <v>14035.377703197822</v>
      </c>
      <c r="BJ91" s="133">
        <v>16786.669108044061</v>
      </c>
      <c r="BK91" s="134">
        <v>12903.4222384606</v>
      </c>
      <c r="BL91" s="132">
        <v>13709.192870018023</v>
      </c>
      <c r="BM91" s="133">
        <v>13298.004284586763</v>
      </c>
      <c r="BN91" s="133">
        <v>16412.345930528678</v>
      </c>
      <c r="BO91" s="134">
        <v>11045.091376618608</v>
      </c>
      <c r="BP91" s="132">
        <v>12457.361052184982</v>
      </c>
      <c r="BQ91" s="133">
        <v>12387.345197210949</v>
      </c>
      <c r="BR91" s="133">
        <v>16044.654027523819</v>
      </c>
      <c r="BS91" s="134">
        <v>10984.77598956068</v>
      </c>
      <c r="BT91" s="133">
        <v>13115.442106473498</v>
      </c>
      <c r="BU91" s="133"/>
      <c r="BV91" s="57"/>
      <c r="BW91" s="58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</row>
    <row r="92" spans="1:90" x14ac:dyDescent="0.25">
      <c r="A92" s="9"/>
      <c r="B92" s="9"/>
      <c r="C92" s="3" t="s">
        <v>16</v>
      </c>
      <c r="D92" s="3"/>
      <c r="E92" s="3"/>
      <c r="F92" s="20"/>
      <c r="G92" s="20"/>
      <c r="H92" s="132">
        <v>10982.938058617096</v>
      </c>
      <c r="I92" s="133">
        <v>10174.009022248962</v>
      </c>
      <c r="J92" s="133">
        <v>29164.820142048087</v>
      </c>
      <c r="K92" s="134">
        <v>9432.3273150178265</v>
      </c>
      <c r="L92" s="132">
        <v>10394.117264939096</v>
      </c>
      <c r="M92" s="133">
        <v>16411.090993704463</v>
      </c>
      <c r="N92" s="133">
        <v>14471.794025551042</v>
      </c>
      <c r="O92" s="134">
        <v>9271.632096097017</v>
      </c>
      <c r="P92" s="132">
        <v>8680.5794528427596</v>
      </c>
      <c r="Q92" s="133">
        <v>10303.891873994549</v>
      </c>
      <c r="R92" s="133">
        <v>12146.439466573696</v>
      </c>
      <c r="S92" s="134">
        <v>10060.828687082892</v>
      </c>
      <c r="T92" s="132">
        <v>11115.729144348796</v>
      </c>
      <c r="U92" s="133">
        <v>10090.39167728579</v>
      </c>
      <c r="V92" s="133">
        <v>11239.827877614978</v>
      </c>
      <c r="W92" s="134">
        <v>9506.2500576205402</v>
      </c>
      <c r="X92" s="132">
        <v>9799.1242053742062</v>
      </c>
      <c r="Y92" s="133">
        <v>11094.046345811052</v>
      </c>
      <c r="Z92" s="133"/>
      <c r="AA92" s="134"/>
      <c r="AB92" s="132">
        <v>11203.722050060016</v>
      </c>
      <c r="AC92" s="133">
        <v>12850.887183036113</v>
      </c>
      <c r="AD92" s="133">
        <v>12097.94872665151</v>
      </c>
      <c r="AE92" s="134">
        <v>10134.615894215229</v>
      </c>
      <c r="AF92" s="132">
        <v>10326.922314213476</v>
      </c>
      <c r="AG92" s="133">
        <v>12614.08023562469</v>
      </c>
      <c r="AH92" s="133"/>
      <c r="AI92" s="134">
        <v>10222.859615188841</v>
      </c>
      <c r="AJ92" s="132">
        <v>11406.881800029993</v>
      </c>
      <c r="AK92" s="133">
        <v>12901.485590482302</v>
      </c>
      <c r="AL92" s="133">
        <v>20957.813939232128</v>
      </c>
      <c r="AM92" s="134">
        <v>9128.8690107212842</v>
      </c>
      <c r="AN92" s="132">
        <v>10019.643680383087</v>
      </c>
      <c r="AO92" s="133">
        <v>11716.039114145609</v>
      </c>
      <c r="AP92" s="133">
        <v>58540.590295870781</v>
      </c>
      <c r="AQ92" s="134">
        <v>12316.139233071986</v>
      </c>
      <c r="AR92" s="132">
        <v>12476.642578897303</v>
      </c>
      <c r="AS92" s="133">
        <v>15133.503663443576</v>
      </c>
      <c r="AT92" s="133">
        <v>17979.782878274189</v>
      </c>
      <c r="AU92" s="134">
        <v>11697.087861685093</v>
      </c>
      <c r="AV92" s="132">
        <v>180329.06802073412</v>
      </c>
      <c r="AW92" s="133">
        <v>15392.3074919924</v>
      </c>
      <c r="AX92" s="133">
        <v>12339.500284199026</v>
      </c>
      <c r="AY92" s="134">
        <v>11151.327970700266</v>
      </c>
      <c r="AZ92" s="132">
        <v>9704.2587022202715</v>
      </c>
      <c r="BA92" s="133">
        <v>14817.717432182186</v>
      </c>
      <c r="BB92" s="133">
        <v>16271.200921269077</v>
      </c>
      <c r="BC92" s="134">
        <v>10545.536708968337</v>
      </c>
      <c r="BD92" s="132">
        <v>11211.061627164865</v>
      </c>
      <c r="BE92" s="133">
        <v>30242.996986177564</v>
      </c>
      <c r="BF92" s="133">
        <v>74102.118329616409</v>
      </c>
      <c r="BG92" s="134">
        <v>13050.717967103728</v>
      </c>
      <c r="BH92" s="132">
        <v>15435.244751364209</v>
      </c>
      <c r="BI92" s="133">
        <v>21810.288342763626</v>
      </c>
      <c r="BJ92" s="133">
        <v>21495.302210304591</v>
      </c>
      <c r="BK92" s="134">
        <v>16986.968700523685</v>
      </c>
      <c r="BL92" s="132">
        <v>17158.021229721609</v>
      </c>
      <c r="BM92" s="133">
        <v>18030.217611906643</v>
      </c>
      <c r="BN92" s="133">
        <v>25180.808801059382</v>
      </c>
      <c r="BO92" s="134">
        <v>13312.51721921205</v>
      </c>
      <c r="BP92" s="132">
        <v>16088.247772592278</v>
      </c>
      <c r="BQ92" s="133">
        <v>15752.939952128216</v>
      </c>
      <c r="BR92" s="133">
        <v>23154.653065152539</v>
      </c>
      <c r="BS92" s="134">
        <v>11899.086559373642</v>
      </c>
      <c r="BT92" s="133">
        <v>16445.325974473955</v>
      </c>
      <c r="BU92" s="133"/>
      <c r="BV92" s="57"/>
      <c r="BW92" s="58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</row>
    <row r="93" spans="1:90" x14ac:dyDescent="0.25">
      <c r="A93" s="9"/>
      <c r="B93" s="9"/>
      <c r="C93" s="3" t="s">
        <v>17</v>
      </c>
      <c r="D93" s="3"/>
      <c r="E93" s="3"/>
      <c r="F93" s="20"/>
      <c r="G93" s="20"/>
      <c r="H93" s="132">
        <v>11258.397063398308</v>
      </c>
      <c r="I93" s="133">
        <v>9699.1491999051887</v>
      </c>
      <c r="J93" s="133">
        <v>29404.778772396181</v>
      </c>
      <c r="K93" s="134">
        <v>9173.7526453261144</v>
      </c>
      <c r="L93" s="132">
        <v>10331.584066002208</v>
      </c>
      <c r="M93" s="133">
        <v>16171.177437523969</v>
      </c>
      <c r="N93" s="133">
        <v>14549.574756774377</v>
      </c>
      <c r="O93" s="134">
        <v>9290.9446595811132</v>
      </c>
      <c r="P93" s="132">
        <v>8704.8825685581032</v>
      </c>
      <c r="Q93" s="133">
        <v>9835.5238770464366</v>
      </c>
      <c r="R93" s="133">
        <v>11664.847903774078</v>
      </c>
      <c r="S93" s="134">
        <v>9330.5488331506913</v>
      </c>
      <c r="T93" s="132">
        <v>11277.709430889978</v>
      </c>
      <c r="U93" s="133">
        <v>9510.0208376786359</v>
      </c>
      <c r="V93" s="133">
        <v>10792.46257808474</v>
      </c>
      <c r="W93" s="134">
        <v>9643.6925441477197</v>
      </c>
      <c r="X93" s="132">
        <v>9785.8863733863745</v>
      </c>
      <c r="Y93" s="133">
        <v>10656.244800950684</v>
      </c>
      <c r="Z93" s="133"/>
      <c r="AA93" s="134"/>
      <c r="AB93" s="132">
        <v>10910.756839461012</v>
      </c>
      <c r="AC93" s="133">
        <v>11803.242905440908</v>
      </c>
      <c r="AD93" s="133">
        <v>10832.367489167204</v>
      </c>
      <c r="AE93" s="134">
        <v>8986.6709065373507</v>
      </c>
      <c r="AF93" s="132">
        <v>8049.2367530342863</v>
      </c>
      <c r="AG93" s="133">
        <v>8874.3758152583596</v>
      </c>
      <c r="AH93" s="133"/>
      <c r="AI93" s="134">
        <v>8127.0996640537514</v>
      </c>
      <c r="AJ93" s="132">
        <v>11192.87572311359</v>
      </c>
      <c r="AK93" s="133">
        <v>12953.961561772006</v>
      </c>
      <c r="AL93" s="133">
        <v>20873.683592108271</v>
      </c>
      <c r="AM93" s="134">
        <v>8988.1327517385143</v>
      </c>
      <c r="AN93" s="132">
        <v>9759.2869641945381</v>
      </c>
      <c r="AO93" s="133">
        <v>11065.627708132519</v>
      </c>
      <c r="AP93" s="133">
        <v>58477.209371782992</v>
      </c>
      <c r="AQ93" s="134">
        <v>11794.281263149735</v>
      </c>
      <c r="AR93" s="132">
        <v>12238.114825689878</v>
      </c>
      <c r="AS93" s="133">
        <v>14142.476177520253</v>
      </c>
      <c r="AT93" s="133">
        <v>17246.790271069149</v>
      </c>
      <c r="AU93" s="134">
        <v>10840.269291167189</v>
      </c>
      <c r="AV93" s="132">
        <v>179952.35163440171</v>
      </c>
      <c r="AW93" s="133">
        <v>13658.8630504414</v>
      </c>
      <c r="AX93" s="133">
        <v>12139.252126550116</v>
      </c>
      <c r="AY93" s="134">
        <v>10528.06362509362</v>
      </c>
      <c r="AZ93" s="132">
        <v>9239.2161998323008</v>
      </c>
      <c r="BA93" s="133">
        <v>11172.431395827001</v>
      </c>
      <c r="BB93" s="133">
        <v>16418.953325707687</v>
      </c>
      <c r="BC93" s="134">
        <v>9925.7599437736662</v>
      </c>
      <c r="BD93" s="132">
        <v>10679.348940520529</v>
      </c>
      <c r="BE93" s="133">
        <v>27965.614453283648</v>
      </c>
      <c r="BF93" s="133">
        <v>73439.043054163267</v>
      </c>
      <c r="BG93" s="134">
        <v>12495.00906845911</v>
      </c>
      <c r="BH93" s="132">
        <v>15356.875802842826</v>
      </c>
      <c r="BI93" s="133">
        <v>19323.217484432902</v>
      </c>
      <c r="BJ93" s="133">
        <v>20828.836293503427</v>
      </c>
      <c r="BK93" s="134">
        <v>14040.92071611253</v>
      </c>
      <c r="BL93" s="132">
        <v>17063.889445223311</v>
      </c>
      <c r="BM93" s="133">
        <v>15679.332506483255</v>
      </c>
      <c r="BN93" s="133">
        <v>25256.188244881327</v>
      </c>
      <c r="BO93" s="134">
        <v>11711.819267150335</v>
      </c>
      <c r="BP93" s="132">
        <v>15820.958845990668</v>
      </c>
      <c r="BQ93" s="133">
        <v>14331.356020397547</v>
      </c>
      <c r="BR93" s="133">
        <v>22609.950919064573</v>
      </c>
      <c r="BS93" s="134">
        <v>10575.032622879513</v>
      </c>
      <c r="BT93" s="133">
        <v>17084.626882833159</v>
      </c>
      <c r="BU93" s="133"/>
      <c r="BV93" s="57"/>
      <c r="BW93" s="58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</row>
    <row r="94" spans="1:90" x14ac:dyDescent="0.25">
      <c r="A94" s="9"/>
      <c r="B94" s="9"/>
      <c r="C94" s="3" t="s">
        <v>18</v>
      </c>
      <c r="D94" s="3"/>
      <c r="E94" s="3"/>
      <c r="F94" s="20"/>
      <c r="G94" s="20"/>
      <c r="H94" s="132">
        <v>11600.390545003029</v>
      </c>
      <c r="I94" s="133">
        <v>9826.6707974119217</v>
      </c>
      <c r="J94" s="133">
        <v>28635.455850955412</v>
      </c>
      <c r="K94" s="134">
        <v>9459.3048750262169</v>
      </c>
      <c r="L94" s="132">
        <v>10520.946450600448</v>
      </c>
      <c r="M94" s="133">
        <v>16072.269702852698</v>
      </c>
      <c r="N94" s="133">
        <v>14182.947187637983</v>
      </c>
      <c r="O94" s="134">
        <v>9592.9272157985706</v>
      </c>
      <c r="P94" s="132">
        <v>8617.8358739436062</v>
      </c>
      <c r="Q94" s="133">
        <v>10071.582193974684</v>
      </c>
      <c r="R94" s="133">
        <v>11836.049856184085</v>
      </c>
      <c r="S94" s="134">
        <v>9744.8083584576816</v>
      </c>
      <c r="T94" s="132">
        <v>11105.355292766057</v>
      </c>
      <c r="U94" s="133">
        <v>9663.5539866064573</v>
      </c>
      <c r="V94" s="133">
        <v>11040.920225186916</v>
      </c>
      <c r="W94" s="134">
        <v>9590.7895947722209</v>
      </c>
      <c r="X94" s="132">
        <v>9745.4462579462579</v>
      </c>
      <c r="Y94" s="133">
        <v>10973.850267379679</v>
      </c>
      <c r="Z94" s="133"/>
      <c r="AA94" s="134"/>
      <c r="AB94" s="132">
        <v>10978.59387986229</v>
      </c>
      <c r="AC94" s="133">
        <v>12393.265594130062</v>
      </c>
      <c r="AD94" s="133">
        <v>11175.514600233062</v>
      </c>
      <c r="AE94" s="134">
        <v>9875.9837824946317</v>
      </c>
      <c r="AF94" s="132">
        <v>8976.1937705346572</v>
      </c>
      <c r="AG94" s="133">
        <v>10500.050690771004</v>
      </c>
      <c r="AH94" s="133"/>
      <c r="AI94" s="134">
        <v>9207.1006820726871</v>
      </c>
      <c r="AJ94" s="132">
        <v>11562.42061732</v>
      </c>
      <c r="AK94" s="133">
        <v>12627.530263537059</v>
      </c>
      <c r="AL94" s="133">
        <v>20738.936930558659</v>
      </c>
      <c r="AM94" s="134">
        <v>8736.1367233769397</v>
      </c>
      <c r="AN94" s="132">
        <v>9945.9492685731857</v>
      </c>
      <c r="AO94" s="133">
        <v>10732.010109923058</v>
      </c>
      <c r="AP94" s="133">
        <v>57860.622450211609</v>
      </c>
      <c r="AQ94" s="134">
        <v>11975.567660302455</v>
      </c>
      <c r="AR94" s="132">
        <v>12180.059027077501</v>
      </c>
      <c r="AS94" s="133">
        <v>14207.994745557</v>
      </c>
      <c r="AT94" s="133">
        <v>16731.532125832917</v>
      </c>
      <c r="AU94" s="134">
        <v>11123.174277407217</v>
      </c>
      <c r="AV94" s="132">
        <v>178826.03829472122</v>
      </c>
      <c r="AW94" s="133">
        <v>13449.654956902164</v>
      </c>
      <c r="AX94" s="133">
        <v>11724.847308511635</v>
      </c>
      <c r="AY94" s="134">
        <v>10157.376724365176</v>
      </c>
      <c r="AZ94" s="132">
        <v>8485.8317564562221</v>
      </c>
      <c r="BA94" s="133">
        <v>11319.213483802967</v>
      </c>
      <c r="BB94" s="133">
        <v>15455.044565232358</v>
      </c>
      <c r="BC94" s="134">
        <v>10002.236354218518</v>
      </c>
      <c r="BD94" s="132">
        <v>10465.673184598951</v>
      </c>
      <c r="BE94" s="133">
        <v>28311.260915745712</v>
      </c>
      <c r="BF94" s="133">
        <v>70328.029888645848</v>
      </c>
      <c r="BG94" s="134">
        <v>12654.61547380083</v>
      </c>
      <c r="BH94" s="132">
        <v>14566.748618232441</v>
      </c>
      <c r="BI94" s="133">
        <v>21454.73615705155</v>
      </c>
      <c r="BJ94" s="133">
        <v>20522.825988235734</v>
      </c>
      <c r="BK94" s="134">
        <v>15339.179149920838</v>
      </c>
      <c r="BL94" s="132">
        <v>16225.716002403364</v>
      </c>
      <c r="BM94" s="133">
        <v>18075.318525200135</v>
      </c>
      <c r="BN94" s="133">
        <v>24208.006519303246</v>
      </c>
      <c r="BO94" s="134">
        <v>12902.011203967309</v>
      </c>
      <c r="BP94" s="132">
        <v>14738.226559185407</v>
      </c>
      <c r="BQ94" s="133">
        <v>15293.995212821315</v>
      </c>
      <c r="BR94" s="133">
        <v>21551.342507939564</v>
      </c>
      <c r="BS94" s="134">
        <v>11553.719008264465</v>
      </c>
      <c r="BT94" s="133">
        <v>16234.908589168679</v>
      </c>
      <c r="BU94" s="133"/>
      <c r="BV94" s="57"/>
      <c r="BW94" s="58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</row>
    <row r="95" spans="1:90" x14ac:dyDescent="0.25">
      <c r="A95" s="9"/>
      <c r="B95" s="9"/>
      <c r="C95" s="3" t="s">
        <v>19</v>
      </c>
      <c r="D95" s="3"/>
      <c r="E95" s="3"/>
      <c r="F95" s="20"/>
      <c r="G95" s="20"/>
      <c r="H95" s="132">
        <v>7868.6098854529637</v>
      </c>
      <c r="I95" s="133">
        <v>8392.7174233413043</v>
      </c>
      <c r="J95" s="133">
        <v>9952.3042151387726</v>
      </c>
      <c r="K95" s="134">
        <v>9122.2447776576009</v>
      </c>
      <c r="L95" s="132">
        <v>9104.7491220994089</v>
      </c>
      <c r="M95" s="133">
        <v>10222.712804926252</v>
      </c>
      <c r="N95" s="133">
        <v>11500.174863480081</v>
      </c>
      <c r="O95" s="134">
        <v>8278.8329905746068</v>
      </c>
      <c r="P95" s="132">
        <v>8643.4625995493971</v>
      </c>
      <c r="Q95" s="133">
        <v>9332.5599048811655</v>
      </c>
      <c r="R95" s="133">
        <v>10797.865760770217</v>
      </c>
      <c r="S95" s="134">
        <v>9162.0032917315348</v>
      </c>
      <c r="T95" s="132">
        <v>8479.6690390369695</v>
      </c>
      <c r="U95" s="133">
        <v>8774.7752575081558</v>
      </c>
      <c r="V95" s="133">
        <v>9549.2794678751925</v>
      </c>
      <c r="W95" s="134">
        <v>8945.9739702517163</v>
      </c>
      <c r="X95" s="132">
        <v>8696.9655663693447</v>
      </c>
      <c r="Y95" s="133">
        <v>9609.4443681255179</v>
      </c>
      <c r="Z95" s="133">
        <v>10739.594937650245</v>
      </c>
      <c r="AA95" s="134">
        <v>9412.2104170329621</v>
      </c>
      <c r="AB95" s="132">
        <v>9082.8495511861674</v>
      </c>
      <c r="AC95" s="133">
        <v>10487.802809183666</v>
      </c>
      <c r="AD95" s="133">
        <v>11862.554146631101</v>
      </c>
      <c r="AE95" s="134">
        <v>8154.8861550605116</v>
      </c>
      <c r="AF95" s="132">
        <v>7290.8755399766096</v>
      </c>
      <c r="AG95" s="133">
        <v>10390.687222025732</v>
      </c>
      <c r="AH95" s="133">
        <v>13376.001901993859</v>
      </c>
      <c r="AI95" s="134">
        <v>6977.6686271436956</v>
      </c>
      <c r="AJ95" s="132">
        <v>6720.0782135858635</v>
      </c>
      <c r="AK95" s="133">
        <v>8843.28628879184</v>
      </c>
      <c r="AL95" s="133">
        <v>9810.8313718183308</v>
      </c>
      <c r="AM95" s="134">
        <v>5718.1334335519105</v>
      </c>
      <c r="AN95" s="132">
        <v>5904.0529487417416</v>
      </c>
      <c r="AO95" s="133">
        <v>7242.510936667577</v>
      </c>
      <c r="AP95" s="133">
        <v>13209.203102499554</v>
      </c>
      <c r="AQ95" s="134">
        <v>7051.9509605066842</v>
      </c>
      <c r="AR95" s="132">
        <v>6598.0086684569651</v>
      </c>
      <c r="AS95" s="133">
        <v>10476.638482435732</v>
      </c>
      <c r="AT95" s="133">
        <v>36063.17980362683</v>
      </c>
      <c r="AU95" s="134">
        <v>8197.3647856378029</v>
      </c>
      <c r="AV95" s="132">
        <v>5003.9329749383905</v>
      </c>
      <c r="AW95" s="133">
        <v>18361.137844887322</v>
      </c>
      <c r="AX95" s="133">
        <v>11959.000847758</v>
      </c>
      <c r="AY95" s="134">
        <v>7508.0340561081966</v>
      </c>
      <c r="AZ95" s="132">
        <v>7718.1200979024679</v>
      </c>
      <c r="BA95" s="133">
        <v>8988.5713993097161</v>
      </c>
      <c r="BB95" s="133">
        <v>14911.317219015491</v>
      </c>
      <c r="BC95" s="134">
        <v>8116.6345156908656</v>
      </c>
      <c r="BD95" s="132">
        <v>8029.684386727904</v>
      </c>
      <c r="BE95" s="133">
        <v>10214.015143826631</v>
      </c>
      <c r="BF95" s="133">
        <v>18739.283455892873</v>
      </c>
      <c r="BG95" s="134">
        <v>8713.1922073149981</v>
      </c>
      <c r="BH95" s="132">
        <v>12475.348954675261</v>
      </c>
      <c r="BI95" s="133">
        <v>12688.439176091268</v>
      </c>
      <c r="BJ95" s="133">
        <v>30226.306892240857</v>
      </c>
      <c r="BK95" s="134">
        <v>11023.693552381739</v>
      </c>
      <c r="BL95" s="132">
        <v>8268.9973294488955</v>
      </c>
      <c r="BM95" s="133">
        <v>9676.0237448435437</v>
      </c>
      <c r="BN95" s="133">
        <v>19375.613587276657</v>
      </c>
      <c r="BO95" s="134">
        <v>9228.1293624941809</v>
      </c>
      <c r="BP95" s="132">
        <v>8104.1867437627161</v>
      </c>
      <c r="BQ95" s="133">
        <v>8286.7292103105938</v>
      </c>
      <c r="BR95" s="133">
        <v>19323.089700996679</v>
      </c>
      <c r="BS95" s="134">
        <v>9042.1286031042127</v>
      </c>
      <c r="BT95" s="133">
        <v>8180.5091956279875</v>
      </c>
      <c r="BU95" s="133"/>
      <c r="BV95" s="57"/>
      <c r="BW95" s="58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</row>
    <row r="96" spans="1:90" x14ac:dyDescent="0.25">
      <c r="A96" s="9"/>
      <c r="B96" s="9"/>
      <c r="C96" s="3" t="s">
        <v>20</v>
      </c>
      <c r="D96" s="3"/>
      <c r="E96" s="3"/>
      <c r="F96" s="20"/>
      <c r="G96" s="20"/>
      <c r="H96" s="132">
        <v>8712.8945464401313</v>
      </c>
      <c r="I96" s="133">
        <v>8386.8559380068418</v>
      </c>
      <c r="J96" s="133">
        <v>9816.3069212409246</v>
      </c>
      <c r="K96" s="134">
        <v>9336.5449057202786</v>
      </c>
      <c r="L96" s="132">
        <v>9981.816509260394</v>
      </c>
      <c r="M96" s="133">
        <v>12150.397798354581</v>
      </c>
      <c r="N96" s="133">
        <v>13493.008972111733</v>
      </c>
      <c r="O96" s="134">
        <v>10924.844724940363</v>
      </c>
      <c r="P96" s="132">
        <v>12916.99688877169</v>
      </c>
      <c r="Q96" s="133">
        <v>12553.195315001165</v>
      </c>
      <c r="R96" s="133">
        <v>12849.407790506366</v>
      </c>
      <c r="S96" s="134">
        <v>11416.580289614287</v>
      </c>
      <c r="T96" s="132">
        <v>10171.040379669532</v>
      </c>
      <c r="U96" s="133">
        <v>10586.970005725316</v>
      </c>
      <c r="V96" s="133">
        <v>11664.405309471487</v>
      </c>
      <c r="W96" s="134">
        <v>11608.230835240272</v>
      </c>
      <c r="X96" s="132">
        <v>11549.973358442174</v>
      </c>
      <c r="Y96" s="133">
        <v>11553.297355897424</v>
      </c>
      <c r="Z96" s="133">
        <v>12776.520826686661</v>
      </c>
      <c r="AA96" s="134">
        <v>12614.504056463969</v>
      </c>
      <c r="AB96" s="132">
        <v>11902.780300389613</v>
      </c>
      <c r="AC96" s="133">
        <v>11604.598249444076</v>
      </c>
      <c r="AD96" s="133">
        <v>13039.500632741525</v>
      </c>
      <c r="AE96" s="134">
        <v>11308.690715218545</v>
      </c>
      <c r="AF96" s="132">
        <v>9159.1381710595124</v>
      </c>
      <c r="AG96" s="133">
        <v>10193.268506541139</v>
      </c>
      <c r="AH96" s="133">
        <v>14630.996276224108</v>
      </c>
      <c r="AI96" s="134">
        <v>10965.672227335428</v>
      </c>
      <c r="AJ96" s="132">
        <v>9507.7642218087512</v>
      </c>
      <c r="AK96" s="133">
        <v>9544.1422590095426</v>
      </c>
      <c r="AL96" s="133">
        <v>10383.56999267943</v>
      </c>
      <c r="AM96" s="134">
        <v>8391.9739636456397</v>
      </c>
      <c r="AN96" s="132">
        <v>7892.0976917773132</v>
      </c>
      <c r="AO96" s="133">
        <v>9296.2848746507989</v>
      </c>
      <c r="AP96" s="133">
        <v>12735.446822062606</v>
      </c>
      <c r="AQ96" s="134">
        <v>9238.1544571760951</v>
      </c>
      <c r="AR96" s="132">
        <v>10030.671427387497</v>
      </c>
      <c r="AS96" s="133">
        <v>11327.185835537981</v>
      </c>
      <c r="AT96" s="133">
        <v>22779.701905142618</v>
      </c>
      <c r="AU96" s="134">
        <v>10058.282469544829</v>
      </c>
      <c r="AV96" s="132">
        <v>5680.6258395137693</v>
      </c>
      <c r="AW96" s="133">
        <v>11082.675846309494</v>
      </c>
      <c r="AX96" s="133">
        <v>10837.570396041861</v>
      </c>
      <c r="AY96" s="134">
        <v>9645.1497957125284</v>
      </c>
      <c r="AZ96" s="132">
        <v>9207.9329875205294</v>
      </c>
      <c r="BA96" s="133">
        <v>8189.4910949293835</v>
      </c>
      <c r="BB96" s="133">
        <v>12390.562567667277</v>
      </c>
      <c r="BC96" s="134">
        <v>8761.6640701337219</v>
      </c>
      <c r="BD96" s="132">
        <v>8328.4160993464375</v>
      </c>
      <c r="BE96" s="133">
        <v>7692.4596070409871</v>
      </c>
      <c r="BF96" s="133">
        <v>13181.850052934275</v>
      </c>
      <c r="BG96" s="134">
        <v>8770.6132534818807</v>
      </c>
      <c r="BH96" s="132">
        <v>10954.10899340532</v>
      </c>
      <c r="BI96" s="133">
        <v>5750.2770567992811</v>
      </c>
      <c r="BJ96" s="133">
        <v>21900.742308201992</v>
      </c>
      <c r="BK96" s="134">
        <v>10488.731115330636</v>
      </c>
      <c r="BL96" s="132">
        <v>7777.3731488225294</v>
      </c>
      <c r="BM96" s="133">
        <v>5431.1298923432942</v>
      </c>
      <c r="BN96" s="133">
        <v>12376.464428300284</v>
      </c>
      <c r="BO96" s="134">
        <v>9406.1191251744985</v>
      </c>
      <c r="BP96" s="132">
        <v>8194.6675232894322</v>
      </c>
      <c r="BQ96" s="133">
        <v>4880.2258857819479</v>
      </c>
      <c r="BR96" s="133">
        <v>11543.663977218794</v>
      </c>
      <c r="BS96" s="134">
        <v>9363.6363636363658</v>
      </c>
      <c r="BT96" s="133">
        <v>8400.0916290333134</v>
      </c>
      <c r="BU96" s="133"/>
      <c r="BV96" s="57"/>
      <c r="BW96" s="58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</row>
    <row r="97" spans="1:90" x14ac:dyDescent="0.25">
      <c r="A97" s="9"/>
      <c r="B97" s="9"/>
      <c r="C97" s="3" t="s">
        <v>21</v>
      </c>
      <c r="D97" s="3"/>
      <c r="E97" s="3"/>
      <c r="F97" s="20"/>
      <c r="G97" s="20"/>
      <c r="H97" s="132">
        <v>8587.6385493692269</v>
      </c>
      <c r="I97" s="133">
        <v>7916.6945677366348</v>
      </c>
      <c r="J97" s="133">
        <v>9240.0922558303937</v>
      </c>
      <c r="K97" s="134">
        <v>9619.2598937969833</v>
      </c>
      <c r="L97" s="132">
        <v>9774.6526206417202</v>
      </c>
      <c r="M97" s="133">
        <v>10442.61884421084</v>
      </c>
      <c r="N97" s="133">
        <v>12180.556485941454</v>
      </c>
      <c r="O97" s="134">
        <v>10526.753937296367</v>
      </c>
      <c r="P97" s="132">
        <v>10949.601031360791</v>
      </c>
      <c r="Q97" s="133">
        <v>10830.506996851733</v>
      </c>
      <c r="R97" s="133">
        <v>12248.194278984565</v>
      </c>
      <c r="S97" s="134">
        <v>11463.870925547235</v>
      </c>
      <c r="T97" s="132">
        <v>10189.697490568802</v>
      </c>
      <c r="U97" s="133">
        <v>10763.382935596046</v>
      </c>
      <c r="V97" s="133">
        <v>11499.948088646759</v>
      </c>
      <c r="W97" s="134">
        <v>11945.73489832536</v>
      </c>
      <c r="X97" s="132">
        <v>11926.913512999789</v>
      </c>
      <c r="Y97" s="133">
        <v>13370.988210478101</v>
      </c>
      <c r="Z97" s="133">
        <v>13162.932697463539</v>
      </c>
      <c r="AA97" s="134">
        <v>13204.993103832679</v>
      </c>
      <c r="AB97" s="132">
        <v>12560.259536038084</v>
      </c>
      <c r="AC97" s="133">
        <v>12523.460757976871</v>
      </c>
      <c r="AD97" s="133">
        <v>13344.024835173015</v>
      </c>
      <c r="AE97" s="134">
        <v>12185.802564248123</v>
      </c>
      <c r="AF97" s="132">
        <v>10020.574085898546</v>
      </c>
      <c r="AG97" s="133">
        <v>12713.150662260488</v>
      </c>
      <c r="AH97" s="133">
        <v>18243.927297925809</v>
      </c>
      <c r="AI97" s="134">
        <v>11844.988750689816</v>
      </c>
      <c r="AJ97" s="132">
        <v>9750.9872132380606</v>
      </c>
      <c r="AK97" s="133">
        <v>11463.624590480256</v>
      </c>
      <c r="AL97" s="133">
        <v>14679.89843845844</v>
      </c>
      <c r="AM97" s="134">
        <v>10309.447411057534</v>
      </c>
      <c r="AN97" s="132">
        <v>10484.866253771321</v>
      </c>
      <c r="AO97" s="133">
        <v>10575.681166781553</v>
      </c>
      <c r="AP97" s="133">
        <v>14742.866802210783</v>
      </c>
      <c r="AQ97" s="134">
        <v>8623.9973845697732</v>
      </c>
      <c r="AR97" s="132">
        <v>10571.935688831183</v>
      </c>
      <c r="AS97" s="133">
        <v>15041.600804580488</v>
      </c>
      <c r="AT97" s="133">
        <v>23386.328334720831</v>
      </c>
      <c r="AU97" s="134">
        <v>11083.882481510946</v>
      </c>
      <c r="AV97" s="132">
        <v>6758.4503151960143</v>
      </c>
      <c r="AW97" s="133">
        <v>14514.152349682867</v>
      </c>
      <c r="AX97" s="133">
        <v>15114.343692286648</v>
      </c>
      <c r="AY97" s="134">
        <v>9761.2140685065133</v>
      </c>
      <c r="AZ97" s="132">
        <v>10549.651408463358</v>
      </c>
      <c r="BA97" s="133">
        <v>10290.661709732592</v>
      </c>
      <c r="BB97" s="133">
        <v>16238.067047044486</v>
      </c>
      <c r="BC97" s="134">
        <v>10566.76711149376</v>
      </c>
      <c r="BD97" s="132">
        <v>9940.2379075984645</v>
      </c>
      <c r="BE97" s="133">
        <v>8384.0246400923988</v>
      </c>
      <c r="BF97" s="133">
        <v>12882.328526576572</v>
      </c>
      <c r="BG97" s="134">
        <v>11263.781882304072</v>
      </c>
      <c r="BH97" s="132">
        <v>17141.936149219287</v>
      </c>
      <c r="BI97" s="133">
        <v>14549.61265593254</v>
      </c>
      <c r="BJ97" s="133">
        <v>26063.178231796199</v>
      </c>
      <c r="BK97" s="134">
        <v>13478.906959465039</v>
      </c>
      <c r="BL97" s="132">
        <v>10887.958242291817</v>
      </c>
      <c r="BM97" s="133">
        <v>10810.946775329508</v>
      </c>
      <c r="BN97" s="133">
        <v>12622.55383205707</v>
      </c>
      <c r="BO97" s="134">
        <v>12199.860400186131</v>
      </c>
      <c r="BP97" s="132">
        <v>11096.477138879964</v>
      </c>
      <c r="BQ97" s="133">
        <v>9853.3564076874045</v>
      </c>
      <c r="BR97" s="133">
        <v>11899.027052681538</v>
      </c>
      <c r="BS97" s="134">
        <v>11677.383592017743</v>
      </c>
      <c r="BT97" s="133">
        <v>11085.476798219777</v>
      </c>
      <c r="BU97" s="133"/>
      <c r="BV97" s="57"/>
      <c r="BW97" s="58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</row>
    <row r="98" spans="1:90" x14ac:dyDescent="0.25">
      <c r="A98" s="9"/>
      <c r="B98" s="9"/>
      <c r="C98" s="3" t="s">
        <v>22</v>
      </c>
      <c r="D98" s="3"/>
      <c r="E98" s="3"/>
      <c r="F98" s="20"/>
      <c r="G98" s="20"/>
      <c r="H98" s="132">
        <v>6300.4650329492133</v>
      </c>
      <c r="I98" s="133">
        <v>6276.9546109439107</v>
      </c>
      <c r="J98" s="133">
        <v>7828.3339470904384</v>
      </c>
      <c r="K98" s="134">
        <v>8491.1878498992501</v>
      </c>
      <c r="L98" s="132">
        <v>8294.7510138199414</v>
      </c>
      <c r="M98" s="133">
        <v>4660.9345109783262</v>
      </c>
      <c r="N98" s="133">
        <v>8632.6291508423401</v>
      </c>
      <c r="O98" s="134">
        <v>7838.2354508687304</v>
      </c>
      <c r="P98" s="132">
        <v>8075.8635838930741</v>
      </c>
      <c r="Q98" s="133">
        <v>8091.9358425922283</v>
      </c>
      <c r="R98" s="133">
        <v>10951.509277313995</v>
      </c>
      <c r="S98" s="134">
        <v>10769.332035499809</v>
      </c>
      <c r="T98" s="132">
        <v>8534.6275638196112</v>
      </c>
      <c r="U98" s="133">
        <v>6981.111984473795</v>
      </c>
      <c r="V98" s="133">
        <v>9081.0580978050511</v>
      </c>
      <c r="W98" s="134">
        <v>8146.4887442391127</v>
      </c>
      <c r="X98" s="132">
        <v>7044.2786742988164</v>
      </c>
      <c r="Y98" s="133">
        <v>10392.209704517267</v>
      </c>
      <c r="Z98" s="133">
        <v>10556.634945163707</v>
      </c>
      <c r="AA98" s="134">
        <v>8820.7474108122133</v>
      </c>
      <c r="AB98" s="132">
        <v>8289.0893229132671</v>
      </c>
      <c r="AC98" s="133">
        <v>7545.548082607881</v>
      </c>
      <c r="AD98" s="133">
        <v>10787.02801155728</v>
      </c>
      <c r="AE98" s="134">
        <v>8488.3537018865591</v>
      </c>
      <c r="AF98" s="132">
        <v>7162.2049431236392</v>
      </c>
      <c r="AG98" s="133">
        <v>5049.6931119159699</v>
      </c>
      <c r="AH98" s="133">
        <v>11730.610249926354</v>
      </c>
      <c r="AI98" s="134">
        <v>6161.8786746975256</v>
      </c>
      <c r="AJ98" s="132">
        <v>5481.043950606113</v>
      </c>
      <c r="AK98" s="133">
        <v>5307.9729399271464</v>
      </c>
      <c r="AL98" s="133">
        <v>7831.0213527825799</v>
      </c>
      <c r="AM98" s="134">
        <v>7792.5602789529166</v>
      </c>
      <c r="AN98" s="132">
        <v>10504.392598850603</v>
      </c>
      <c r="AO98" s="133">
        <v>6765.2276348091864</v>
      </c>
      <c r="AP98" s="133">
        <v>10516.382126685434</v>
      </c>
      <c r="AQ98" s="134">
        <v>7756.9271069778406</v>
      </c>
      <c r="AR98" s="132">
        <v>7812.4057988331651</v>
      </c>
      <c r="AS98" s="133">
        <v>7120.3212600401193</v>
      </c>
      <c r="AT98" s="133">
        <v>10386.356749925058</v>
      </c>
      <c r="AU98" s="134">
        <v>7102.4746944525341</v>
      </c>
      <c r="AV98" s="132">
        <v>4080.4879404166777</v>
      </c>
      <c r="AW98" s="133">
        <v>13163.179428525405</v>
      </c>
      <c r="AX98" s="133">
        <v>13061.874933930842</v>
      </c>
      <c r="AY98" s="134">
        <v>9122.5881417066103</v>
      </c>
      <c r="AZ98" s="132">
        <v>7870.8499699543408</v>
      </c>
      <c r="BA98" s="133">
        <v>7632.6164213803613</v>
      </c>
      <c r="BB98" s="133">
        <v>12925.950984637702</v>
      </c>
      <c r="BC98" s="134">
        <v>9666.698062418207</v>
      </c>
      <c r="BD98" s="132">
        <v>9469.0408557395258</v>
      </c>
      <c r="BE98" s="133">
        <v>13617.135619814127</v>
      </c>
      <c r="BF98" s="133">
        <v>18524.714584108271</v>
      </c>
      <c r="BG98" s="134">
        <v>13531.10927870088</v>
      </c>
      <c r="BH98" s="132">
        <v>33016.48152557639</v>
      </c>
      <c r="BI98" s="133">
        <v>18955.387523672794</v>
      </c>
      <c r="BJ98" s="133">
        <v>28297.167982375875</v>
      </c>
      <c r="BK98" s="134">
        <v>17375.547758606459</v>
      </c>
      <c r="BL98" s="132">
        <v>14424.011289147853</v>
      </c>
      <c r="BM98" s="133">
        <v>10507.093268940534</v>
      </c>
      <c r="BN98" s="133">
        <v>18200.144642974017</v>
      </c>
      <c r="BO98" s="134">
        <v>14360.16751977664</v>
      </c>
      <c r="BP98" s="132">
        <v>14076.454117143163</v>
      </c>
      <c r="BQ98" s="133">
        <v>9448.9479916203691</v>
      </c>
      <c r="BR98" s="133">
        <v>17798.410654959658</v>
      </c>
      <c r="BS98" s="134">
        <v>14458.980044345899</v>
      </c>
      <c r="BT98" s="133">
        <v>12385.300085084104</v>
      </c>
      <c r="BU98" s="133"/>
      <c r="BV98" s="57"/>
      <c r="BW98" s="58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</row>
    <row r="99" spans="1:90" x14ac:dyDescent="0.25">
      <c r="A99" s="9"/>
      <c r="B99" s="9"/>
      <c r="C99" s="3" t="s">
        <v>23</v>
      </c>
      <c r="D99" s="3"/>
      <c r="E99" s="3"/>
      <c r="F99" s="20"/>
      <c r="G99" s="20"/>
      <c r="H99" s="132">
        <v>9906.4067611777518</v>
      </c>
      <c r="I99" s="133">
        <v>8718.3258864134896</v>
      </c>
      <c r="J99" s="133">
        <v>30227.542958213155</v>
      </c>
      <c r="K99" s="134">
        <v>8149.6476600623901</v>
      </c>
      <c r="L99" s="132">
        <v>9157.9910004687317</v>
      </c>
      <c r="M99" s="133">
        <v>16468.221674283002</v>
      </c>
      <c r="N99" s="133">
        <v>15092.712669580071</v>
      </c>
      <c r="O99" s="134">
        <v>9389.4640977407325</v>
      </c>
      <c r="P99" s="132">
        <v>8378.4307159245254</v>
      </c>
      <c r="Q99" s="133">
        <v>9852.8185516475023</v>
      </c>
      <c r="R99" s="133">
        <v>12115.972392060445</v>
      </c>
      <c r="S99" s="134">
        <v>9338.6130442386639</v>
      </c>
      <c r="T99" s="132">
        <v>10487.910265433908</v>
      </c>
      <c r="U99" s="133">
        <v>9903.7958688892832</v>
      </c>
      <c r="V99" s="133">
        <v>10930.224657211578</v>
      </c>
      <c r="W99" s="134">
        <v>10247.056943222115</v>
      </c>
      <c r="X99" s="132">
        <v>11148.650960168123</v>
      </c>
      <c r="Y99" s="133">
        <v>10615.241288425146</v>
      </c>
      <c r="Z99" s="133">
        <v>17413.83860248822</v>
      </c>
      <c r="AA99" s="134">
        <v>10910.022049402582</v>
      </c>
      <c r="AB99" s="132">
        <v>10241.377585271166</v>
      </c>
      <c r="AC99" s="133">
        <v>11835.929294883799</v>
      </c>
      <c r="AD99" s="133">
        <v>12226.799017646837</v>
      </c>
      <c r="AE99" s="134">
        <v>9570.3229995023084</v>
      </c>
      <c r="AF99" s="132">
        <v>8136.0478917820838</v>
      </c>
      <c r="AG99" s="133">
        <v>9388.4566479284858</v>
      </c>
      <c r="AH99" s="133">
        <v>11408.055772836346</v>
      </c>
      <c r="AI99" s="134">
        <v>9223.5107524303858</v>
      </c>
      <c r="AJ99" s="132">
        <v>13103.64260674943</v>
      </c>
      <c r="AK99" s="133">
        <v>15323.683980348998</v>
      </c>
      <c r="AL99" s="133">
        <v>32112.946947657456</v>
      </c>
      <c r="AM99" s="134">
        <v>18218.574211858791</v>
      </c>
      <c r="AN99" s="132">
        <v>19420.646559608151</v>
      </c>
      <c r="AO99" s="133">
        <v>1689116.1177544591</v>
      </c>
      <c r="AP99" s="133">
        <v>144281.20824009684</v>
      </c>
      <c r="AQ99" s="134">
        <v>21671.393504719264</v>
      </c>
      <c r="AR99" s="132">
        <v>43560.255452290054</v>
      </c>
      <c r="AS99" s="133">
        <v>20692.839136624836</v>
      </c>
      <c r="AT99" s="133">
        <v>25861.941973237586</v>
      </c>
      <c r="AU99" s="134">
        <v>12567.12249676085</v>
      </c>
      <c r="AV99" s="132">
        <v>57850.171760467587</v>
      </c>
      <c r="AW99" s="133">
        <v>13345.049792900618</v>
      </c>
      <c r="AX99" s="133">
        <v>11996.236634465475</v>
      </c>
      <c r="AY99" s="134">
        <v>9549.8621568705203</v>
      </c>
      <c r="AZ99" s="132">
        <v>8563.7888932168662</v>
      </c>
      <c r="BA99" s="133">
        <v>10585.000652550552</v>
      </c>
      <c r="BB99" s="133">
        <v>19377.061233641984</v>
      </c>
      <c r="BC99" s="134">
        <v>15822.218148068929</v>
      </c>
      <c r="BD99" s="132">
        <v>15617.320211612408</v>
      </c>
      <c r="BE99" s="133">
        <v>38668.841767380378</v>
      </c>
      <c r="BF99" s="133">
        <v>93750.442981794244</v>
      </c>
      <c r="BG99" s="134">
        <v>23661.425816516152</v>
      </c>
      <c r="BH99" s="132">
        <v>35131.526526292859</v>
      </c>
      <c r="BI99" s="133">
        <v>-71444.716586533294</v>
      </c>
      <c r="BJ99" s="133">
        <v>-84980.505162407877</v>
      </c>
      <c r="BK99" s="134">
        <v>31893.315018315014</v>
      </c>
      <c r="BL99" s="132">
        <v>22941.253951527924</v>
      </c>
      <c r="BM99" s="133">
        <v>37582.613116420936</v>
      </c>
      <c r="BN99" s="133">
        <v>34884.906759906764</v>
      </c>
      <c r="BO99" s="134">
        <v>22660.644033221623</v>
      </c>
      <c r="BP99" s="132">
        <v>19570.558480437696</v>
      </c>
      <c r="BQ99" s="133">
        <v>41964.238057112358</v>
      </c>
      <c r="BR99" s="133">
        <v>34840.039812313385</v>
      </c>
      <c r="BS99" s="134">
        <v>16853.250915750912</v>
      </c>
      <c r="BT99" s="133">
        <v>17978.48311935331</v>
      </c>
      <c r="BU99" s="133"/>
      <c r="BV99" s="57"/>
      <c r="BW99" s="58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</row>
    <row r="100" spans="1:90" x14ac:dyDescent="0.25">
      <c r="A100" s="9"/>
      <c r="B100" s="9"/>
      <c r="C100" s="3"/>
      <c r="D100" s="3"/>
      <c r="E100" s="3"/>
      <c r="F100" s="20"/>
      <c r="G100" s="20"/>
      <c r="H100" s="52"/>
      <c r="I100" s="53"/>
      <c r="J100" s="53"/>
      <c r="K100" s="54"/>
      <c r="L100" s="52"/>
      <c r="M100" s="53"/>
      <c r="N100" s="53"/>
      <c r="O100" s="53"/>
      <c r="P100" s="52"/>
      <c r="Q100" s="53"/>
      <c r="R100" s="53"/>
      <c r="S100" s="53"/>
      <c r="T100" s="53"/>
      <c r="U100" s="53"/>
      <c r="V100" s="53"/>
      <c r="W100" s="54"/>
      <c r="X100" s="53"/>
      <c r="Y100" s="53"/>
      <c r="Z100" s="53"/>
      <c r="AA100" s="54"/>
      <c r="AB100" s="53"/>
      <c r="AC100" s="53"/>
      <c r="AD100" s="53"/>
      <c r="AE100" s="54"/>
      <c r="AF100" s="53"/>
      <c r="AG100" s="53"/>
      <c r="AH100" s="55"/>
      <c r="AI100" s="56"/>
      <c r="AJ100" s="53"/>
      <c r="AK100" s="53"/>
      <c r="AL100" s="53"/>
      <c r="AM100" s="56"/>
      <c r="AN100" s="53"/>
      <c r="AO100" s="53"/>
      <c r="AP100" s="53"/>
      <c r="AQ100" s="56"/>
      <c r="AR100" s="53"/>
      <c r="AS100" s="53"/>
      <c r="AT100" s="53"/>
      <c r="AU100" s="56"/>
      <c r="AV100" s="53"/>
      <c r="AW100" s="53"/>
      <c r="AX100" s="53"/>
      <c r="AY100" s="56"/>
      <c r="AZ100" s="53"/>
      <c r="BA100" s="53"/>
      <c r="BB100" s="53"/>
      <c r="BC100" s="56"/>
      <c r="BD100" s="53"/>
      <c r="BE100" s="53"/>
      <c r="BF100" s="53"/>
      <c r="BG100" s="56"/>
      <c r="BH100" s="53"/>
      <c r="BI100" s="57"/>
      <c r="BJ100" s="57"/>
      <c r="BK100" s="58"/>
      <c r="BL100" s="57"/>
      <c r="BM100" s="57"/>
      <c r="BN100" s="57"/>
      <c r="BO100" s="58"/>
      <c r="BP100" s="57"/>
      <c r="BQ100" s="57"/>
      <c r="BR100" s="57"/>
      <c r="BS100" s="58"/>
      <c r="BT100" s="57"/>
      <c r="BU100" s="57"/>
      <c r="BV100" s="57"/>
      <c r="BW100" s="58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</row>
    <row r="101" spans="1:90" x14ac:dyDescent="0.25">
      <c r="A101" s="9"/>
      <c r="B101" s="9"/>
      <c r="C101" s="1" t="s">
        <v>31</v>
      </c>
      <c r="D101" s="41"/>
      <c r="E101" s="41"/>
      <c r="F101" s="78"/>
      <c r="G101" s="78"/>
      <c r="H101" s="132"/>
      <c r="I101" s="31"/>
      <c r="J101" s="31"/>
      <c r="K101" s="32"/>
      <c r="L101" s="30"/>
      <c r="M101" s="31"/>
      <c r="N101" s="31"/>
      <c r="O101" s="31"/>
      <c r="P101" s="47"/>
      <c r="Q101" s="31"/>
      <c r="R101" s="33"/>
      <c r="S101" s="34"/>
      <c r="T101" s="33"/>
      <c r="U101" s="31"/>
      <c r="V101" s="31"/>
      <c r="W101" s="34"/>
      <c r="X101" s="35"/>
      <c r="Y101" s="31"/>
      <c r="Z101" s="31"/>
      <c r="AA101" s="36"/>
      <c r="AB101" s="35"/>
      <c r="AC101" s="31"/>
      <c r="AD101" s="31"/>
      <c r="AE101" s="36"/>
      <c r="AF101" s="35"/>
      <c r="AG101" s="31"/>
      <c r="AH101" s="60"/>
      <c r="AI101" s="37"/>
      <c r="AJ101" s="35"/>
      <c r="AK101" s="31"/>
      <c r="AL101" s="35"/>
      <c r="AM101" s="37"/>
      <c r="AN101" s="35"/>
      <c r="AO101" s="35"/>
      <c r="AP101" s="35"/>
      <c r="AQ101" s="37"/>
      <c r="AR101" s="35"/>
      <c r="AS101" s="35"/>
      <c r="AT101" s="35"/>
      <c r="AU101" s="37"/>
      <c r="AV101" s="35"/>
      <c r="AW101" s="35"/>
      <c r="AX101" s="35"/>
      <c r="AY101" s="36"/>
      <c r="AZ101" s="35"/>
      <c r="BA101" s="35"/>
      <c r="BB101" s="35"/>
      <c r="BC101" s="36"/>
      <c r="BD101" s="35"/>
      <c r="BE101" s="35"/>
      <c r="BF101" s="35"/>
      <c r="BG101" s="36"/>
      <c r="BH101" s="35"/>
      <c r="BI101" s="35"/>
      <c r="BJ101" s="35"/>
      <c r="BK101" s="36"/>
      <c r="BL101" s="35"/>
      <c r="BM101" s="35"/>
      <c r="BN101" s="35"/>
      <c r="BO101" s="36"/>
      <c r="BP101" s="35"/>
      <c r="BQ101" s="35"/>
      <c r="BR101" s="35"/>
      <c r="BS101" s="36"/>
      <c r="BT101" s="35"/>
      <c r="BU101" s="35"/>
      <c r="BV101" s="35"/>
      <c r="BW101" s="36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</row>
    <row r="102" spans="1:90" x14ac:dyDescent="0.25">
      <c r="A102" s="9"/>
      <c r="B102" s="9"/>
      <c r="C102" s="3" t="s">
        <v>7</v>
      </c>
      <c r="D102" s="3"/>
      <c r="E102" s="3"/>
      <c r="F102" s="20"/>
      <c r="G102" s="20"/>
      <c r="H102" s="132">
        <v>7249.8433118995536</v>
      </c>
      <c r="I102" s="133">
        <v>7967.9229401340554</v>
      </c>
      <c r="J102" s="133">
        <v>8353.3317812738915</v>
      </c>
      <c r="K102" s="134">
        <v>8516.1685596021416</v>
      </c>
      <c r="L102" s="132">
        <v>8749.7604735899422</v>
      </c>
      <c r="M102" s="133">
        <v>9209.3212490290753</v>
      </c>
      <c r="N102" s="133">
        <v>10083.853748713365</v>
      </c>
      <c r="O102" s="134">
        <v>9227.15733045462</v>
      </c>
      <c r="P102" s="132">
        <v>9573.4266809187102</v>
      </c>
      <c r="Q102" s="133">
        <v>7947.894798542161</v>
      </c>
      <c r="R102" s="133">
        <v>8053.46905480234</v>
      </c>
      <c r="S102" s="134">
        <v>11336.299680915225</v>
      </c>
      <c r="T102" s="132">
        <v>7615.1816731488025</v>
      </c>
      <c r="U102" s="133">
        <v>8666.0142565442256</v>
      </c>
      <c r="V102" s="133">
        <v>10441.441092885278</v>
      </c>
      <c r="W102" s="134">
        <v>9274.4727132796615</v>
      </c>
      <c r="X102" s="132">
        <v>8173.3769735708147</v>
      </c>
      <c r="Y102" s="133">
        <v>7422.5831840592828</v>
      </c>
      <c r="Z102" s="133">
        <v>9812.6498615134824</v>
      </c>
      <c r="AA102" s="134">
        <v>10606.326587152183</v>
      </c>
      <c r="AB102" s="132">
        <v>9525.7983565513641</v>
      </c>
      <c r="AC102" s="133">
        <v>10737.779389946008</v>
      </c>
      <c r="AD102" s="133">
        <v>11341.281810914184</v>
      </c>
      <c r="AE102" s="134">
        <v>9949.0762150139835</v>
      </c>
      <c r="AF102" s="132">
        <v>8634.6443180514143</v>
      </c>
      <c r="AG102" s="133">
        <v>8284.7405050779907</v>
      </c>
      <c r="AH102" s="133">
        <v>7600.1354402050447</v>
      </c>
      <c r="AI102" s="134">
        <v>10767.07646162126</v>
      </c>
      <c r="AJ102" s="132">
        <v>7886.0425922861186</v>
      </c>
      <c r="AK102" s="133">
        <v>9993.8545737636214</v>
      </c>
      <c r="AL102" s="133">
        <v>10425.10090378377</v>
      </c>
      <c r="AM102" s="134">
        <v>10779.531958037618</v>
      </c>
      <c r="AN102" s="132">
        <v>10600.557184986827</v>
      </c>
      <c r="AO102" s="133">
        <v>9475.0212710410287</v>
      </c>
      <c r="AP102" s="133">
        <v>10595.22772569707</v>
      </c>
      <c r="AQ102" s="134">
        <v>11689.591714194641</v>
      </c>
      <c r="AR102" s="132">
        <v>10168.996005743878</v>
      </c>
      <c r="AS102" s="133">
        <v>11581.75137234921</v>
      </c>
      <c r="AT102" s="133">
        <v>11693.926491638811</v>
      </c>
      <c r="AU102" s="134">
        <v>13383.240317776465</v>
      </c>
      <c r="AV102" s="132">
        <v>12741.160015092008</v>
      </c>
      <c r="AW102" s="133">
        <v>10187.322267980275</v>
      </c>
      <c r="AX102" s="133">
        <v>9710.607053157044</v>
      </c>
      <c r="AY102" s="134">
        <v>12054.472328774154</v>
      </c>
      <c r="AZ102" s="132">
        <v>14453.420577682669</v>
      </c>
      <c r="BA102" s="133">
        <v>9656.03781055121</v>
      </c>
      <c r="BB102" s="133">
        <v>10077.473952930144</v>
      </c>
      <c r="BC102" s="134">
        <v>11092.720634075144</v>
      </c>
      <c r="BD102" s="132">
        <v>14645.12977161764</v>
      </c>
      <c r="BE102" s="133">
        <v>16320.026979400345</v>
      </c>
      <c r="BF102" s="133">
        <v>19657.656444102107</v>
      </c>
      <c r="BG102" s="134">
        <v>15667.430397152</v>
      </c>
      <c r="BH102" s="132">
        <v>14384.914629575645</v>
      </c>
      <c r="BI102" s="133">
        <v>14879.517673199554</v>
      </c>
      <c r="BJ102" s="133">
        <v>21241.705055144055</v>
      </c>
      <c r="BK102" s="134">
        <v>21480.557491289201</v>
      </c>
      <c r="BL102" s="132">
        <v>17782.273854588173</v>
      </c>
      <c r="BM102" s="133">
        <v>15930.204930204929</v>
      </c>
      <c r="BN102" s="133">
        <v>16388.297872340427</v>
      </c>
      <c r="BO102" s="134">
        <v>18485.672606022716</v>
      </c>
      <c r="BP102" s="132">
        <v>16476.35135135135</v>
      </c>
      <c r="BQ102" s="133">
        <v>13451.239224137931</v>
      </c>
      <c r="BR102" s="133">
        <v>15297.066804496704</v>
      </c>
      <c r="BS102" s="134">
        <v>15264.208203053155</v>
      </c>
      <c r="BT102" s="133">
        <v>14651.780425195811</v>
      </c>
      <c r="BU102" s="133"/>
      <c r="BV102" s="57"/>
      <c r="BW102" s="58"/>
      <c r="BX102" s="59"/>
      <c r="BY102" s="59"/>
      <c r="BZ102" s="59"/>
      <c r="CA102" s="59"/>
      <c r="CB102" s="59"/>
      <c r="CC102" s="59"/>
      <c r="CD102" s="59"/>
      <c r="CE102" s="59"/>
      <c r="CF102" s="59"/>
      <c r="CG102" s="59"/>
      <c r="CH102" s="59"/>
      <c r="CI102" s="59"/>
      <c r="CJ102" s="59"/>
      <c r="CK102" s="59"/>
      <c r="CL102" s="59"/>
    </row>
    <row r="103" spans="1:90" x14ac:dyDescent="0.25">
      <c r="A103" s="9"/>
      <c r="B103" s="9"/>
      <c r="C103" s="3" t="s">
        <v>8</v>
      </c>
      <c r="D103" s="3"/>
      <c r="E103" s="3"/>
      <c r="F103" s="20"/>
      <c r="G103" s="20"/>
      <c r="H103" s="132">
        <v>6236.8939993379463</v>
      </c>
      <c r="I103" s="133">
        <v>7103.4619214443419</v>
      </c>
      <c r="J103" s="133">
        <v>7868.2048475710517</v>
      </c>
      <c r="K103" s="134">
        <v>8223.7732612343843</v>
      </c>
      <c r="L103" s="132">
        <v>8911.1378658337817</v>
      </c>
      <c r="M103" s="133">
        <v>8704.9561607755822</v>
      </c>
      <c r="N103" s="133">
        <v>9120.4065152339681</v>
      </c>
      <c r="O103" s="134">
        <v>8411.7923093730278</v>
      </c>
      <c r="P103" s="132">
        <v>8654.8021184228455</v>
      </c>
      <c r="Q103" s="133">
        <v>7310.1090117743042</v>
      </c>
      <c r="R103" s="133">
        <v>7972.6248993831887</v>
      </c>
      <c r="S103" s="134">
        <v>7326.1890463652653</v>
      </c>
      <c r="T103" s="132">
        <v>5654.600822343099</v>
      </c>
      <c r="U103" s="133">
        <v>7669.4987295625288</v>
      </c>
      <c r="V103" s="133">
        <v>9578.532711028196</v>
      </c>
      <c r="W103" s="134">
        <v>8712.5943223760132</v>
      </c>
      <c r="X103" s="132">
        <v>6896.1711985916791</v>
      </c>
      <c r="Y103" s="133">
        <v>10280.240002779905</v>
      </c>
      <c r="Z103" s="133">
        <v>13515.613393676513</v>
      </c>
      <c r="AA103" s="134">
        <v>10662.944299936078</v>
      </c>
      <c r="AB103" s="132">
        <v>7698.1870262391694</v>
      </c>
      <c r="AC103" s="133">
        <v>10098.411343957838</v>
      </c>
      <c r="AD103" s="133">
        <v>15389.773305375811</v>
      </c>
      <c r="AE103" s="134">
        <v>7457.7161090524496</v>
      </c>
      <c r="AF103" s="132">
        <v>7235.6260084342566</v>
      </c>
      <c r="AG103" s="133">
        <v>5544.9559281900365</v>
      </c>
      <c r="AH103" s="133">
        <v>10101.611736905787</v>
      </c>
      <c r="AI103" s="134">
        <v>5758.2722725295198</v>
      </c>
      <c r="AJ103" s="132">
        <v>5029.1304669204492</v>
      </c>
      <c r="AK103" s="133">
        <v>8050.2099535863608</v>
      </c>
      <c r="AL103" s="133">
        <v>9513.8440902394668</v>
      </c>
      <c r="AM103" s="134">
        <v>6661.2016222697202</v>
      </c>
      <c r="AN103" s="132">
        <v>7941.0700368364687</v>
      </c>
      <c r="AO103" s="133">
        <v>6912.5795347849444</v>
      </c>
      <c r="AP103" s="133">
        <v>9323.9689581002986</v>
      </c>
      <c r="AQ103" s="134">
        <v>6595.1486369263348</v>
      </c>
      <c r="AR103" s="132">
        <v>7194.2168765622073</v>
      </c>
      <c r="AS103" s="133">
        <v>7956.2915137106693</v>
      </c>
      <c r="AT103" s="133">
        <v>10594.530831724105</v>
      </c>
      <c r="AU103" s="134">
        <v>7037.7075688649993</v>
      </c>
      <c r="AV103" s="132">
        <v>6471.8660593211953</v>
      </c>
      <c r="AW103" s="133">
        <v>5835.068127811408</v>
      </c>
      <c r="AX103" s="133">
        <v>7447.2309854160303</v>
      </c>
      <c r="AY103" s="134">
        <v>7552.3810339554248</v>
      </c>
      <c r="AZ103" s="132">
        <v>8932.784006060132</v>
      </c>
      <c r="BA103" s="133">
        <v>5116.8847915740644</v>
      </c>
      <c r="BB103" s="133">
        <v>8610.7816934701295</v>
      </c>
      <c r="BC103" s="134">
        <v>6522.1524777135874</v>
      </c>
      <c r="BD103" s="132">
        <v>8199.0143253462011</v>
      </c>
      <c r="BE103" s="133">
        <v>11428.197464501362</v>
      </c>
      <c r="BF103" s="133">
        <v>16343.920404436883</v>
      </c>
      <c r="BG103" s="134">
        <v>12478.850808021138</v>
      </c>
      <c r="BH103" s="132">
        <v>11639.541996525057</v>
      </c>
      <c r="BI103" s="133">
        <v>14251.906307037112</v>
      </c>
      <c r="BJ103" s="133">
        <v>17938.089082917901</v>
      </c>
      <c r="BK103" s="134">
        <v>0</v>
      </c>
      <c r="BL103" s="132">
        <v>0</v>
      </c>
      <c r="BM103" s="133">
        <v>0</v>
      </c>
      <c r="BN103" s="133">
        <v>0</v>
      </c>
      <c r="BO103" s="134">
        <v>0</v>
      </c>
      <c r="BP103" s="132">
        <v>0</v>
      </c>
      <c r="BQ103" s="133">
        <v>0</v>
      </c>
      <c r="BR103" s="133">
        <v>0</v>
      </c>
      <c r="BS103" s="134">
        <v>0</v>
      </c>
      <c r="BT103" s="133">
        <v>0</v>
      </c>
      <c r="BU103" s="133"/>
      <c r="BV103" s="57"/>
      <c r="BW103" s="58"/>
      <c r="BX103" s="59"/>
      <c r="BY103" s="59"/>
      <c r="BZ103" s="59"/>
      <c r="CA103" s="59"/>
      <c r="CB103" s="59"/>
      <c r="CC103" s="59"/>
      <c r="CD103" s="59"/>
      <c r="CE103" s="59"/>
      <c r="CF103" s="59"/>
      <c r="CG103" s="59"/>
      <c r="CH103" s="59"/>
      <c r="CI103" s="59"/>
      <c r="CJ103" s="59"/>
      <c r="CK103" s="59"/>
      <c r="CL103" s="59"/>
    </row>
    <row r="104" spans="1:90" x14ac:dyDescent="0.25">
      <c r="A104" s="9"/>
      <c r="B104" s="9"/>
      <c r="C104" s="3" t="s">
        <v>9</v>
      </c>
      <c r="D104" s="3"/>
      <c r="E104" s="3"/>
      <c r="F104" s="20"/>
      <c r="G104" s="20"/>
      <c r="H104" s="132">
        <v>7053.8978162124331</v>
      </c>
      <c r="I104" s="133">
        <v>8048.6473393433544</v>
      </c>
      <c r="J104" s="133">
        <v>8423.2267410027616</v>
      </c>
      <c r="K104" s="134">
        <v>8503.4182443213249</v>
      </c>
      <c r="L104" s="132">
        <v>9035.0773829837362</v>
      </c>
      <c r="M104" s="133">
        <v>9414.0503270586978</v>
      </c>
      <c r="N104" s="133">
        <v>9964.8653221856803</v>
      </c>
      <c r="O104" s="134">
        <v>8959.3614776308204</v>
      </c>
      <c r="P104" s="132">
        <v>7575.2008150357933</v>
      </c>
      <c r="Q104" s="133">
        <v>8063.944267449594</v>
      </c>
      <c r="R104" s="133">
        <v>8510.2508074249872</v>
      </c>
      <c r="S104" s="134">
        <v>8504.4429859656157</v>
      </c>
      <c r="T104" s="132">
        <v>6700.8931474203073</v>
      </c>
      <c r="U104" s="133">
        <v>8659.9121229520133</v>
      </c>
      <c r="V104" s="133">
        <v>10340.517126190358</v>
      </c>
      <c r="W104" s="134">
        <v>8627.9097194633341</v>
      </c>
      <c r="X104" s="132">
        <v>6702.6950156310622</v>
      </c>
      <c r="Y104" s="133">
        <v>7569.515381018291</v>
      </c>
      <c r="Z104" s="133">
        <v>9238.9829215094815</v>
      </c>
      <c r="AA104" s="134">
        <v>9608.8919829605074</v>
      </c>
      <c r="AB104" s="132">
        <v>9784.5778263577577</v>
      </c>
      <c r="AC104" s="133">
        <v>11503.519782724765</v>
      </c>
      <c r="AD104" s="133">
        <v>11779.531516320278</v>
      </c>
      <c r="AE104" s="134">
        <v>8795.0236376504308</v>
      </c>
      <c r="AF104" s="132">
        <v>8834.6959919849251</v>
      </c>
      <c r="AG104" s="133">
        <v>7996.3842064754317</v>
      </c>
      <c r="AH104" s="133">
        <v>7906.7209222069359</v>
      </c>
      <c r="AI104" s="134">
        <v>7330.4929235184736</v>
      </c>
      <c r="AJ104" s="132">
        <v>6065.8695806162996</v>
      </c>
      <c r="AK104" s="133">
        <v>8454.6652663383593</v>
      </c>
      <c r="AL104" s="133">
        <v>8971.3331610838213</v>
      </c>
      <c r="AM104" s="134">
        <v>8054.367883766382</v>
      </c>
      <c r="AN104" s="132">
        <v>9089.6249561624936</v>
      </c>
      <c r="AO104" s="133">
        <v>8311.7902117038684</v>
      </c>
      <c r="AP104" s="133">
        <v>9914.0939571467388</v>
      </c>
      <c r="AQ104" s="134">
        <v>8639.6493766058884</v>
      </c>
      <c r="AR104" s="132">
        <v>9680.1063542841675</v>
      </c>
      <c r="AS104" s="133">
        <v>9538.0145184428675</v>
      </c>
      <c r="AT104" s="133">
        <v>11276.260515456648</v>
      </c>
      <c r="AU104" s="134">
        <v>10786.460179613563</v>
      </c>
      <c r="AV104" s="132">
        <v>10697.155780079565</v>
      </c>
      <c r="AW104" s="133">
        <v>9780.6423759907757</v>
      </c>
      <c r="AX104" s="133">
        <v>9352.0032142275813</v>
      </c>
      <c r="AY104" s="134">
        <v>10222.799605735885</v>
      </c>
      <c r="AZ104" s="132">
        <v>12408.059423222532</v>
      </c>
      <c r="BA104" s="133">
        <v>9213.6127244946729</v>
      </c>
      <c r="BB104" s="133">
        <v>9863.5232520552254</v>
      </c>
      <c r="BC104" s="134">
        <v>10020.646342268741</v>
      </c>
      <c r="BD104" s="132">
        <v>12062.735588201074</v>
      </c>
      <c r="BE104" s="133">
        <v>14852.960265294205</v>
      </c>
      <c r="BF104" s="133">
        <v>16967.629396891934</v>
      </c>
      <c r="BG104" s="134">
        <v>13811.10684418589</v>
      </c>
      <c r="BH104" s="132">
        <v>14224.422854256378</v>
      </c>
      <c r="BI104" s="133">
        <v>14706.677361484853</v>
      </c>
      <c r="BJ104" s="133">
        <v>18840.883294197207</v>
      </c>
      <c r="BK104" s="134">
        <v>15836.933797909409</v>
      </c>
      <c r="BL104" s="132">
        <v>13042.226863333766</v>
      </c>
      <c r="BM104" s="133">
        <v>14205.821205821205</v>
      </c>
      <c r="BN104" s="133">
        <v>15221.024636058228</v>
      </c>
      <c r="BO104" s="134">
        <v>14216.838595394394</v>
      </c>
      <c r="BP104" s="132">
        <v>12998.698493575544</v>
      </c>
      <c r="BQ104" s="133">
        <v>12417.968750000002</v>
      </c>
      <c r="BR104" s="133">
        <v>14775.810828272386</v>
      </c>
      <c r="BS104" s="134">
        <v>12982.803016369322</v>
      </c>
      <c r="BT104" s="133">
        <v>10874.415849404331</v>
      </c>
      <c r="BU104" s="133"/>
      <c r="BV104" s="57"/>
      <c r="BW104" s="58"/>
      <c r="BX104" s="59"/>
      <c r="BY104" s="59"/>
      <c r="BZ104" s="59"/>
      <c r="CA104" s="59"/>
      <c r="CB104" s="59"/>
      <c r="CC104" s="59"/>
      <c r="CD104" s="59"/>
      <c r="CE104" s="59"/>
      <c r="CF104" s="59"/>
      <c r="CG104" s="59"/>
      <c r="CH104" s="59"/>
      <c r="CI104" s="59"/>
      <c r="CJ104" s="59"/>
      <c r="CK104" s="59"/>
      <c r="CL104" s="59"/>
    </row>
    <row r="105" spans="1:90" x14ac:dyDescent="0.25">
      <c r="A105" s="9"/>
      <c r="B105" s="9"/>
      <c r="C105" s="3" t="s">
        <v>10</v>
      </c>
      <c r="D105" s="3"/>
      <c r="E105" s="3"/>
      <c r="F105" s="20"/>
      <c r="G105" s="20"/>
      <c r="H105" s="132">
        <v>7238.6551413852567</v>
      </c>
      <c r="I105" s="133">
        <v>8389.1547062257559</v>
      </c>
      <c r="J105" s="133">
        <v>8949.9994744209434</v>
      </c>
      <c r="K105" s="134">
        <v>8643.3349930351451</v>
      </c>
      <c r="L105" s="132">
        <v>9289.8707118588936</v>
      </c>
      <c r="M105" s="133">
        <v>9547.3927556143153</v>
      </c>
      <c r="N105" s="133">
        <v>10337.770717438358</v>
      </c>
      <c r="O105" s="134">
        <v>9044.1347035461131</v>
      </c>
      <c r="P105" s="132">
        <v>7775.5756729295799</v>
      </c>
      <c r="Q105" s="133">
        <v>8155.3271267703949</v>
      </c>
      <c r="R105" s="133">
        <v>9142.5198876774739</v>
      </c>
      <c r="S105" s="134">
        <v>8485.1534052385905</v>
      </c>
      <c r="T105" s="132">
        <v>6769.6731729913081</v>
      </c>
      <c r="U105" s="133">
        <v>8747.6009054109654</v>
      </c>
      <c r="V105" s="133">
        <v>10452.082963553872</v>
      </c>
      <c r="W105" s="134">
        <v>8678.0065453210918</v>
      </c>
      <c r="X105" s="132">
        <v>6745.0425094903603</v>
      </c>
      <c r="Y105" s="133">
        <v>7696.2877164170304</v>
      </c>
      <c r="Z105" s="133">
        <v>9549.4855349821482</v>
      </c>
      <c r="AA105" s="134">
        <v>9777.6142339923263</v>
      </c>
      <c r="AB105" s="132">
        <v>9939.8253541999093</v>
      </c>
      <c r="AC105" s="133">
        <v>11876.273691645629</v>
      </c>
      <c r="AD105" s="133">
        <v>12293.828872497115</v>
      </c>
      <c r="AE105" s="134">
        <v>8897.7542315349001</v>
      </c>
      <c r="AF105" s="132">
        <v>8903.412388753577</v>
      </c>
      <c r="AG105" s="133">
        <v>8407.9724980743977</v>
      </c>
      <c r="AH105" s="133">
        <v>8467.7097007150696</v>
      </c>
      <c r="AI105" s="134">
        <v>7538.4581439682743</v>
      </c>
      <c r="AJ105" s="132">
        <v>6327.0310442488699</v>
      </c>
      <c r="AK105" s="133">
        <v>8739.7749055231179</v>
      </c>
      <c r="AL105" s="133">
        <v>9495.6193199052868</v>
      </c>
      <c r="AM105" s="134">
        <v>8174.3240930064594</v>
      </c>
      <c r="AN105" s="132">
        <v>9232.0387011430139</v>
      </c>
      <c r="AO105" s="133">
        <v>8945.7600249118896</v>
      </c>
      <c r="AP105" s="133">
        <v>10516.420115235747</v>
      </c>
      <c r="AQ105" s="134">
        <v>8777.6649394412343</v>
      </c>
      <c r="AR105" s="132">
        <v>9940.2247686194532</v>
      </c>
      <c r="AS105" s="133">
        <v>9743.621049056037</v>
      </c>
      <c r="AT105" s="133">
        <v>11746.792150817095</v>
      </c>
      <c r="AU105" s="134">
        <v>10960.948121115684</v>
      </c>
      <c r="AV105" s="132">
        <v>11023.733930858005</v>
      </c>
      <c r="AW105" s="133">
        <v>9958.1065173376592</v>
      </c>
      <c r="AX105" s="133">
        <v>9711.4054659511094</v>
      </c>
      <c r="AY105" s="134">
        <v>10440.909840560813</v>
      </c>
      <c r="AZ105" s="132">
        <v>12581.681409534385</v>
      </c>
      <c r="BA105" s="133">
        <v>9364.8189149473765</v>
      </c>
      <c r="BB105" s="133">
        <v>10109.09779656635</v>
      </c>
      <c r="BC105" s="134">
        <v>10167.081960493719</v>
      </c>
      <c r="BD105" s="132">
        <v>12156.884971770176</v>
      </c>
      <c r="BE105" s="133">
        <v>15064.288058267986</v>
      </c>
      <c r="BF105" s="133">
        <v>17308.543585065636</v>
      </c>
      <c r="BG105" s="134">
        <v>14009.5286948582</v>
      </c>
      <c r="BH105" s="132">
        <v>14638.412219274194</v>
      </c>
      <c r="BI105" s="133">
        <v>15042.843671657582</v>
      </c>
      <c r="BJ105" s="133">
        <v>19405.701736466708</v>
      </c>
      <c r="BK105" s="134">
        <v>16408.362369337978</v>
      </c>
      <c r="BL105" s="132">
        <v>13938.128181699518</v>
      </c>
      <c r="BM105" s="133">
        <v>15024.948024948024</v>
      </c>
      <c r="BN105" s="133">
        <v>16408.874580067186</v>
      </c>
      <c r="BO105" s="134">
        <v>15167.343961654684</v>
      </c>
      <c r="BP105" s="132">
        <v>13048.404962339391</v>
      </c>
      <c r="BQ105" s="133">
        <v>13208.1088362069</v>
      </c>
      <c r="BR105" s="133">
        <v>15755.13632252229</v>
      </c>
      <c r="BS105" s="134">
        <v>13846.054809637668</v>
      </c>
      <c r="BT105" s="133">
        <v>12375.20568682946</v>
      </c>
      <c r="BU105" s="133"/>
      <c r="BV105" s="57"/>
      <c r="BW105" s="58"/>
      <c r="BX105" s="59"/>
      <c r="BY105" s="59"/>
      <c r="BZ105" s="59"/>
      <c r="CA105" s="59"/>
      <c r="CB105" s="59"/>
      <c r="CC105" s="59"/>
      <c r="CD105" s="59"/>
      <c r="CE105" s="59"/>
      <c r="CF105" s="59"/>
      <c r="CG105" s="59"/>
      <c r="CH105" s="59"/>
      <c r="CI105" s="59"/>
      <c r="CJ105" s="59"/>
      <c r="CK105" s="59"/>
      <c r="CL105" s="59"/>
    </row>
    <row r="106" spans="1:90" x14ac:dyDescent="0.25">
      <c r="A106" s="9"/>
      <c r="B106" s="9"/>
      <c r="C106" s="3" t="s">
        <v>11</v>
      </c>
      <c r="D106" s="3"/>
      <c r="E106" s="3"/>
      <c r="F106" s="20"/>
      <c r="G106" s="20"/>
      <c r="H106" s="132">
        <v>7005.8508311311616</v>
      </c>
      <c r="I106" s="133">
        <v>7326.4032126876182</v>
      </c>
      <c r="J106" s="133">
        <v>7760.7069313246266</v>
      </c>
      <c r="K106" s="134">
        <v>8849.8139101249308</v>
      </c>
      <c r="L106" s="132">
        <v>10416.037645521332</v>
      </c>
      <c r="M106" s="133">
        <v>9765.175979351261</v>
      </c>
      <c r="N106" s="133">
        <v>8639.0683527132223</v>
      </c>
      <c r="O106" s="134">
        <v>8504.3760762947932</v>
      </c>
      <c r="P106" s="132">
        <v>7998.304651122633</v>
      </c>
      <c r="Q106" s="133">
        <v>7549.0468291666311</v>
      </c>
      <c r="R106" s="133">
        <v>8060.5994071193763</v>
      </c>
      <c r="S106" s="134">
        <v>8270.7019248841953</v>
      </c>
      <c r="T106" s="132">
        <v>5820.4125507262124</v>
      </c>
      <c r="U106" s="133">
        <v>8743.386268228016</v>
      </c>
      <c r="V106" s="133">
        <v>11124.338707532439</v>
      </c>
      <c r="W106" s="134">
        <v>10667.385364928852</v>
      </c>
      <c r="X106" s="132">
        <v>7536.3988216360931</v>
      </c>
      <c r="Y106" s="133">
        <v>15956.38895344519</v>
      </c>
      <c r="Z106" s="133">
        <v>16907.967542808692</v>
      </c>
      <c r="AA106" s="134">
        <v>18161.1227350687</v>
      </c>
      <c r="AB106" s="132">
        <v>14247.672682781118</v>
      </c>
      <c r="AC106" s="133">
        <v>13296.401944632222</v>
      </c>
      <c r="AD106" s="133">
        <v>17369.916679321377</v>
      </c>
      <c r="AE106" s="134">
        <v>11258.84897653394</v>
      </c>
      <c r="AF106" s="132">
        <v>9018.9721095897094</v>
      </c>
      <c r="AG106" s="133">
        <v>8968.7112267980538</v>
      </c>
      <c r="AH106" s="133">
        <v>12744.293616211604</v>
      </c>
      <c r="AI106" s="134">
        <v>8659.5455297219487</v>
      </c>
      <c r="AJ106" s="132">
        <v>6901.1020021435952</v>
      </c>
      <c r="AK106" s="133">
        <v>10885.562228585126</v>
      </c>
      <c r="AL106" s="133">
        <v>9726.6518837450512</v>
      </c>
      <c r="AM106" s="134">
        <v>8349.3582842981905</v>
      </c>
      <c r="AN106" s="132">
        <v>8529.9335757400677</v>
      </c>
      <c r="AO106" s="133">
        <v>9114.6453535770488</v>
      </c>
      <c r="AP106" s="133">
        <v>10561.97352538843</v>
      </c>
      <c r="AQ106" s="134">
        <v>9853.969729905757</v>
      </c>
      <c r="AR106" s="132">
        <v>10342.026889448243</v>
      </c>
      <c r="AS106" s="133">
        <v>9976.9280545511247</v>
      </c>
      <c r="AT106" s="133">
        <v>10996.06028820862</v>
      </c>
      <c r="AU106" s="134">
        <v>11126.206050228369</v>
      </c>
      <c r="AV106" s="132">
        <v>8540.9491380790569</v>
      </c>
      <c r="AW106" s="133">
        <v>9800.8296695710324</v>
      </c>
      <c r="AX106" s="133">
        <v>8234.9454891148453</v>
      </c>
      <c r="AY106" s="134">
        <v>10901.345005008925</v>
      </c>
      <c r="AZ106" s="132">
        <v>8070.1405950624958</v>
      </c>
      <c r="BA106" s="133">
        <v>8840.039716970532</v>
      </c>
      <c r="BB106" s="133">
        <v>9510.0849178953758</v>
      </c>
      <c r="BC106" s="134">
        <v>10209.427037737751</v>
      </c>
      <c r="BD106" s="132">
        <v>9630.9666958843554</v>
      </c>
      <c r="BE106" s="133">
        <v>15281.268731599057</v>
      </c>
      <c r="BF106" s="133">
        <v>16000.248425602742</v>
      </c>
      <c r="BG106" s="134">
        <v>17100.481272028268</v>
      </c>
      <c r="BH106" s="132">
        <v>11778.828830759854</v>
      </c>
      <c r="BI106" s="133">
        <v>15012.050433919117</v>
      </c>
      <c r="BJ106" s="133">
        <v>16795.812186165818</v>
      </c>
      <c r="BK106" s="134">
        <v>15237.476266978239</v>
      </c>
      <c r="BL106" s="132">
        <v>11155.30966406623</v>
      </c>
      <c r="BM106" s="133">
        <v>13086.088939566704</v>
      </c>
      <c r="BN106" s="133">
        <v>14462.435970404096</v>
      </c>
      <c r="BO106" s="134">
        <v>13108.076009501188</v>
      </c>
      <c r="BP106" s="132">
        <v>10552.207926553308</v>
      </c>
      <c r="BQ106" s="133">
        <v>13057.918185500204</v>
      </c>
      <c r="BR106" s="133">
        <v>14477.044854881264</v>
      </c>
      <c r="BS106" s="134">
        <v>12663.877406996675</v>
      </c>
      <c r="BT106" s="133">
        <v>9487.0340356564011</v>
      </c>
      <c r="BU106" s="133"/>
      <c r="BV106" s="57"/>
      <c r="BW106" s="58"/>
      <c r="BX106" s="59"/>
      <c r="BY106" s="59"/>
      <c r="BZ106" s="59"/>
      <c r="CA106" s="59"/>
      <c r="CB106" s="59"/>
      <c r="CC106" s="59"/>
      <c r="CD106" s="59"/>
      <c r="CE106" s="59"/>
      <c r="CF106" s="59"/>
      <c r="CG106" s="59"/>
      <c r="CH106" s="59"/>
      <c r="CI106" s="59"/>
      <c r="CJ106" s="59"/>
      <c r="CK106" s="59"/>
      <c r="CL106" s="59"/>
    </row>
    <row r="107" spans="1:90" x14ac:dyDescent="0.25">
      <c r="A107" s="9"/>
      <c r="B107" s="9"/>
      <c r="C107" s="3" t="s">
        <v>12</v>
      </c>
      <c r="D107" s="3"/>
      <c r="E107" s="3"/>
      <c r="F107" s="20"/>
      <c r="G107" s="20"/>
      <c r="H107" s="132">
        <v>8101.893234388539</v>
      </c>
      <c r="I107" s="133">
        <v>7760.4013575548643</v>
      </c>
      <c r="J107" s="133">
        <v>8497.2012983606764</v>
      </c>
      <c r="K107" s="134">
        <v>8861.3209024799544</v>
      </c>
      <c r="L107" s="132">
        <v>10644.756829551918</v>
      </c>
      <c r="M107" s="133">
        <v>9568.5727991418898</v>
      </c>
      <c r="N107" s="133">
        <v>9527.3304917645273</v>
      </c>
      <c r="O107" s="134">
        <v>9038.9551322424086</v>
      </c>
      <c r="P107" s="132">
        <v>8157.5489292701168</v>
      </c>
      <c r="Q107" s="133">
        <v>7919.3613093903114</v>
      </c>
      <c r="R107" s="133">
        <v>8561.8276936394159</v>
      </c>
      <c r="S107" s="134">
        <v>8428.1805572905705</v>
      </c>
      <c r="T107" s="132">
        <v>7129.3812755582239</v>
      </c>
      <c r="U107" s="133">
        <v>8857.5151900132569</v>
      </c>
      <c r="V107" s="133">
        <v>10468.352732339965</v>
      </c>
      <c r="W107" s="134">
        <v>13419.723235767196</v>
      </c>
      <c r="X107" s="132">
        <v>9183.1091629492767</v>
      </c>
      <c r="Y107" s="133">
        <v>15521.173668554262</v>
      </c>
      <c r="Z107" s="133">
        <v>14979.306734620068</v>
      </c>
      <c r="AA107" s="134">
        <v>18587.820286443006</v>
      </c>
      <c r="AB107" s="132">
        <v>15389.832994682962</v>
      </c>
      <c r="AC107" s="133">
        <v>12194.355385182096</v>
      </c>
      <c r="AD107" s="133">
        <v>16677.884121064759</v>
      </c>
      <c r="AE107" s="134">
        <v>9166.8522084436154</v>
      </c>
      <c r="AF107" s="132">
        <v>9748.3965313933531</v>
      </c>
      <c r="AG107" s="133">
        <v>8716.8372158626462</v>
      </c>
      <c r="AH107" s="133">
        <v>11340.206904813447</v>
      </c>
      <c r="AI107" s="134">
        <v>9703.5994890670463</v>
      </c>
      <c r="AJ107" s="132">
        <v>7509.8053630166232</v>
      </c>
      <c r="AK107" s="133">
        <v>10014.414922544262</v>
      </c>
      <c r="AL107" s="133">
        <v>9747.507015968562</v>
      </c>
      <c r="AM107" s="134">
        <v>9233.8587312884174</v>
      </c>
      <c r="AN107" s="132">
        <v>8639.9576659341237</v>
      </c>
      <c r="AO107" s="133">
        <v>8598.4251357407902</v>
      </c>
      <c r="AP107" s="133">
        <v>9957.8596410926148</v>
      </c>
      <c r="AQ107" s="134">
        <v>8448.7516164925983</v>
      </c>
      <c r="AR107" s="132">
        <v>9959.0013061495119</v>
      </c>
      <c r="AS107" s="133">
        <v>9360.1478738707665</v>
      </c>
      <c r="AT107" s="133">
        <v>10359.398928855111</v>
      </c>
      <c r="AU107" s="134">
        <v>10678.779868082553</v>
      </c>
      <c r="AV107" s="132">
        <v>10019.564573106949</v>
      </c>
      <c r="AW107" s="133">
        <v>9023.2425931443449</v>
      </c>
      <c r="AX107" s="133">
        <v>8029.6320212730925</v>
      </c>
      <c r="AY107" s="134">
        <v>9848.9697407479962</v>
      </c>
      <c r="AZ107" s="132">
        <v>8459.2468892922443</v>
      </c>
      <c r="BA107" s="133">
        <v>8009.0755330355887</v>
      </c>
      <c r="BB107" s="133">
        <v>9123.3214247266114</v>
      </c>
      <c r="BC107" s="134">
        <v>9747.8157366437026</v>
      </c>
      <c r="BD107" s="132">
        <v>8844.8364619403437</v>
      </c>
      <c r="BE107" s="133">
        <v>11468.085006317913</v>
      </c>
      <c r="BF107" s="133">
        <v>13949.537307314893</v>
      </c>
      <c r="BG107" s="134">
        <v>13300.585255219681</v>
      </c>
      <c r="BH107" s="132">
        <v>10460.634269114589</v>
      </c>
      <c r="BI107" s="133">
        <v>12964.521430219791</v>
      </c>
      <c r="BJ107" s="133">
        <v>17401.110386579854</v>
      </c>
      <c r="BK107" s="134">
        <v>15579.815977800496</v>
      </c>
      <c r="BL107" s="132">
        <v>11770.41872313326</v>
      </c>
      <c r="BM107" s="133">
        <v>12879.418472063853</v>
      </c>
      <c r="BN107" s="133">
        <v>14972.680705748435</v>
      </c>
      <c r="BO107" s="134">
        <v>12868.60289354351</v>
      </c>
      <c r="BP107" s="132">
        <v>10583.952932048876</v>
      </c>
      <c r="BQ107" s="133">
        <v>12938.166599162954</v>
      </c>
      <c r="BR107" s="133">
        <v>14548.680738786279</v>
      </c>
      <c r="BS107" s="134">
        <v>12561.346909970764</v>
      </c>
      <c r="BT107" s="133">
        <v>9864.9378714208524</v>
      </c>
      <c r="BU107" s="133"/>
      <c r="BV107" s="57"/>
      <c r="BW107" s="58"/>
      <c r="BX107" s="59"/>
      <c r="BY107" s="59"/>
      <c r="BZ107" s="59"/>
      <c r="CA107" s="59"/>
      <c r="CB107" s="59"/>
      <c r="CC107" s="59"/>
      <c r="CD107" s="59"/>
      <c r="CE107" s="59"/>
      <c r="CF107" s="59"/>
      <c r="CG107" s="59"/>
      <c r="CH107" s="59"/>
      <c r="CI107" s="59"/>
      <c r="CJ107" s="59"/>
      <c r="CK107" s="59"/>
      <c r="CL107" s="59"/>
    </row>
    <row r="108" spans="1:90" x14ac:dyDescent="0.25">
      <c r="A108" s="9"/>
      <c r="B108" s="9"/>
      <c r="C108" s="3" t="s">
        <v>13</v>
      </c>
      <c r="D108" s="3"/>
      <c r="E108" s="3"/>
      <c r="F108" s="20"/>
      <c r="G108" s="20"/>
      <c r="H108" s="132">
        <v>5618.9876902395854</v>
      </c>
      <c r="I108" s="133">
        <v>6657.3026699281972</v>
      </c>
      <c r="J108" s="133">
        <v>7302.4538296212895</v>
      </c>
      <c r="K108" s="134">
        <v>8475.4940642675137</v>
      </c>
      <c r="L108" s="132">
        <v>9371.9593656254765</v>
      </c>
      <c r="M108" s="133">
        <v>8886.1490583715949</v>
      </c>
      <c r="N108" s="133">
        <v>8394.0489560781043</v>
      </c>
      <c r="O108" s="134">
        <v>8077.4889898756455</v>
      </c>
      <c r="P108" s="132">
        <v>7300.2629752149833</v>
      </c>
      <c r="Q108" s="133">
        <v>6970.2210570511797</v>
      </c>
      <c r="R108" s="133">
        <v>7387.6509996416162</v>
      </c>
      <c r="S108" s="134">
        <v>7172.687274307953</v>
      </c>
      <c r="T108" s="132">
        <v>4266.6475951589191</v>
      </c>
      <c r="U108" s="133">
        <v>8320.4757235969955</v>
      </c>
      <c r="V108" s="133">
        <v>10616.591918799662</v>
      </c>
      <c r="W108" s="134">
        <v>10621.555049660778</v>
      </c>
      <c r="X108" s="132">
        <v>5641.1367489255117</v>
      </c>
      <c r="Y108" s="133">
        <v>15210.904307801875</v>
      </c>
      <c r="Z108" s="133">
        <v>16604.048974734655</v>
      </c>
      <c r="AA108" s="134">
        <v>17098.695121102228</v>
      </c>
      <c r="AB108" s="132">
        <v>12382.084347868798</v>
      </c>
      <c r="AC108" s="133">
        <v>13426.498650010724</v>
      </c>
      <c r="AD108" s="133">
        <v>17072.008680500428</v>
      </c>
      <c r="AE108" s="134">
        <v>10954.542001416465</v>
      </c>
      <c r="AF108" s="132">
        <v>8558.6188803797249</v>
      </c>
      <c r="AG108" s="133">
        <v>8909.7262194411778</v>
      </c>
      <c r="AH108" s="133">
        <v>13125.145155199314</v>
      </c>
      <c r="AI108" s="134">
        <v>8201.557383006193</v>
      </c>
      <c r="AJ108" s="132">
        <v>5670.594646838983</v>
      </c>
      <c r="AK108" s="133">
        <v>11304.170116942745</v>
      </c>
      <c r="AL108" s="133">
        <v>9745.0239549242815</v>
      </c>
      <c r="AM108" s="134">
        <v>8038.0922475182806</v>
      </c>
      <c r="AN108" s="132">
        <v>8285.417078931232</v>
      </c>
      <c r="AO108" s="133">
        <v>9028.274955457342</v>
      </c>
      <c r="AP108" s="133">
        <v>10839.299056818667</v>
      </c>
      <c r="AQ108" s="134">
        <v>10173.377186362501</v>
      </c>
      <c r="AR108" s="132">
        <v>10141.465397269405</v>
      </c>
      <c r="AS108" s="133">
        <v>10165.040903699868</v>
      </c>
      <c r="AT108" s="133">
        <v>11539.651384832203</v>
      </c>
      <c r="AU108" s="134">
        <v>11142.205255193432</v>
      </c>
      <c r="AV108" s="132">
        <v>8180.496557429432</v>
      </c>
      <c r="AW108" s="133">
        <v>9936.1288869187338</v>
      </c>
      <c r="AX108" s="133">
        <v>8376.8932592407</v>
      </c>
      <c r="AY108" s="134">
        <v>10714.684800400095</v>
      </c>
      <c r="AZ108" s="132">
        <v>6830.6485350649582</v>
      </c>
      <c r="BA108" s="133">
        <v>8481.825606167462</v>
      </c>
      <c r="BB108" s="133">
        <v>9184.9944433488654</v>
      </c>
      <c r="BC108" s="134">
        <v>10012.708071146382</v>
      </c>
      <c r="BD108" s="132">
        <v>8726.7830890329533</v>
      </c>
      <c r="BE108" s="133">
        <v>14825.674323495568</v>
      </c>
      <c r="BF108" s="133">
        <v>15993.844013564038</v>
      </c>
      <c r="BG108" s="134">
        <v>13941.456275004894</v>
      </c>
      <c r="BH108" s="132">
        <v>9693.0456372679673</v>
      </c>
      <c r="BI108" s="133">
        <v>15096.588437681383</v>
      </c>
      <c r="BJ108" s="133">
        <v>16437.750888527575</v>
      </c>
      <c r="BK108" s="134">
        <v>14411.128961589016</v>
      </c>
      <c r="BL108" s="132">
        <v>9712.6253781245014</v>
      </c>
      <c r="BM108" s="133">
        <v>12539.053591790194</v>
      </c>
      <c r="BN108" s="133">
        <v>14004.126351735911</v>
      </c>
      <c r="BO108" s="134">
        <v>12121.572014683652</v>
      </c>
      <c r="BP108" s="132">
        <v>8724.9951509665734</v>
      </c>
      <c r="BQ108" s="133">
        <v>12164.034021871204</v>
      </c>
      <c r="BR108" s="133">
        <v>13390.501319261213</v>
      </c>
      <c r="BS108" s="134">
        <v>11615.888698457506</v>
      </c>
      <c r="BT108" s="133">
        <v>7977.5410974762672</v>
      </c>
      <c r="BU108" s="133"/>
      <c r="BV108" s="57"/>
      <c r="BW108" s="58"/>
      <c r="BX108" s="59"/>
      <c r="BY108" s="59"/>
      <c r="BZ108" s="59"/>
      <c r="CA108" s="59"/>
      <c r="CB108" s="59"/>
      <c r="CC108" s="59"/>
      <c r="CD108" s="59"/>
      <c r="CE108" s="59"/>
      <c r="CF108" s="59"/>
      <c r="CG108" s="59"/>
      <c r="CH108" s="59"/>
      <c r="CI108" s="59"/>
      <c r="CJ108" s="59"/>
      <c r="CK108" s="59"/>
      <c r="CL108" s="59"/>
    </row>
    <row r="109" spans="1:90" x14ac:dyDescent="0.25">
      <c r="A109" s="9"/>
      <c r="B109" s="9"/>
      <c r="C109" s="3" t="s">
        <v>14</v>
      </c>
      <c r="D109" s="3"/>
      <c r="E109" s="3"/>
      <c r="F109" s="20"/>
      <c r="G109" s="20"/>
      <c r="H109" s="132">
        <v>7955.708851378793</v>
      </c>
      <c r="I109" s="133">
        <v>7108.9859977798969</v>
      </c>
      <c r="J109" s="133">
        <v>7793.3152078836365</v>
      </c>
      <c r="K109" s="134">
        <v>9211.4112957039488</v>
      </c>
      <c r="L109" s="132">
        <v>10513.061788280613</v>
      </c>
      <c r="M109" s="133">
        <v>9571.6938359575888</v>
      </c>
      <c r="N109" s="133">
        <v>8916.3103524125199</v>
      </c>
      <c r="O109" s="134">
        <v>8769.1945271918976</v>
      </c>
      <c r="P109" s="132">
        <v>8780.6790664117489</v>
      </c>
      <c r="Q109" s="133">
        <v>7199.1396719478334</v>
      </c>
      <c r="R109" s="133">
        <v>7597.9556490273098</v>
      </c>
      <c r="S109" s="134">
        <v>7559.8313694793533</v>
      </c>
      <c r="T109" s="132">
        <v>10635.287525393105</v>
      </c>
      <c r="U109" s="133">
        <v>6736.5017906429348</v>
      </c>
      <c r="V109" s="133">
        <v>6755.4889853091227</v>
      </c>
      <c r="W109" s="134">
        <v>7604.2114630347596</v>
      </c>
      <c r="X109" s="132">
        <v>11427.419441330732</v>
      </c>
      <c r="Y109" s="133">
        <v>9559.3801391524376</v>
      </c>
      <c r="Z109" s="133"/>
      <c r="AA109" s="134"/>
      <c r="AB109" s="132">
        <v>12245.807331395583</v>
      </c>
      <c r="AC109" s="133">
        <v>10421.993883928837</v>
      </c>
      <c r="AD109" s="133">
        <v>7381.4219401845003</v>
      </c>
      <c r="AE109" s="134">
        <v>8338.3233993788108</v>
      </c>
      <c r="AF109" s="132">
        <v>8716.5373156287951</v>
      </c>
      <c r="AG109" s="133">
        <v>7485.9323454412524</v>
      </c>
      <c r="AH109" s="133"/>
      <c r="AI109" s="134">
        <v>8766.2098113245174</v>
      </c>
      <c r="AJ109" s="132">
        <v>11170.117038982813</v>
      </c>
      <c r="AK109" s="133">
        <v>9589.1763400153632</v>
      </c>
      <c r="AL109" s="133">
        <v>8351.990908289823</v>
      </c>
      <c r="AM109" s="134">
        <v>7670.4875143305326</v>
      </c>
      <c r="AN109" s="132">
        <v>9264.9929024870326</v>
      </c>
      <c r="AO109" s="133">
        <v>7883.4984165173091</v>
      </c>
      <c r="AP109" s="133">
        <v>8691.6414385121516</v>
      </c>
      <c r="AQ109" s="134">
        <v>9712.6176191949144</v>
      </c>
      <c r="AR109" s="132">
        <v>9237.453951257181</v>
      </c>
      <c r="AS109" s="133">
        <v>8751.3096235666635</v>
      </c>
      <c r="AT109" s="133">
        <v>8810.6340313286055</v>
      </c>
      <c r="AU109" s="134">
        <v>8042.0735934796085</v>
      </c>
      <c r="AV109" s="132">
        <v>7736.8312272715375</v>
      </c>
      <c r="AW109" s="133">
        <v>8054.1841848316571</v>
      </c>
      <c r="AX109" s="133">
        <v>7526.227663750059</v>
      </c>
      <c r="AY109" s="134">
        <v>9579.1922271934563</v>
      </c>
      <c r="AZ109" s="132">
        <v>9448.5053725580019</v>
      </c>
      <c r="BA109" s="133">
        <v>7737.6990690927223</v>
      </c>
      <c r="BB109" s="133">
        <v>8229.1281927772725</v>
      </c>
      <c r="BC109" s="134">
        <v>10879.87374996283</v>
      </c>
      <c r="BD109" s="132">
        <v>9901.1306110536352</v>
      </c>
      <c r="BE109" s="133">
        <v>10390.460653625511</v>
      </c>
      <c r="BF109" s="133">
        <v>8926.1097876266012</v>
      </c>
      <c r="BG109" s="134">
        <v>9516.2569959526718</v>
      </c>
      <c r="BH109" s="132">
        <v>11656.127459003346</v>
      </c>
      <c r="BI109" s="133">
        <v>11221.290278934801</v>
      </c>
      <c r="BJ109" s="133">
        <v>11642.304269257957</v>
      </c>
      <c r="BK109" s="134">
        <v>0</v>
      </c>
      <c r="BL109" s="132">
        <v>0</v>
      </c>
      <c r="BM109" s="133">
        <v>0</v>
      </c>
      <c r="BN109" s="133">
        <v>0</v>
      </c>
      <c r="BO109" s="134">
        <v>0</v>
      </c>
      <c r="BP109" s="132">
        <v>0</v>
      </c>
      <c r="BQ109" s="133">
        <v>0</v>
      </c>
      <c r="BR109" s="133">
        <v>0</v>
      </c>
      <c r="BS109" s="134">
        <v>0</v>
      </c>
      <c r="BT109" s="133">
        <v>0</v>
      </c>
      <c r="BU109" s="133"/>
      <c r="BV109" s="57"/>
      <c r="BW109" s="58"/>
      <c r="BX109" s="59"/>
      <c r="BY109" s="59"/>
      <c r="BZ109" s="59"/>
      <c r="CA109" s="59"/>
      <c r="CB109" s="59"/>
      <c r="CC109" s="59"/>
      <c r="CD109" s="59"/>
      <c r="CE109" s="59"/>
      <c r="CF109" s="59"/>
      <c r="CG109" s="59"/>
      <c r="CH109" s="59"/>
      <c r="CI109" s="59"/>
      <c r="CJ109" s="59"/>
      <c r="CK109" s="59"/>
      <c r="CL109" s="59"/>
    </row>
    <row r="110" spans="1:90" x14ac:dyDescent="0.25">
      <c r="A110" s="9"/>
      <c r="B110" s="9"/>
      <c r="C110" s="3" t="s">
        <v>15</v>
      </c>
      <c r="D110" s="3"/>
      <c r="E110" s="3"/>
      <c r="F110" s="20"/>
      <c r="G110" s="20"/>
      <c r="H110" s="132">
        <v>6777.2634541971947</v>
      </c>
      <c r="I110" s="133">
        <v>5523.2919282911025</v>
      </c>
      <c r="J110" s="133">
        <v>6233.4771139498016</v>
      </c>
      <c r="K110" s="134">
        <v>6185.0329124387063</v>
      </c>
      <c r="L110" s="132">
        <v>9862.3599921625228</v>
      </c>
      <c r="M110" s="133">
        <v>8683.9382901638255</v>
      </c>
      <c r="N110" s="133">
        <v>8240.4688585874283</v>
      </c>
      <c r="O110" s="134">
        <v>6796.4533642315218</v>
      </c>
      <c r="P110" s="132">
        <v>7866.6634197673793</v>
      </c>
      <c r="Q110" s="133">
        <v>6453.2578774882904</v>
      </c>
      <c r="R110" s="133">
        <v>6865.9687213270236</v>
      </c>
      <c r="S110" s="134">
        <v>6905.4974344800958</v>
      </c>
      <c r="T110" s="132">
        <v>8875.5407329928439</v>
      </c>
      <c r="U110" s="133">
        <v>5850.3509175995941</v>
      </c>
      <c r="V110" s="133">
        <v>6102.0228722917836</v>
      </c>
      <c r="W110" s="134">
        <v>6418.9136667885923</v>
      </c>
      <c r="X110" s="132">
        <v>9403.7823826130298</v>
      </c>
      <c r="Y110" s="133">
        <v>7207.5985663082447</v>
      </c>
      <c r="Z110" s="133"/>
      <c r="AA110" s="134"/>
      <c r="AB110" s="132">
        <v>11008.294163123859</v>
      </c>
      <c r="AC110" s="133">
        <v>8870.0521833451494</v>
      </c>
      <c r="AD110" s="133">
        <v>6975.9927140255013</v>
      </c>
      <c r="AE110" s="134">
        <v>7827.9940881157954</v>
      </c>
      <c r="AF110" s="132">
        <v>7932.145878544894</v>
      </c>
      <c r="AG110" s="133">
        <v>6671.2899065009487</v>
      </c>
      <c r="AH110" s="133"/>
      <c r="AI110" s="134">
        <v>7220.6083155727347</v>
      </c>
      <c r="AJ110" s="132">
        <v>7690.302605632929</v>
      </c>
      <c r="AK110" s="133">
        <v>6572.1370068094811</v>
      </c>
      <c r="AL110" s="133">
        <v>7536.924251925765</v>
      </c>
      <c r="AM110" s="134">
        <v>6467.4329462985097</v>
      </c>
      <c r="AN110" s="132">
        <v>7806.9925014379724</v>
      </c>
      <c r="AO110" s="133">
        <v>7142.2367352119236</v>
      </c>
      <c r="AP110" s="133">
        <v>7135.6002782500482</v>
      </c>
      <c r="AQ110" s="134">
        <v>7036.4490186778694</v>
      </c>
      <c r="AR110" s="132">
        <v>8557.5741527591545</v>
      </c>
      <c r="AS110" s="133">
        <v>7316.9252073592652</v>
      </c>
      <c r="AT110" s="133">
        <v>7717.6583313528427</v>
      </c>
      <c r="AU110" s="134">
        <v>6838.2962680981527</v>
      </c>
      <c r="AV110" s="132">
        <v>7295.8547770414971</v>
      </c>
      <c r="AW110" s="133">
        <v>7291.7382023821638</v>
      </c>
      <c r="AX110" s="133">
        <v>7001.2479572347802</v>
      </c>
      <c r="AY110" s="134">
        <v>7620.9907656042924</v>
      </c>
      <c r="AZ110" s="132">
        <v>7641.650113092167</v>
      </c>
      <c r="BA110" s="133">
        <v>6392.2109916362042</v>
      </c>
      <c r="BB110" s="133">
        <v>7616.7163918097212</v>
      </c>
      <c r="BC110" s="134">
        <v>7875.5274279457308</v>
      </c>
      <c r="BD110" s="132">
        <v>8574.6646907586091</v>
      </c>
      <c r="BE110" s="133">
        <v>7066.4293263995651</v>
      </c>
      <c r="BF110" s="133">
        <v>8400.7398492830071</v>
      </c>
      <c r="BG110" s="134">
        <v>7535.231298376767</v>
      </c>
      <c r="BH110" s="132">
        <v>10630.35802542646</v>
      </c>
      <c r="BI110" s="133">
        <v>7457.8220476439947</v>
      </c>
      <c r="BJ110" s="133">
        <v>9101.8773157096275</v>
      </c>
      <c r="BK110" s="134">
        <v>9314.0908537327959</v>
      </c>
      <c r="BL110" s="132">
        <v>10624.073703184458</v>
      </c>
      <c r="BM110" s="133">
        <v>7980.2683504340966</v>
      </c>
      <c r="BN110" s="133">
        <v>8683.1007436080272</v>
      </c>
      <c r="BO110" s="134">
        <v>8209.9366332996615</v>
      </c>
      <c r="BP110" s="132">
        <v>9745.6088247772586</v>
      </c>
      <c r="BQ110" s="133">
        <v>7936.5178478509724</v>
      </c>
      <c r="BR110" s="133">
        <v>8367.8183043017998</v>
      </c>
      <c r="BS110" s="134">
        <v>7568.1600695954767</v>
      </c>
      <c r="BT110" s="133">
        <v>10677.99241117627</v>
      </c>
      <c r="BU110" s="133"/>
      <c r="BV110" s="57"/>
      <c r="BW110" s="58"/>
      <c r="BX110" s="59"/>
      <c r="BY110" s="59"/>
      <c r="BZ110" s="59"/>
      <c r="CA110" s="59"/>
      <c r="CB110" s="59"/>
      <c r="CC110" s="59"/>
      <c r="CD110" s="59"/>
      <c r="CE110" s="59"/>
      <c r="CF110" s="59"/>
      <c r="CG110" s="59"/>
      <c r="CH110" s="59"/>
      <c r="CI110" s="59"/>
      <c r="CJ110" s="59"/>
      <c r="CK110" s="59"/>
      <c r="CL110" s="59"/>
    </row>
    <row r="111" spans="1:90" x14ac:dyDescent="0.25">
      <c r="A111" s="9"/>
      <c r="B111" s="9"/>
      <c r="C111" s="3" t="s">
        <v>16</v>
      </c>
      <c r="D111" s="3"/>
      <c r="E111" s="3"/>
      <c r="F111" s="20"/>
      <c r="G111" s="20"/>
      <c r="H111" s="132">
        <v>6879.3457809407591</v>
      </c>
      <c r="I111" s="133">
        <v>5986.1037199271914</v>
      </c>
      <c r="J111" s="133">
        <v>6322.4946773385491</v>
      </c>
      <c r="K111" s="134">
        <v>6431.6674057076934</v>
      </c>
      <c r="L111" s="132">
        <v>7292.1957107287226</v>
      </c>
      <c r="M111" s="133">
        <v>6834.7029892899209</v>
      </c>
      <c r="N111" s="133">
        <v>6619.3961742838337</v>
      </c>
      <c r="O111" s="134">
        <v>6221.4742003625452</v>
      </c>
      <c r="P111" s="132">
        <v>6498.1873944562612</v>
      </c>
      <c r="Q111" s="133">
        <v>6374.4744152071389</v>
      </c>
      <c r="R111" s="133">
        <v>6905.0485056546977</v>
      </c>
      <c r="S111" s="134">
        <v>6858.4804133605803</v>
      </c>
      <c r="T111" s="132">
        <v>6240.4948504724043</v>
      </c>
      <c r="U111" s="133">
        <v>6392.7199057170519</v>
      </c>
      <c r="V111" s="133">
        <v>6805.8960068187916</v>
      </c>
      <c r="W111" s="134">
        <v>6076.9274364479761</v>
      </c>
      <c r="X111" s="132">
        <v>6535.6286586125298</v>
      </c>
      <c r="Y111" s="133">
        <v>7140.8967601377462</v>
      </c>
      <c r="Z111" s="133"/>
      <c r="AA111" s="134"/>
      <c r="AB111" s="132">
        <v>7043.6227773390965</v>
      </c>
      <c r="AC111" s="133">
        <v>6321.9215827561875</v>
      </c>
      <c r="AD111" s="133">
        <v>6082.1387860626364</v>
      </c>
      <c r="AE111" s="134">
        <v>5539.3732684701508</v>
      </c>
      <c r="AF111" s="132">
        <v>5945.2193537877884</v>
      </c>
      <c r="AG111" s="133">
        <v>6961.4222792845821</v>
      </c>
      <c r="AH111" s="133"/>
      <c r="AI111" s="134">
        <v>6146.739295164758</v>
      </c>
      <c r="AJ111" s="132">
        <v>7336.5112819013102</v>
      </c>
      <c r="AK111" s="133">
        <v>7404.2821396886311</v>
      </c>
      <c r="AL111" s="133">
        <v>9277.8193560703312</v>
      </c>
      <c r="AM111" s="134">
        <v>6679.306824630954</v>
      </c>
      <c r="AN111" s="132">
        <v>6897.0728695587932</v>
      </c>
      <c r="AO111" s="133">
        <v>7432.0049685939894</v>
      </c>
      <c r="AP111" s="133">
        <v>9029.9579355379883</v>
      </c>
      <c r="AQ111" s="134">
        <v>7466.7110018903113</v>
      </c>
      <c r="AR111" s="132">
        <v>7755.5126003923597</v>
      </c>
      <c r="AS111" s="133">
        <v>7948.8791625529202</v>
      </c>
      <c r="AT111" s="133">
        <v>9108.6170140171635</v>
      </c>
      <c r="AU111" s="134">
        <v>7624.5434199322881</v>
      </c>
      <c r="AV111" s="132">
        <v>149788.46020159885</v>
      </c>
      <c r="AW111" s="133">
        <v>7889.6529632264856</v>
      </c>
      <c r="AX111" s="133">
        <v>7261.8881379099876</v>
      </c>
      <c r="AY111" s="134">
        <v>6750.4109061792969</v>
      </c>
      <c r="AZ111" s="132">
        <v>6816.2670927265726</v>
      </c>
      <c r="BA111" s="133">
        <v>8090.1557331521626</v>
      </c>
      <c r="BB111" s="133">
        <v>7893.2164370289593</v>
      </c>
      <c r="BC111" s="134">
        <v>8183.3532938022827</v>
      </c>
      <c r="BD111" s="132">
        <v>7105.0137818017429</v>
      </c>
      <c r="BE111" s="133">
        <v>10266.085965409295</v>
      </c>
      <c r="BF111" s="133">
        <v>20074.262560802283</v>
      </c>
      <c r="BG111" s="134">
        <v>7962.9538670856127</v>
      </c>
      <c r="BH111" s="132">
        <v>9590.544223359313</v>
      </c>
      <c r="BI111" s="133">
        <v>10571.570279157035</v>
      </c>
      <c r="BJ111" s="133">
        <v>11125.293275107724</v>
      </c>
      <c r="BK111" s="134">
        <v>9838.0221653878943</v>
      </c>
      <c r="BL111" s="132">
        <v>14798.517925095131</v>
      </c>
      <c r="BM111" s="133">
        <v>11990.303303641898</v>
      </c>
      <c r="BN111" s="133">
        <v>14143.017215035141</v>
      </c>
      <c r="BO111" s="134">
        <v>10387.271558453487</v>
      </c>
      <c r="BP111" s="132">
        <v>13083.241408570215</v>
      </c>
      <c r="BQ111" s="133">
        <v>10864.918305755022</v>
      </c>
      <c r="BR111" s="133">
        <v>14087.094601097104</v>
      </c>
      <c r="BS111" s="134">
        <v>9903.1752936059147</v>
      </c>
      <c r="BT111" s="133">
        <v>14594.170403587445</v>
      </c>
      <c r="BU111" s="133"/>
      <c r="BV111" s="57"/>
      <c r="BW111" s="58"/>
      <c r="BX111" s="59"/>
      <c r="BY111" s="59"/>
      <c r="BZ111" s="59"/>
      <c r="CA111" s="59"/>
      <c r="CB111" s="59"/>
      <c r="CC111" s="59"/>
      <c r="CD111" s="59"/>
      <c r="CE111" s="59"/>
      <c r="CF111" s="59"/>
      <c r="CG111" s="59"/>
      <c r="CH111" s="59"/>
      <c r="CI111" s="59"/>
      <c r="CJ111" s="59"/>
      <c r="CK111" s="59"/>
      <c r="CL111" s="59"/>
    </row>
    <row r="112" spans="1:90" x14ac:dyDescent="0.25">
      <c r="A112" s="9"/>
      <c r="B112" s="9"/>
      <c r="C112" s="3" t="s">
        <v>17</v>
      </c>
      <c r="D112" s="3"/>
      <c r="E112" s="3"/>
      <c r="F112" s="20"/>
      <c r="G112" s="20"/>
      <c r="H112" s="132">
        <v>6929.7226540631882</v>
      </c>
      <c r="I112" s="133">
        <v>6039.9535366391983</v>
      </c>
      <c r="J112" s="133">
        <v>6333.5722021495176</v>
      </c>
      <c r="K112" s="134">
        <v>6460.2015644709263</v>
      </c>
      <c r="L112" s="132">
        <v>7291.433962061682</v>
      </c>
      <c r="M112" s="133">
        <v>6825.0648622874505</v>
      </c>
      <c r="N112" s="133">
        <v>6595.1869675366252</v>
      </c>
      <c r="O112" s="134">
        <v>6255.7419261324503</v>
      </c>
      <c r="P112" s="132">
        <v>6494.2333987924567</v>
      </c>
      <c r="Q112" s="133">
        <v>6347.8032471794031</v>
      </c>
      <c r="R112" s="133">
        <v>6868.1419396076244</v>
      </c>
      <c r="S112" s="134">
        <v>6792.2217563281411</v>
      </c>
      <c r="T112" s="132">
        <v>6275.0824924504814</v>
      </c>
      <c r="U112" s="133">
        <v>6379.8365486649172</v>
      </c>
      <c r="V112" s="133">
        <v>6748.171014401918</v>
      </c>
      <c r="W112" s="134">
        <v>6103.7303854625925</v>
      </c>
      <c r="X112" s="132">
        <v>6533.5463631834609</v>
      </c>
      <c r="Y112" s="133">
        <v>7085.4283505516914</v>
      </c>
      <c r="Z112" s="133"/>
      <c r="AA112" s="134"/>
      <c r="AB112" s="132">
        <v>7016.0682235763879</v>
      </c>
      <c r="AC112" s="133">
        <v>6244.9272987072791</v>
      </c>
      <c r="AD112" s="133">
        <v>6005.7277160820258</v>
      </c>
      <c r="AE112" s="134">
        <v>5338.934065736802</v>
      </c>
      <c r="AF112" s="132">
        <v>5569.9559663494638</v>
      </c>
      <c r="AG112" s="133">
        <v>6025.9930930770279</v>
      </c>
      <c r="AH112" s="133"/>
      <c r="AI112" s="134">
        <v>5535.1369216594612</v>
      </c>
      <c r="AJ112" s="132">
        <v>7192.4664439397466</v>
      </c>
      <c r="AK112" s="133">
        <v>7235.0970882740103</v>
      </c>
      <c r="AL112" s="133">
        <v>9204.9395633228487</v>
      </c>
      <c r="AM112" s="134">
        <v>6665.4191529875352</v>
      </c>
      <c r="AN112" s="132">
        <v>6807.966100800516</v>
      </c>
      <c r="AO112" s="133">
        <v>7259.7359571192792</v>
      </c>
      <c r="AP112" s="133">
        <v>8895.5967042928078</v>
      </c>
      <c r="AQ112" s="134">
        <v>7202.9681473454611</v>
      </c>
      <c r="AR112" s="132">
        <v>7666.5169737829965</v>
      </c>
      <c r="AS112" s="133">
        <v>7652.9807917854287</v>
      </c>
      <c r="AT112" s="133">
        <v>8948.8821329995117</v>
      </c>
      <c r="AU112" s="134">
        <v>7487.3783265381953</v>
      </c>
      <c r="AV112" s="132">
        <v>149776.00435040981</v>
      </c>
      <c r="AW112" s="133">
        <v>7489.9203173752494</v>
      </c>
      <c r="AX112" s="133">
        <v>7235.9635318533838</v>
      </c>
      <c r="AY112" s="134">
        <v>6558.1603799453769</v>
      </c>
      <c r="AZ112" s="132">
        <v>6488.0038065526624</v>
      </c>
      <c r="BA112" s="133">
        <v>7230.4887076676441</v>
      </c>
      <c r="BB112" s="133">
        <v>7899.5106039872899</v>
      </c>
      <c r="BC112" s="134">
        <v>7979.6997603151058</v>
      </c>
      <c r="BD112" s="132">
        <v>6836.5308787703734</v>
      </c>
      <c r="BE112" s="133">
        <v>9680.1356538784385</v>
      </c>
      <c r="BF112" s="133">
        <v>19686.779432835312</v>
      </c>
      <c r="BG112" s="134">
        <v>7522.313769559616</v>
      </c>
      <c r="BH112" s="132">
        <v>9391.3692716726891</v>
      </c>
      <c r="BI112" s="133">
        <v>9572.7485841482776</v>
      </c>
      <c r="BJ112" s="133">
        <v>11152.631070091153</v>
      </c>
      <c r="BK112" s="134">
        <v>10182.072829131654</v>
      </c>
      <c r="BL112" s="132">
        <v>13623.372721810534</v>
      </c>
      <c r="BM112" s="133">
        <v>10466.456195737963</v>
      </c>
      <c r="BN112" s="133">
        <v>15151.573800550064</v>
      </c>
      <c r="BO112" s="134">
        <v>8906.1438148590314</v>
      </c>
      <c r="BP112" s="132">
        <v>12834.280865507002</v>
      </c>
      <c r="BQ112" s="133">
        <v>9651.9929233010735</v>
      </c>
      <c r="BR112" s="133">
        <v>14056.298720046194</v>
      </c>
      <c r="BS112" s="134">
        <v>8535.4501957372759</v>
      </c>
      <c r="BT112" s="133">
        <v>13964.010578360356</v>
      </c>
      <c r="BU112" s="133"/>
      <c r="BV112" s="57"/>
      <c r="BW112" s="58"/>
      <c r="BX112" s="59"/>
      <c r="BY112" s="59"/>
      <c r="BZ112" s="59"/>
      <c r="CA112" s="59"/>
      <c r="CB112" s="59"/>
      <c r="CC112" s="59"/>
      <c r="CD112" s="59"/>
      <c r="CE112" s="59"/>
      <c r="CF112" s="59"/>
      <c r="CG112" s="59"/>
      <c r="CH112" s="59"/>
      <c r="CI112" s="59"/>
      <c r="CJ112" s="59"/>
      <c r="CK112" s="59"/>
      <c r="CL112" s="59"/>
    </row>
    <row r="113" spans="1:90" x14ac:dyDescent="0.25">
      <c r="A113" s="9"/>
      <c r="B113" s="9"/>
      <c r="C113" s="3" t="s">
        <v>18</v>
      </c>
      <c r="D113" s="3"/>
      <c r="E113" s="3"/>
      <c r="F113" s="20"/>
      <c r="G113" s="20"/>
      <c r="H113" s="132">
        <v>7002.3284772837351</v>
      </c>
      <c r="I113" s="133">
        <v>5826.6849263065305</v>
      </c>
      <c r="J113" s="133">
        <v>6304.6523846288856</v>
      </c>
      <c r="K113" s="134">
        <v>6503.5603122053717</v>
      </c>
      <c r="L113" s="132">
        <v>7275.3279852649512</v>
      </c>
      <c r="M113" s="133">
        <v>6811.2447150599482</v>
      </c>
      <c r="N113" s="133">
        <v>6623.4784575173408</v>
      </c>
      <c r="O113" s="134">
        <v>6248.1613172995903</v>
      </c>
      <c r="P113" s="132">
        <v>6467.3865729234985</v>
      </c>
      <c r="Q113" s="133">
        <v>6318.35822761694</v>
      </c>
      <c r="R113" s="133">
        <v>6897.2937865338818</v>
      </c>
      <c r="S113" s="134">
        <v>6846.9528476277101</v>
      </c>
      <c r="T113" s="132">
        <v>6238.4296074945232</v>
      </c>
      <c r="U113" s="133">
        <v>6346.3446345057</v>
      </c>
      <c r="V113" s="133">
        <v>6768.0556763579871</v>
      </c>
      <c r="W113" s="134">
        <v>6071.737362062282</v>
      </c>
      <c r="X113" s="132">
        <v>6521.7414995640802</v>
      </c>
      <c r="Y113" s="133">
        <v>7132.7879682338889</v>
      </c>
      <c r="Z113" s="133"/>
      <c r="AA113" s="134"/>
      <c r="AB113" s="132">
        <v>6949.9558082438271</v>
      </c>
      <c r="AC113" s="133">
        <v>6252.9384363726949</v>
      </c>
      <c r="AD113" s="133">
        <v>5996.5791174569595</v>
      </c>
      <c r="AE113" s="134">
        <v>5481.3889337665514</v>
      </c>
      <c r="AF113" s="132">
        <v>5580.8435229022271</v>
      </c>
      <c r="AG113" s="133">
        <v>6404.0193298739287</v>
      </c>
      <c r="AH113" s="133"/>
      <c r="AI113" s="134">
        <v>5964.8440617317319</v>
      </c>
      <c r="AJ113" s="132">
        <v>7409.089990770608</v>
      </c>
      <c r="AK113" s="133">
        <v>7502.0840152149931</v>
      </c>
      <c r="AL113" s="133">
        <v>9304.3913012942721</v>
      </c>
      <c r="AM113" s="134">
        <v>6561.8344528430089</v>
      </c>
      <c r="AN113" s="132">
        <v>6846.6317155928946</v>
      </c>
      <c r="AO113" s="133">
        <v>7116.4553878774332</v>
      </c>
      <c r="AP113" s="133">
        <v>8987.8839241825008</v>
      </c>
      <c r="AQ113" s="134">
        <v>7559.6377192005275</v>
      </c>
      <c r="AR113" s="132">
        <v>7856.872176434189</v>
      </c>
      <c r="AS113" s="133">
        <v>7935.8214685191806</v>
      </c>
      <c r="AT113" s="133">
        <v>8991.8973643403551</v>
      </c>
      <c r="AU113" s="134">
        <v>7365.1915971980843</v>
      </c>
      <c r="AV113" s="132">
        <v>148963.95887292991</v>
      </c>
      <c r="AW113" s="133">
        <v>7370.4869356840791</v>
      </c>
      <c r="AX113" s="133">
        <v>7090.1763771304622</v>
      </c>
      <c r="AY113" s="134">
        <v>6312.2670386616164</v>
      </c>
      <c r="AZ113" s="132">
        <v>5989.4490670142095</v>
      </c>
      <c r="BA113" s="133">
        <v>7076.7391761138824</v>
      </c>
      <c r="BB113" s="133">
        <v>7810.5173980602831</v>
      </c>
      <c r="BC113" s="134">
        <v>8061.9709459070773</v>
      </c>
      <c r="BD113" s="132">
        <v>6902.9410490494001</v>
      </c>
      <c r="BE113" s="133">
        <v>9896.5618046425043</v>
      </c>
      <c r="BF113" s="133">
        <v>19414.599059109922</v>
      </c>
      <c r="BG113" s="134">
        <v>8012.089288480016</v>
      </c>
      <c r="BH113" s="132">
        <v>9343.4254869944198</v>
      </c>
      <c r="BI113" s="133">
        <v>10622.551987552204</v>
      </c>
      <c r="BJ113" s="133">
        <v>13276.21781989187</v>
      </c>
      <c r="BK113" s="134">
        <v>11008.159785653392</v>
      </c>
      <c r="BL113" s="132">
        <v>13780.592829961946</v>
      </c>
      <c r="BM113" s="133">
        <v>11263.051076784306</v>
      </c>
      <c r="BN113" s="133">
        <v>15734.134664357745</v>
      </c>
      <c r="BO113" s="134">
        <v>9891.541923041601</v>
      </c>
      <c r="BP113" s="132">
        <v>13670.428510818838</v>
      </c>
      <c r="BQ113" s="133">
        <v>11481.735872619422</v>
      </c>
      <c r="BR113" s="133">
        <v>14243.961120200174</v>
      </c>
      <c r="BS113" s="134">
        <v>9021.5745976511535</v>
      </c>
      <c r="BT113" s="133">
        <v>15108.313211452225</v>
      </c>
      <c r="BU113" s="133"/>
      <c r="BV113" s="57"/>
      <c r="BW113" s="58"/>
      <c r="BX113" s="59"/>
      <c r="BY113" s="59"/>
      <c r="BZ113" s="59"/>
      <c r="CA113" s="59"/>
      <c r="CB113" s="59"/>
      <c r="CC113" s="59"/>
      <c r="CD113" s="59"/>
      <c r="CE113" s="59"/>
      <c r="CF113" s="59"/>
      <c r="CG113" s="59"/>
      <c r="CH113" s="59"/>
      <c r="CI113" s="59"/>
      <c r="CJ113" s="59"/>
      <c r="CK113" s="59"/>
      <c r="CL113" s="59"/>
    </row>
    <row r="114" spans="1:90" x14ac:dyDescent="0.25">
      <c r="A114" s="9"/>
      <c r="B114" s="9"/>
      <c r="C114" s="3" t="s">
        <v>19</v>
      </c>
      <c r="D114" s="3"/>
      <c r="E114" s="3"/>
      <c r="F114" s="20"/>
      <c r="G114" s="20"/>
      <c r="H114" s="132">
        <v>5056.363206214528</v>
      </c>
      <c r="I114" s="133">
        <v>3383.7150487422978</v>
      </c>
      <c r="J114" s="133">
        <v>5794.4571054246271</v>
      </c>
      <c r="K114" s="134">
        <v>6653.0177804791283</v>
      </c>
      <c r="L114" s="132">
        <v>6926.8960557242435</v>
      </c>
      <c r="M114" s="133">
        <v>6392.7365907723852</v>
      </c>
      <c r="N114" s="133">
        <v>6743.1218023625997</v>
      </c>
      <c r="O114" s="134">
        <v>6882.3319112505942</v>
      </c>
      <c r="P114" s="132">
        <v>7174.7223223163528</v>
      </c>
      <c r="Q114" s="133">
        <v>6564.7597731428968</v>
      </c>
      <c r="R114" s="133">
        <v>6984.4018493693247</v>
      </c>
      <c r="S114" s="134">
        <v>7581.672709346507</v>
      </c>
      <c r="T114" s="132">
        <v>6913.6591791065521</v>
      </c>
      <c r="U114" s="133">
        <v>6639.3823099570327</v>
      </c>
      <c r="V114" s="133">
        <v>7301.8595471185781</v>
      </c>
      <c r="W114" s="134">
        <v>7404.2650383952205</v>
      </c>
      <c r="X114" s="132">
        <v>7772.4527493356718</v>
      </c>
      <c r="Y114" s="133">
        <v>7577.8125479203136</v>
      </c>
      <c r="Z114" s="133">
        <v>7840.073001177745</v>
      </c>
      <c r="AA114" s="134">
        <v>8074.1424492837359</v>
      </c>
      <c r="AB114" s="132">
        <v>8115.9652874690701</v>
      </c>
      <c r="AC114" s="133">
        <v>7544.4338106658415</v>
      </c>
      <c r="AD114" s="133">
        <v>7742.0834526595891</v>
      </c>
      <c r="AE114" s="134">
        <v>7200.6593085775012</v>
      </c>
      <c r="AF114" s="132">
        <v>6627.3772077918575</v>
      </c>
      <c r="AG114" s="133">
        <v>7143.1109012466231</v>
      </c>
      <c r="AH114" s="133">
        <v>7620.6952023320646</v>
      </c>
      <c r="AI114" s="134">
        <v>5617.433765676662</v>
      </c>
      <c r="AJ114" s="132">
        <v>6328.2256034972734</v>
      </c>
      <c r="AK114" s="133">
        <v>6376.5777085528907</v>
      </c>
      <c r="AL114" s="133">
        <v>4206.1328893339842</v>
      </c>
      <c r="AM114" s="134">
        <v>5243.4740054484755</v>
      </c>
      <c r="AN114" s="132">
        <v>5733.6848380653628</v>
      </c>
      <c r="AO114" s="133">
        <v>5695.7639627494509</v>
      </c>
      <c r="AP114" s="133">
        <v>7571.8767174222767</v>
      </c>
      <c r="AQ114" s="134">
        <v>6153.2168685243669</v>
      </c>
      <c r="AR114" s="132">
        <v>7371.9191270054098</v>
      </c>
      <c r="AS114" s="133">
        <v>9224.1269295445363</v>
      </c>
      <c r="AT114" s="133">
        <v>11671.153370768423</v>
      </c>
      <c r="AU114" s="134">
        <v>6820.4341054623428</v>
      </c>
      <c r="AV114" s="132">
        <v>4671.0825678124766</v>
      </c>
      <c r="AW114" s="133">
        <v>9055.3669656098082</v>
      </c>
      <c r="AX114" s="133">
        <v>7163.806951615612</v>
      </c>
      <c r="AY114" s="134">
        <v>7193.2851737468054</v>
      </c>
      <c r="AZ114" s="132">
        <v>8468.8118965836675</v>
      </c>
      <c r="BA114" s="133">
        <v>8550.5156645261723</v>
      </c>
      <c r="BB114" s="133">
        <v>9194.1206668704908</v>
      </c>
      <c r="BC114" s="134">
        <v>7712.8507072675238</v>
      </c>
      <c r="BD114" s="132">
        <v>8177.4649856795631</v>
      </c>
      <c r="BE114" s="133">
        <v>9685.1029540567124</v>
      </c>
      <c r="BF114" s="133">
        <v>10615.654024435606</v>
      </c>
      <c r="BG114" s="134">
        <v>8652.3665142401496</v>
      </c>
      <c r="BH114" s="132">
        <v>14467.709875456814</v>
      </c>
      <c r="BI114" s="133">
        <v>14085.206818371158</v>
      </c>
      <c r="BJ114" s="133">
        <v>18419.275034759543</v>
      </c>
      <c r="BK114" s="134">
        <v>11008.420705027656</v>
      </c>
      <c r="BL114" s="132">
        <v>9327.6280650643348</v>
      </c>
      <c r="BM114" s="133">
        <v>11536.573095884896</v>
      </c>
      <c r="BN114" s="133">
        <v>12479.285293540153</v>
      </c>
      <c r="BO114" s="134">
        <v>9961.5518845974857</v>
      </c>
      <c r="BP114" s="132">
        <v>9800.1392011992721</v>
      </c>
      <c r="BQ114" s="133">
        <v>10178.522634119683</v>
      </c>
      <c r="BR114" s="133">
        <v>13062.766967252017</v>
      </c>
      <c r="BS114" s="134">
        <v>10067.572062084259</v>
      </c>
      <c r="BT114" s="133">
        <v>9991.0661692519152</v>
      </c>
      <c r="BU114" s="133"/>
      <c r="BV114" s="57"/>
      <c r="BW114" s="58"/>
      <c r="BX114" s="59"/>
      <c r="BY114" s="59"/>
      <c r="BZ114" s="59"/>
      <c r="CA114" s="59"/>
      <c r="CB114" s="59"/>
      <c r="CC114" s="59"/>
      <c r="CD114" s="59"/>
      <c r="CE114" s="59"/>
      <c r="CF114" s="59"/>
      <c r="CG114" s="59"/>
      <c r="CH114" s="59"/>
      <c r="CI114" s="59"/>
      <c r="CJ114" s="59"/>
      <c r="CK114" s="59"/>
      <c r="CL114" s="59"/>
    </row>
    <row r="115" spans="1:90" x14ac:dyDescent="0.25">
      <c r="A115" s="9"/>
      <c r="B115" s="9"/>
      <c r="C115" s="3" t="s">
        <v>20</v>
      </c>
      <c r="D115" s="3"/>
      <c r="E115" s="3"/>
      <c r="F115" s="20"/>
      <c r="G115" s="20"/>
      <c r="H115" s="132">
        <v>5330.4795264684744</v>
      </c>
      <c r="I115" s="133">
        <v>3042.1408977835931</v>
      </c>
      <c r="J115" s="133">
        <v>5868.9262336473148</v>
      </c>
      <c r="K115" s="134">
        <v>6847.5431161307561</v>
      </c>
      <c r="L115" s="132">
        <v>7380.0095508817067</v>
      </c>
      <c r="M115" s="133">
        <v>7199.1621026822768</v>
      </c>
      <c r="N115" s="133">
        <v>7607.4935151334703</v>
      </c>
      <c r="O115" s="134">
        <v>7821.3284744903431</v>
      </c>
      <c r="P115" s="132">
        <v>10274.417173719834</v>
      </c>
      <c r="Q115" s="133">
        <v>8767.4822634592529</v>
      </c>
      <c r="R115" s="133">
        <v>9212.3104844726768</v>
      </c>
      <c r="S115" s="134">
        <v>9279.4684629090716</v>
      </c>
      <c r="T115" s="132">
        <v>8259.1639500155961</v>
      </c>
      <c r="U115" s="133">
        <v>7837.1947303260686</v>
      </c>
      <c r="V115" s="133">
        <v>8726.2738641580181</v>
      </c>
      <c r="W115" s="134">
        <v>9133.2750822368416</v>
      </c>
      <c r="X115" s="132">
        <v>9540.0137637568023</v>
      </c>
      <c r="Y115" s="133">
        <v>9761.8574294934187</v>
      </c>
      <c r="Z115" s="133">
        <v>10068.521764241499</v>
      </c>
      <c r="AA115" s="134">
        <v>10745.216700575189</v>
      </c>
      <c r="AB115" s="132">
        <v>10216.791500528527</v>
      </c>
      <c r="AC115" s="133">
        <v>9252.1835681671073</v>
      </c>
      <c r="AD115" s="133">
        <v>9986.0037799558904</v>
      </c>
      <c r="AE115" s="134">
        <v>9209.225899570687</v>
      </c>
      <c r="AF115" s="132">
        <v>7618.5169549010971</v>
      </c>
      <c r="AG115" s="133">
        <v>7905.668587515429</v>
      </c>
      <c r="AH115" s="133">
        <v>10398.849300649112</v>
      </c>
      <c r="AI115" s="134">
        <v>7809.307515509493</v>
      </c>
      <c r="AJ115" s="132">
        <v>7992.3655509590071</v>
      </c>
      <c r="AK115" s="133">
        <v>7632.9922072565541</v>
      </c>
      <c r="AL115" s="133">
        <v>5480.7663164245569</v>
      </c>
      <c r="AM115" s="134">
        <v>7368.6463470858871</v>
      </c>
      <c r="AN115" s="132">
        <v>7291.5151818635368</v>
      </c>
      <c r="AO115" s="133">
        <v>8459.2751151906541</v>
      </c>
      <c r="AP115" s="133">
        <v>9872.725380612379</v>
      </c>
      <c r="AQ115" s="134">
        <v>7865.3975978211138</v>
      </c>
      <c r="AR115" s="132">
        <v>8766.8720130390338</v>
      </c>
      <c r="AS115" s="133">
        <v>9106.7699753929992</v>
      </c>
      <c r="AT115" s="133">
        <v>14406.653639408687</v>
      </c>
      <c r="AU115" s="134">
        <v>8962.098258649492</v>
      </c>
      <c r="AV115" s="132">
        <v>9374.2741394633667</v>
      </c>
      <c r="AW115" s="133">
        <v>9390.356581160273</v>
      </c>
      <c r="AX115" s="133">
        <v>8244.7965245270243</v>
      </c>
      <c r="AY115" s="134">
        <v>8694.6530003360567</v>
      </c>
      <c r="AZ115" s="132">
        <v>9446.6221516544265</v>
      </c>
      <c r="BA115" s="133">
        <v>8439.4767566903247</v>
      </c>
      <c r="BB115" s="133">
        <v>9368.257085677038</v>
      </c>
      <c r="BC115" s="134">
        <v>8237.5520160711731</v>
      </c>
      <c r="BD115" s="132">
        <v>9165.0168883391871</v>
      </c>
      <c r="BE115" s="133">
        <v>8899.3922507165826</v>
      </c>
      <c r="BF115" s="133">
        <v>9796.5257081687578</v>
      </c>
      <c r="BG115" s="134">
        <v>10079.715745245114</v>
      </c>
      <c r="BH115" s="132">
        <v>14602.059437772172</v>
      </c>
      <c r="BI115" s="133">
        <v>14988.946862891808</v>
      </c>
      <c r="BJ115" s="133">
        <v>17236.238691316321</v>
      </c>
      <c r="BK115" s="134">
        <v>11671.42739205812</v>
      </c>
      <c r="BL115" s="132">
        <v>9396.2733673221646</v>
      </c>
      <c r="BM115" s="133">
        <v>10097.293490290775</v>
      </c>
      <c r="BN115" s="133">
        <v>10431.572746907517</v>
      </c>
      <c r="BO115" s="134">
        <v>10326.721731037691</v>
      </c>
      <c r="BP115" s="132">
        <v>10208.641182139414</v>
      </c>
      <c r="BQ115" s="133">
        <v>9383.459331450953</v>
      </c>
      <c r="BR115" s="133">
        <v>10661.841480778359</v>
      </c>
      <c r="BS115" s="134">
        <v>10649.611973392462</v>
      </c>
      <c r="BT115" s="133">
        <v>10456.410759866485</v>
      </c>
      <c r="BU115" s="133"/>
      <c r="BV115" s="57"/>
      <c r="BW115" s="58"/>
      <c r="BX115" s="59"/>
      <c r="BY115" s="59"/>
      <c r="BZ115" s="59"/>
      <c r="CA115" s="59"/>
      <c r="CB115" s="59"/>
      <c r="CC115" s="59"/>
      <c r="CD115" s="59"/>
      <c r="CE115" s="59"/>
      <c r="CF115" s="59"/>
      <c r="CG115" s="59"/>
      <c r="CH115" s="59"/>
      <c r="CI115" s="59"/>
      <c r="CJ115" s="59"/>
      <c r="CK115" s="59"/>
      <c r="CL115" s="59"/>
    </row>
    <row r="116" spans="1:90" x14ac:dyDescent="0.25">
      <c r="A116" s="9"/>
      <c r="B116" s="9"/>
      <c r="C116" s="3" t="s">
        <v>21</v>
      </c>
      <c r="D116" s="3"/>
      <c r="E116" s="3"/>
      <c r="F116" s="20"/>
      <c r="G116" s="20"/>
      <c r="H116" s="132">
        <v>5217.5638790568273</v>
      </c>
      <c r="I116" s="133">
        <v>2191.9990646797064</v>
      </c>
      <c r="J116" s="133">
        <v>5666.116753135524</v>
      </c>
      <c r="K116" s="134">
        <v>7295.394677784162</v>
      </c>
      <c r="L116" s="132">
        <v>7283.0702162828693</v>
      </c>
      <c r="M116" s="133">
        <v>6885.4917942264865</v>
      </c>
      <c r="N116" s="133">
        <v>7149.621634665803</v>
      </c>
      <c r="O116" s="134">
        <v>7656.8685683306903</v>
      </c>
      <c r="P116" s="132">
        <v>9170.2056617410053</v>
      </c>
      <c r="Q116" s="133">
        <v>7992.183582689132</v>
      </c>
      <c r="R116" s="133">
        <v>9171.1319916753764</v>
      </c>
      <c r="S116" s="134">
        <v>9563.5173287671696</v>
      </c>
      <c r="T116" s="132">
        <v>8589.5126656349858</v>
      </c>
      <c r="U116" s="133">
        <v>7980.4120696639884</v>
      </c>
      <c r="V116" s="133">
        <v>8730.0373031170802</v>
      </c>
      <c r="W116" s="134">
        <v>9029.6052631578932</v>
      </c>
      <c r="X116" s="132">
        <v>9830.5722346813291</v>
      </c>
      <c r="Y116" s="133">
        <v>9867.4538376898981</v>
      </c>
      <c r="Z116" s="133">
        <v>0</v>
      </c>
      <c r="AA116" s="134">
        <v>11538.975962625273</v>
      </c>
      <c r="AB116" s="132">
        <v>8426.9233058160389</v>
      </c>
      <c r="AC116" s="133">
        <v>8478.9540248312205</v>
      </c>
      <c r="AD116" s="133">
        <v>10429.797240327327</v>
      </c>
      <c r="AE116" s="134">
        <v>9392.5791967734694</v>
      </c>
      <c r="AF116" s="132">
        <v>9019.9871846808674</v>
      </c>
      <c r="AG116" s="133">
        <v>7000.5944267035629</v>
      </c>
      <c r="AH116" s="133">
        <v>9634.2336957388488</v>
      </c>
      <c r="AI116" s="134">
        <v>0</v>
      </c>
      <c r="AJ116" s="132">
        <v>0</v>
      </c>
      <c r="AK116" s="133">
        <v>0</v>
      </c>
      <c r="AL116" s="133">
        <v>0</v>
      </c>
      <c r="AM116" s="134">
        <v>0</v>
      </c>
      <c r="AN116" s="132">
        <v>9925.6821212686264</v>
      </c>
      <c r="AO116" s="133">
        <v>0</v>
      </c>
      <c r="AP116" s="133">
        <v>0</v>
      </c>
      <c r="AQ116" s="134">
        <v>0</v>
      </c>
      <c r="AR116" s="132">
        <v>0</v>
      </c>
      <c r="AS116" s="133">
        <v>0</v>
      </c>
      <c r="AT116" s="133">
        <v>0</v>
      </c>
      <c r="AU116" s="134">
        <v>0</v>
      </c>
      <c r="AV116" s="132">
        <v>18859.012522609828</v>
      </c>
      <c r="AW116" s="133">
        <v>9120.5595171528712</v>
      </c>
      <c r="AX116" s="133">
        <v>0</v>
      </c>
      <c r="AY116" s="134">
        <v>8055.5396178782476</v>
      </c>
      <c r="AZ116" s="132">
        <v>9037.6970186079343</v>
      </c>
      <c r="BA116" s="133">
        <v>0</v>
      </c>
      <c r="BB116" s="133">
        <v>0</v>
      </c>
      <c r="BC116" s="134">
        <v>0</v>
      </c>
      <c r="BD116" s="132">
        <v>6232.3592213143547</v>
      </c>
      <c r="BE116" s="133">
        <v>5517.6206910775909</v>
      </c>
      <c r="BF116" s="133">
        <v>8342.4686686314344</v>
      </c>
      <c r="BG116" s="134">
        <v>10295.897337582976</v>
      </c>
      <c r="BH116" s="132">
        <v>47829.552866149723</v>
      </c>
      <c r="BI116" s="133">
        <v>0</v>
      </c>
      <c r="BJ116" s="133">
        <v>17189.248041627783</v>
      </c>
      <c r="BK116" s="134">
        <v>13000.743003384794</v>
      </c>
      <c r="BL116" s="132">
        <v>10603.605243991258</v>
      </c>
      <c r="BM116" s="133">
        <v>11733.474192574704</v>
      </c>
      <c r="BN116" s="133">
        <v>10641.534131814908</v>
      </c>
      <c r="BO116" s="134">
        <v>11357.724523033969</v>
      </c>
      <c r="BP116" s="132">
        <v>11575.168647606808</v>
      </c>
      <c r="BQ116" s="133">
        <v>11233.901083887422</v>
      </c>
      <c r="BR116" s="133">
        <v>11096.879449454198</v>
      </c>
      <c r="BS116" s="134">
        <v>12093.791574279381</v>
      </c>
      <c r="BT116" s="133">
        <v>11437.594083382421</v>
      </c>
      <c r="BU116" s="133"/>
      <c r="BV116" s="57"/>
      <c r="BW116" s="58"/>
      <c r="BX116" s="59"/>
      <c r="BY116" s="59"/>
      <c r="BZ116" s="59"/>
      <c r="CA116" s="59"/>
      <c r="CB116" s="59"/>
      <c r="CC116" s="59"/>
      <c r="CD116" s="59"/>
      <c r="CE116" s="59"/>
      <c r="CF116" s="59"/>
      <c r="CG116" s="59"/>
      <c r="CH116" s="59"/>
      <c r="CI116" s="59"/>
      <c r="CJ116" s="59"/>
      <c r="CK116" s="59"/>
      <c r="CL116" s="59"/>
    </row>
    <row r="117" spans="1:90" x14ac:dyDescent="0.25">
      <c r="A117" s="9"/>
      <c r="B117" s="9"/>
      <c r="C117" s="3" t="s">
        <v>22</v>
      </c>
      <c r="D117" s="3"/>
      <c r="E117" s="3"/>
      <c r="F117" s="20"/>
      <c r="G117" s="20"/>
      <c r="H117" s="132">
        <v>3819.0379151382626</v>
      </c>
      <c r="I117" s="133">
        <v>809.84547819587033</v>
      </c>
      <c r="J117" s="133">
        <v>4186.3017035942812</v>
      </c>
      <c r="K117" s="134">
        <v>7527.6146579381648</v>
      </c>
      <c r="L117" s="132">
        <v>6981.4127884152877</v>
      </c>
      <c r="M117" s="133">
        <v>-18.729026680683162</v>
      </c>
      <c r="N117" s="133">
        <v>4537.150530536268</v>
      </c>
      <c r="O117" s="134">
        <v>6705.0060110051209</v>
      </c>
      <c r="P117" s="132">
        <v>7429.4772361957057</v>
      </c>
      <c r="Q117" s="133">
        <v>4017.6773146363207</v>
      </c>
      <c r="R117" s="133">
        <v>6675.3313326427397</v>
      </c>
      <c r="S117" s="134">
        <v>8490.2661070070135</v>
      </c>
      <c r="T117" s="132">
        <v>7083.2867732561635</v>
      </c>
      <c r="U117" s="133">
        <v>2321.4563292501534</v>
      </c>
      <c r="V117" s="133">
        <v>6706.863883593207</v>
      </c>
      <c r="W117" s="134">
        <v>6943.5492303328647</v>
      </c>
      <c r="X117" s="132">
        <v>5240.0305018298686</v>
      </c>
      <c r="Y117" s="133">
        <v>7803.2920872896939</v>
      </c>
      <c r="Z117" s="133">
        <v>7686.2230518008055</v>
      </c>
      <c r="AA117" s="134">
        <v>8052.1542377280448</v>
      </c>
      <c r="AB117" s="132">
        <v>7268.8202695984019</v>
      </c>
      <c r="AC117" s="133">
        <v>4733.7385504702343</v>
      </c>
      <c r="AD117" s="133">
        <v>7908.6911121806743</v>
      </c>
      <c r="AE117" s="134">
        <v>6331.1449640880919</v>
      </c>
      <c r="AF117" s="132">
        <v>5020.4775345866592</v>
      </c>
      <c r="AG117" s="133">
        <v>615.09050638431654</v>
      </c>
      <c r="AH117" s="133">
        <v>7448.4047414187889</v>
      </c>
      <c r="AI117" s="134">
        <v>5394.0198162766947</v>
      </c>
      <c r="AJ117" s="132">
        <v>4240.7160247365318</v>
      </c>
      <c r="AK117" s="133">
        <v>1681.2340214692563</v>
      </c>
      <c r="AL117" s="133">
        <v>3931.4135002403964</v>
      </c>
      <c r="AM117" s="134">
        <v>6637.6279738779122</v>
      </c>
      <c r="AN117" s="132">
        <v>9445.3166671476301</v>
      </c>
      <c r="AO117" s="133">
        <v>4835.8541930416495</v>
      </c>
      <c r="AP117" s="133">
        <v>7957.6672286678158</v>
      </c>
      <c r="AQ117" s="134">
        <v>6455.0253108619163</v>
      </c>
      <c r="AR117" s="132">
        <v>6566.3272043122597</v>
      </c>
      <c r="AS117" s="133">
        <v>3792.9479554043473</v>
      </c>
      <c r="AT117" s="133">
        <v>5088.0329505711788</v>
      </c>
      <c r="AU117" s="134">
        <v>6021.7666051335145</v>
      </c>
      <c r="AV117" s="132">
        <v>3349.6463732075194</v>
      </c>
      <c r="AW117" s="133">
        <v>7899.9138792766535</v>
      </c>
      <c r="AX117" s="133">
        <v>6591.2189682225471</v>
      </c>
      <c r="AY117" s="134">
        <v>7083.9033725227628</v>
      </c>
      <c r="AZ117" s="132">
        <v>7014.2948190975094</v>
      </c>
      <c r="BA117" s="133">
        <v>5390.0349238537083</v>
      </c>
      <c r="BB117" s="133">
        <v>6749.0485613595929</v>
      </c>
      <c r="BC117" s="134">
        <v>8626.0230861268556</v>
      </c>
      <c r="BD117" s="132">
        <v>8926.2560186885221</v>
      </c>
      <c r="BE117" s="133">
        <v>10200.543759975604</v>
      </c>
      <c r="BF117" s="133">
        <v>9549.9912729977968</v>
      </c>
      <c r="BG117" s="134">
        <v>10965.086684864893</v>
      </c>
      <c r="BH117" s="132">
        <v>25875.777747869932</v>
      </c>
      <c r="BI117" s="133">
        <v>15129.238959723034</v>
      </c>
      <c r="BJ117" s="133">
        <v>16271.59097044159</v>
      </c>
      <c r="BK117" s="134">
        <v>13850.738875588211</v>
      </c>
      <c r="BL117" s="132">
        <v>11499.878611313423</v>
      </c>
      <c r="BM117" s="133">
        <v>8539.7927356876935</v>
      </c>
      <c r="BN117" s="133">
        <v>9070.0968649780752</v>
      </c>
      <c r="BO117" s="134">
        <v>11779.839460214052</v>
      </c>
      <c r="BP117" s="132">
        <v>12329.26491059</v>
      </c>
      <c r="BQ117" s="133">
        <v>7435.6498770379822</v>
      </c>
      <c r="BR117" s="133">
        <v>9500.2972235405796</v>
      </c>
      <c r="BS117" s="134">
        <v>12745.676829268292</v>
      </c>
      <c r="BT117" s="133">
        <v>10613.587931147325</v>
      </c>
      <c r="BU117" s="133"/>
      <c r="BV117" s="57"/>
      <c r="BW117" s="58"/>
      <c r="BX117" s="59"/>
      <c r="BY117" s="59"/>
      <c r="BZ117" s="59"/>
      <c r="CA117" s="59"/>
      <c r="CB117" s="59"/>
      <c r="CC117" s="59"/>
      <c r="CD117" s="59"/>
      <c r="CE117" s="59"/>
      <c r="CF117" s="59"/>
      <c r="CG117" s="59"/>
      <c r="CH117" s="59"/>
      <c r="CI117" s="59"/>
      <c r="CJ117" s="59"/>
      <c r="CK117" s="59"/>
      <c r="CL117" s="59"/>
    </row>
    <row r="118" spans="1:90" x14ac:dyDescent="0.25">
      <c r="A118" s="9"/>
      <c r="B118" s="9"/>
      <c r="C118" s="3" t="s">
        <v>23</v>
      </c>
      <c r="D118" s="3"/>
      <c r="E118" s="3"/>
      <c r="F118" s="20"/>
      <c r="G118" s="20"/>
      <c r="H118" s="132">
        <v>4784.8816506074572</v>
      </c>
      <c r="I118" s="133">
        <v>2944.2163025168402</v>
      </c>
      <c r="J118" s="133">
        <v>6329.5194198161771</v>
      </c>
      <c r="K118" s="134">
        <v>4684.7520025727072</v>
      </c>
      <c r="L118" s="132">
        <v>5370.435292734941</v>
      </c>
      <c r="M118" s="133">
        <v>5144.1346067561153</v>
      </c>
      <c r="N118" s="133">
        <v>6437.5714728374951</v>
      </c>
      <c r="O118" s="134">
        <v>5557.617676169597</v>
      </c>
      <c r="P118" s="132">
        <v>5901.3228011390383</v>
      </c>
      <c r="Q118" s="133">
        <v>5834.3734326780923</v>
      </c>
      <c r="R118" s="133">
        <v>6832.249793593468</v>
      </c>
      <c r="S118" s="134">
        <v>6653.6143544021115</v>
      </c>
      <c r="T118" s="132">
        <v>5805.3771522633442</v>
      </c>
      <c r="U118" s="133">
        <v>6632.3849193426868</v>
      </c>
      <c r="V118" s="133">
        <v>6860.1595722436905</v>
      </c>
      <c r="W118" s="134">
        <v>6478.1839061007931</v>
      </c>
      <c r="X118" s="132">
        <v>7441.348345020644</v>
      </c>
      <c r="Y118" s="133">
        <v>7029.3662876853095</v>
      </c>
      <c r="Z118" s="133">
        <v>7226.1944232567084</v>
      </c>
      <c r="AA118" s="134">
        <v>6830.0592437522691</v>
      </c>
      <c r="AB118" s="132">
        <v>6601.8585176765791</v>
      </c>
      <c r="AC118" s="133">
        <v>6275.0870962836198</v>
      </c>
      <c r="AD118" s="133">
        <v>6750.7748741816231</v>
      </c>
      <c r="AE118" s="134">
        <v>5539.1712939878189</v>
      </c>
      <c r="AF118" s="132">
        <v>5066.364062315165</v>
      </c>
      <c r="AG118" s="133">
        <v>6107.92121718824</v>
      </c>
      <c r="AH118" s="133">
        <v>7193.6320503671177</v>
      </c>
      <c r="AI118" s="134">
        <v>6146.9250690261715</v>
      </c>
      <c r="AJ118" s="132">
        <v>7991.2764049697998</v>
      </c>
      <c r="AK118" s="133">
        <v>8197.7482321948628</v>
      </c>
      <c r="AL118" s="133">
        <v>14309.898868709974</v>
      </c>
      <c r="AM118" s="134">
        <v>13326.130826263534</v>
      </c>
      <c r="AN118" s="132">
        <v>13179.31002100453</v>
      </c>
      <c r="AO118" s="133">
        <v>1103985.5186980141</v>
      </c>
      <c r="AP118" s="133">
        <v>21473.429269786062</v>
      </c>
      <c r="AQ118" s="134">
        <v>12778.450529596212</v>
      </c>
      <c r="AR118" s="132">
        <v>25091.538235738099</v>
      </c>
      <c r="AS118" s="133">
        <v>10657.241426590022</v>
      </c>
      <c r="AT118" s="133">
        <v>13501.553710050939</v>
      </c>
      <c r="AU118" s="134">
        <v>8121.2934218029332</v>
      </c>
      <c r="AV118" s="132">
        <v>48231.679542370483</v>
      </c>
      <c r="AW118" s="133">
        <v>7295.9673793752499</v>
      </c>
      <c r="AX118" s="133">
        <v>7363.9580991104185</v>
      </c>
      <c r="AY118" s="134">
        <v>5590.0687529777451</v>
      </c>
      <c r="AZ118" s="132">
        <v>5886.9451237790454</v>
      </c>
      <c r="BA118" s="133">
        <v>7255.2128475285554</v>
      </c>
      <c r="BB118" s="133">
        <v>9435.8769138511361</v>
      </c>
      <c r="BC118" s="134">
        <v>13535.106094495899</v>
      </c>
      <c r="BD118" s="132">
        <v>12482.877429799482</v>
      </c>
      <c r="BE118" s="133">
        <v>14653.932832787195</v>
      </c>
      <c r="BF118" s="133">
        <v>26439.266013402987</v>
      </c>
      <c r="BG118" s="134">
        <v>16674.072858532159</v>
      </c>
      <c r="BH118" s="132">
        <v>26072.63085977934</v>
      </c>
      <c r="BI118" s="133">
        <v>-38271.230416140977</v>
      </c>
      <c r="BJ118" s="133">
        <v>-42251.675038363341</v>
      </c>
      <c r="BK118" s="134">
        <v>22686.584249084244</v>
      </c>
      <c r="BL118" s="132">
        <v>19978.003161222339</v>
      </c>
      <c r="BM118" s="133">
        <v>26815.455007625817</v>
      </c>
      <c r="BN118" s="133">
        <v>21280.448717948715</v>
      </c>
      <c r="BO118" s="134">
        <v>16601.923357132448</v>
      </c>
      <c r="BP118" s="132">
        <v>16420.04748632187</v>
      </c>
      <c r="BQ118" s="133">
        <v>25822.791566586602</v>
      </c>
      <c r="BR118" s="133">
        <v>20119.294753305843</v>
      </c>
      <c r="BS118" s="134">
        <v>12596.153846153846</v>
      </c>
      <c r="BT118" s="133">
        <v>15249.10841654779</v>
      </c>
      <c r="BU118" s="133"/>
      <c r="BV118" s="57"/>
      <c r="BW118" s="58"/>
      <c r="BX118" s="59"/>
      <c r="BY118" s="59"/>
      <c r="BZ118" s="59"/>
      <c r="CA118" s="59"/>
      <c r="CB118" s="59"/>
      <c r="CC118" s="59"/>
      <c r="CD118" s="59"/>
      <c r="CE118" s="59"/>
      <c r="CF118" s="59"/>
      <c r="CG118" s="59"/>
      <c r="CH118" s="59"/>
      <c r="CI118" s="59"/>
      <c r="CJ118" s="59"/>
      <c r="CK118" s="59"/>
      <c r="CL118" s="59"/>
    </row>
    <row r="119" spans="1:90" x14ac:dyDescent="0.25">
      <c r="A119" s="9"/>
      <c r="B119" s="9"/>
      <c r="C119" s="3"/>
      <c r="D119" s="3"/>
      <c r="E119" s="3"/>
      <c r="F119" s="20"/>
      <c r="G119" s="20"/>
      <c r="H119" s="132"/>
      <c r="I119" s="133"/>
      <c r="J119" s="133"/>
      <c r="K119" s="134"/>
      <c r="L119" s="132"/>
      <c r="M119" s="133"/>
      <c r="N119" s="133"/>
      <c r="O119" s="134"/>
      <c r="P119" s="132"/>
      <c r="Q119" s="133"/>
      <c r="R119" s="133"/>
      <c r="S119" s="134"/>
      <c r="T119" s="132"/>
      <c r="U119" s="133"/>
      <c r="V119" s="133"/>
      <c r="W119" s="134"/>
      <c r="X119" s="132"/>
      <c r="Y119" s="133"/>
      <c r="Z119" s="133"/>
      <c r="AA119" s="134"/>
      <c r="AB119" s="132"/>
      <c r="AC119" s="133"/>
      <c r="AD119" s="133"/>
      <c r="AE119" s="134"/>
      <c r="AF119" s="132"/>
      <c r="AG119" s="133"/>
      <c r="AH119" s="133"/>
      <c r="AI119" s="134"/>
      <c r="AJ119" s="132"/>
      <c r="AK119" s="133"/>
      <c r="AL119" s="133"/>
      <c r="AM119" s="134"/>
      <c r="AN119" s="132"/>
      <c r="AO119" s="133"/>
      <c r="AP119" s="133"/>
      <c r="AQ119" s="134"/>
      <c r="AR119" s="132"/>
      <c r="AS119" s="133"/>
      <c r="AT119" s="133"/>
      <c r="AU119" s="134"/>
      <c r="AV119" s="132"/>
      <c r="AW119" s="133"/>
      <c r="AX119" s="133"/>
      <c r="AY119" s="134"/>
      <c r="AZ119" s="132"/>
      <c r="BA119" s="133"/>
      <c r="BB119" s="133"/>
      <c r="BC119" s="134"/>
      <c r="BD119" s="132"/>
      <c r="BE119" s="133"/>
      <c r="BF119" s="133"/>
      <c r="BG119" s="134"/>
      <c r="BH119" s="132"/>
      <c r="BI119" s="133"/>
      <c r="BJ119" s="133"/>
      <c r="BK119" s="134"/>
      <c r="BL119" s="132"/>
      <c r="BM119" s="133"/>
      <c r="BN119" s="133"/>
      <c r="BO119" s="134"/>
      <c r="BP119" s="132"/>
      <c r="BQ119" s="133"/>
      <c r="BR119" s="133"/>
      <c r="BS119" s="134"/>
      <c r="BT119" s="132"/>
      <c r="BU119" s="133"/>
      <c r="BV119" s="57"/>
      <c r="BW119" s="58"/>
      <c r="BX119" s="59"/>
      <c r="BY119" s="59"/>
      <c r="BZ119" s="59"/>
      <c r="CA119" s="59"/>
      <c r="CB119" s="59"/>
      <c r="CC119" s="59"/>
      <c r="CD119" s="59"/>
      <c r="CE119" s="59"/>
      <c r="CF119" s="59"/>
      <c r="CG119" s="59"/>
      <c r="CH119" s="59"/>
      <c r="CI119" s="59"/>
      <c r="CJ119" s="59"/>
      <c r="CK119" s="59"/>
      <c r="CL119" s="59"/>
    </row>
    <row r="120" spans="1:90" x14ac:dyDescent="0.25">
      <c r="A120" s="9"/>
      <c r="B120" s="9"/>
      <c r="C120" s="4" t="s">
        <v>32</v>
      </c>
      <c r="D120" s="46"/>
      <c r="E120" s="46"/>
      <c r="F120" s="46"/>
      <c r="G120" s="46"/>
      <c r="H120" s="30"/>
      <c r="I120" s="31"/>
      <c r="J120" s="31"/>
      <c r="K120" s="32"/>
      <c r="L120" s="30"/>
      <c r="M120" s="31"/>
      <c r="N120" s="31"/>
      <c r="O120" s="34"/>
      <c r="P120" s="61"/>
      <c r="Q120" s="33"/>
      <c r="R120" s="33"/>
      <c r="S120" s="34"/>
      <c r="T120" s="33"/>
      <c r="U120" s="33"/>
      <c r="V120" s="33"/>
      <c r="W120" s="36"/>
      <c r="X120" s="35"/>
      <c r="Y120" s="35"/>
      <c r="Z120" s="35"/>
      <c r="AA120" s="36"/>
      <c r="AB120" s="35"/>
      <c r="AC120" s="35"/>
      <c r="AD120" s="35"/>
      <c r="AE120" s="36"/>
      <c r="AF120" s="35"/>
      <c r="AG120" s="35"/>
      <c r="AH120" s="35"/>
      <c r="AI120" s="36"/>
      <c r="AJ120" s="35"/>
      <c r="AK120" s="35"/>
      <c r="AL120" s="35"/>
      <c r="AM120" s="36"/>
      <c r="AN120" s="35"/>
      <c r="AO120" s="35"/>
      <c r="AP120" s="35"/>
      <c r="AQ120" s="36"/>
      <c r="AR120" s="35"/>
      <c r="AS120" s="35"/>
      <c r="AT120" s="35"/>
      <c r="AU120" s="36"/>
      <c r="AV120" s="35"/>
      <c r="AW120" s="35"/>
      <c r="AX120" s="35"/>
      <c r="AY120" s="36"/>
      <c r="AZ120" s="35"/>
      <c r="BA120" s="35"/>
      <c r="BB120" s="35"/>
      <c r="BC120" s="36"/>
      <c r="BD120" s="35"/>
      <c r="BE120" s="35"/>
      <c r="BF120" s="35"/>
      <c r="BG120" s="36"/>
      <c r="BH120" s="35"/>
      <c r="BI120" s="35"/>
      <c r="BJ120" s="35"/>
      <c r="BK120" s="36"/>
      <c r="BL120" s="35"/>
      <c r="BM120" s="35"/>
      <c r="BN120" s="35"/>
      <c r="BO120" s="36"/>
      <c r="BP120" s="35"/>
      <c r="BQ120" s="35"/>
      <c r="BR120" s="35"/>
      <c r="BS120" s="36"/>
      <c r="BT120" s="35"/>
      <c r="BU120" s="35"/>
      <c r="BV120" s="35"/>
      <c r="BW120" s="36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</row>
    <row r="121" spans="1:90" x14ac:dyDescent="0.25">
      <c r="A121" s="9"/>
      <c r="B121" s="9"/>
      <c r="C121" s="3" t="s">
        <v>33</v>
      </c>
      <c r="D121" s="3"/>
      <c r="E121" s="3"/>
      <c r="F121" s="20"/>
      <c r="G121" s="20"/>
      <c r="H121" s="52"/>
      <c r="I121" s="31"/>
      <c r="J121" s="31"/>
      <c r="K121" s="32"/>
      <c r="L121" s="62">
        <v>102.54</v>
      </c>
      <c r="M121" s="63">
        <v>95.373333333333335</v>
      </c>
      <c r="N121" s="63">
        <v>81.040000000000006</v>
      </c>
      <c r="O121" s="64">
        <v>81.040000000000006</v>
      </c>
      <c r="P121" s="62">
        <v>81.040000000000006</v>
      </c>
      <c r="Q121" s="63">
        <v>79.626666666666665</v>
      </c>
      <c r="R121" s="63">
        <v>76.8</v>
      </c>
      <c r="S121" s="64">
        <v>76.8</v>
      </c>
      <c r="T121" s="63">
        <v>76.8</v>
      </c>
      <c r="U121" s="63">
        <v>82.486666666666665</v>
      </c>
      <c r="V121" s="63">
        <v>93.86</v>
      </c>
      <c r="W121" s="64">
        <v>93.86</v>
      </c>
      <c r="X121" s="63">
        <v>93.86</v>
      </c>
      <c r="Y121" s="63">
        <v>96.874703196347028</v>
      </c>
      <c r="Z121" s="63">
        <v>102.9041095890411</v>
      </c>
      <c r="AA121" s="64">
        <v>102.9041095890411</v>
      </c>
      <c r="AB121" s="63">
        <v>103</v>
      </c>
      <c r="AC121" s="63"/>
      <c r="AD121" s="63">
        <v>90.21</v>
      </c>
      <c r="AE121" s="64">
        <v>90.21</v>
      </c>
      <c r="AF121" s="65">
        <v>90.21</v>
      </c>
      <c r="AG121" s="65">
        <v>137.126301369863</v>
      </c>
      <c r="AH121" s="65">
        <v>230.95890410958907</v>
      </c>
      <c r="AI121" s="66">
        <v>230.95890410958907</v>
      </c>
      <c r="AJ121" s="65">
        <v>230.95890410958907</v>
      </c>
      <c r="AK121" s="67">
        <v>258.63013698630141</v>
      </c>
      <c r="AL121" s="65">
        <v>313.97260273972609</v>
      </c>
      <c r="AM121" s="68">
        <v>313.97260273972609</v>
      </c>
      <c r="AN121" s="67">
        <v>313.97260273972609</v>
      </c>
      <c r="AO121" s="67">
        <v>286.35616438356169</v>
      </c>
      <c r="AP121" s="65">
        <v>231.12328767123287</v>
      </c>
      <c r="AQ121" s="68">
        <v>231.12328767123287</v>
      </c>
      <c r="AR121" s="67">
        <v>231.12328767123287</v>
      </c>
      <c r="AS121" s="67">
        <v>212.16438356164383</v>
      </c>
      <c r="AT121" s="65">
        <v>174.24657534246575</v>
      </c>
      <c r="AU121" s="68">
        <v>174.24657534246575</v>
      </c>
      <c r="AV121" s="67">
        <v>174.24657534246575</v>
      </c>
      <c r="AW121" s="67">
        <v>166.90410958904107</v>
      </c>
      <c r="AX121" s="65">
        <v>152.21917808219177</v>
      </c>
      <c r="AY121" s="68">
        <v>152.21917808219177</v>
      </c>
      <c r="AZ121" s="67">
        <v>152.21917808219177</v>
      </c>
      <c r="BA121" s="67">
        <v>143.12328767123284</v>
      </c>
      <c r="BB121" s="65">
        <v>124.93150684931504</v>
      </c>
      <c r="BC121" s="68">
        <v>124.93150684931504</v>
      </c>
      <c r="BD121" s="67">
        <v>124.93150684931504</v>
      </c>
      <c r="BE121" s="67">
        <v>124.93150684931504</v>
      </c>
      <c r="BF121" s="65">
        <v>124.93150684931504</v>
      </c>
      <c r="BG121" s="68">
        <v>124.93150684931504</v>
      </c>
      <c r="BH121" s="67">
        <v>124.93150684931504</v>
      </c>
      <c r="BI121" s="67">
        <v>124.93150684931504</v>
      </c>
      <c r="BJ121" s="65">
        <v>124.93150684931504</v>
      </c>
      <c r="BK121" s="68">
        <v>124.93150684931504</v>
      </c>
      <c r="BL121" s="67">
        <v>124.93150684931504</v>
      </c>
      <c r="BM121" s="67">
        <v>124.93150684931504</v>
      </c>
      <c r="BN121" s="65">
        <v>124.93150684931504</v>
      </c>
      <c r="BO121" s="68">
        <v>124.93150684931504</v>
      </c>
      <c r="BP121" s="67">
        <v>124.93150684931504</v>
      </c>
      <c r="BQ121" s="67">
        <v>124.93150684931504</v>
      </c>
      <c r="BR121" s="65"/>
      <c r="BS121" s="68"/>
      <c r="BT121" s="67"/>
      <c r="BU121" s="67"/>
      <c r="BV121" s="65"/>
      <c r="BW121" s="68"/>
      <c r="BX121" s="59"/>
      <c r="BY121" s="59"/>
      <c r="BZ121" s="59"/>
      <c r="CA121" s="59"/>
      <c r="CB121" s="59"/>
      <c r="CC121" s="59"/>
      <c r="CD121" s="59"/>
      <c r="CE121" s="59"/>
      <c r="CF121" s="59"/>
      <c r="CG121" s="59"/>
      <c r="CH121" s="59"/>
      <c r="CI121" s="59"/>
      <c r="CJ121" s="59"/>
      <c r="CK121" s="59"/>
      <c r="CL121" s="59"/>
    </row>
    <row r="122" spans="1:90" x14ac:dyDescent="0.25">
      <c r="A122" s="9"/>
      <c r="B122" s="9"/>
      <c r="C122" s="3" t="s">
        <v>34</v>
      </c>
      <c r="D122" s="3"/>
      <c r="E122" s="3"/>
      <c r="F122" s="20"/>
      <c r="G122" s="20"/>
      <c r="H122" s="52"/>
      <c r="I122" s="53"/>
      <c r="J122" s="53"/>
      <c r="K122" s="54"/>
      <c r="L122" s="62">
        <v>102.54</v>
      </c>
      <c r="M122" s="63">
        <v>96.14</v>
      </c>
      <c r="N122" s="63">
        <v>83.34</v>
      </c>
      <c r="O122" s="64">
        <v>83.34</v>
      </c>
      <c r="P122" s="62">
        <v>83.34</v>
      </c>
      <c r="Q122" s="63">
        <v>83.13333333333334</v>
      </c>
      <c r="R122" s="63">
        <v>82.72</v>
      </c>
      <c r="S122" s="64">
        <v>82.72</v>
      </c>
      <c r="T122" s="63">
        <v>82.72</v>
      </c>
      <c r="U122" s="63">
        <v>86.433333333333337</v>
      </c>
      <c r="V122" s="63">
        <v>93.86</v>
      </c>
      <c r="W122" s="64">
        <v>93.86</v>
      </c>
      <c r="X122" s="63">
        <v>93.86</v>
      </c>
      <c r="Y122" s="63">
        <v>96.874703196347028</v>
      </c>
      <c r="Z122" s="63">
        <v>102.9041095890411</v>
      </c>
      <c r="AA122" s="64">
        <v>102.9041095890411</v>
      </c>
      <c r="AB122" s="63">
        <v>103</v>
      </c>
      <c r="AC122" s="63"/>
      <c r="AD122" s="63">
        <v>90.21</v>
      </c>
      <c r="AE122" s="64">
        <v>90.21</v>
      </c>
      <c r="AF122" s="65">
        <v>90.21</v>
      </c>
      <c r="AG122" s="65">
        <v>137.126301369863</v>
      </c>
      <c r="AH122" s="65">
        <v>230.95890410958907</v>
      </c>
      <c r="AI122" s="66">
        <v>230.95890410958907</v>
      </c>
      <c r="AJ122" s="65">
        <v>230.95890410958907</v>
      </c>
      <c r="AK122" s="67">
        <v>258.63013698630141</v>
      </c>
      <c r="AL122" s="65">
        <v>313.97260273972609</v>
      </c>
      <c r="AM122" s="68">
        <v>313.97260273972609</v>
      </c>
      <c r="AN122" s="67">
        <v>313.97260273972609</v>
      </c>
      <c r="AO122" s="67">
        <v>286.35616438356169</v>
      </c>
      <c r="AP122" s="65">
        <v>231.12328767123287</v>
      </c>
      <c r="AQ122" s="68">
        <v>231.12328767123287</v>
      </c>
      <c r="AR122" s="67">
        <v>231.12328767123287</v>
      </c>
      <c r="AS122" s="67">
        <v>212.16438356164383</v>
      </c>
      <c r="AT122" s="65">
        <v>174.24657534246575</v>
      </c>
      <c r="AU122" s="68">
        <v>174.24657534246575</v>
      </c>
      <c r="AV122" s="67">
        <v>174.24657534246575</v>
      </c>
      <c r="AW122" s="67">
        <v>166.90410958904107</v>
      </c>
      <c r="AX122" s="65">
        <v>152.21917808219177</v>
      </c>
      <c r="AY122" s="68">
        <v>152.21917808219177</v>
      </c>
      <c r="AZ122" s="67">
        <v>152.21917808219177</v>
      </c>
      <c r="BA122" s="67">
        <v>143.12328767123284</v>
      </c>
      <c r="BB122" s="65">
        <v>124.93150684931504</v>
      </c>
      <c r="BC122" s="68">
        <v>124.93150684931504</v>
      </c>
      <c r="BD122" s="67">
        <v>124.93150684931504</v>
      </c>
      <c r="BE122" s="67">
        <v>124.93150684931504</v>
      </c>
      <c r="BF122" s="65">
        <v>124.93150684931504</v>
      </c>
      <c r="BG122" s="68">
        <v>124.93150684931504</v>
      </c>
      <c r="BH122" s="67">
        <v>124.93150684931504</v>
      </c>
      <c r="BI122" s="67">
        <v>124.93150684931504</v>
      </c>
      <c r="BJ122" s="65">
        <v>124.93150684931504</v>
      </c>
      <c r="BK122" s="68">
        <v>124.93150684931504</v>
      </c>
      <c r="BL122" s="67">
        <v>124.93150684931504</v>
      </c>
      <c r="BM122" s="67">
        <v>124.93150684931504</v>
      </c>
      <c r="BN122" s="65">
        <v>124.93150684931504</v>
      </c>
      <c r="BO122" s="68">
        <v>124.93150684931504</v>
      </c>
      <c r="BP122" s="67">
        <v>124.93150684931504</v>
      </c>
      <c r="BQ122" s="67">
        <v>124.93150684931504</v>
      </c>
      <c r="BR122" s="65"/>
      <c r="BS122" s="68"/>
      <c r="BT122" s="67"/>
      <c r="BU122" s="67"/>
      <c r="BV122" s="65"/>
      <c r="BW122" s="68"/>
      <c r="BX122" s="59"/>
      <c r="BY122" s="59"/>
      <c r="BZ122" s="59"/>
      <c r="CA122" s="59"/>
      <c r="CB122" s="59"/>
      <c r="CC122" s="59"/>
      <c r="CD122" s="59"/>
      <c r="CE122" s="59"/>
      <c r="CF122" s="59"/>
      <c r="CG122" s="59"/>
      <c r="CH122" s="59"/>
      <c r="CI122" s="59"/>
      <c r="CJ122" s="59"/>
      <c r="CK122" s="59"/>
      <c r="CL122" s="59"/>
    </row>
    <row r="123" spans="1:90" x14ac:dyDescent="0.25">
      <c r="A123" s="9"/>
      <c r="B123" s="9"/>
      <c r="C123" s="3" t="s">
        <v>35</v>
      </c>
      <c r="D123" s="3"/>
      <c r="E123" s="3"/>
      <c r="F123" s="20"/>
      <c r="G123" s="20"/>
      <c r="H123" s="52"/>
      <c r="I123" s="53"/>
      <c r="J123" s="53"/>
      <c r="K123" s="54"/>
      <c r="L123" s="62">
        <v>110</v>
      </c>
      <c r="M123" s="63">
        <v>78.819999999999993</v>
      </c>
      <c r="N123" s="63">
        <v>16.46</v>
      </c>
      <c r="O123" s="64">
        <v>16.46</v>
      </c>
      <c r="P123" s="62">
        <v>16.46</v>
      </c>
      <c r="Q123" s="63">
        <v>20.216666666666669</v>
      </c>
      <c r="R123" s="63">
        <v>27.73</v>
      </c>
      <c r="S123" s="64">
        <v>27.73</v>
      </c>
      <c r="T123" s="63">
        <v>27.73</v>
      </c>
      <c r="U123" s="63">
        <v>60.483333333333327</v>
      </c>
      <c r="V123" s="63">
        <v>125.99</v>
      </c>
      <c r="W123" s="64">
        <v>125.99</v>
      </c>
      <c r="X123" s="63">
        <v>125.99</v>
      </c>
      <c r="Y123" s="63">
        <v>129.32666666666668</v>
      </c>
      <c r="Z123" s="63">
        <v>136</v>
      </c>
      <c r="AA123" s="64">
        <v>136</v>
      </c>
      <c r="AB123" s="63">
        <v>136</v>
      </c>
      <c r="AC123" s="63"/>
      <c r="AD123" s="63">
        <v>59.37</v>
      </c>
      <c r="AE123" s="64">
        <v>59.37</v>
      </c>
      <c r="AF123" s="65">
        <v>59.37</v>
      </c>
      <c r="AG123" s="65">
        <v>79.58</v>
      </c>
      <c r="AH123" s="65">
        <v>120</v>
      </c>
      <c r="AI123" s="66">
        <v>120</v>
      </c>
      <c r="AJ123" s="65">
        <v>120</v>
      </c>
      <c r="AK123" s="67">
        <v>134.92333333333335</v>
      </c>
      <c r="AL123" s="69">
        <v>164.77</v>
      </c>
      <c r="AM123" s="68">
        <v>164.77</v>
      </c>
      <c r="AN123" s="67">
        <v>164.77</v>
      </c>
      <c r="AO123" s="67">
        <v>143.18</v>
      </c>
      <c r="AP123" s="69">
        <v>100</v>
      </c>
      <c r="AQ123" s="68">
        <v>100</v>
      </c>
      <c r="AR123" s="67">
        <v>100</v>
      </c>
      <c r="AS123" s="67">
        <v>92.176666666666648</v>
      </c>
      <c r="AT123" s="69">
        <v>76.53</v>
      </c>
      <c r="AU123" s="68">
        <v>76.53</v>
      </c>
      <c r="AV123" s="67">
        <v>76.53</v>
      </c>
      <c r="AW123" s="67">
        <v>97.686666666666667</v>
      </c>
      <c r="AX123" s="69">
        <v>140</v>
      </c>
      <c r="AY123" s="68">
        <v>140</v>
      </c>
      <c r="AZ123" s="67">
        <v>140</v>
      </c>
      <c r="BA123" s="67">
        <v>110</v>
      </c>
      <c r="BB123" s="65">
        <v>50</v>
      </c>
      <c r="BC123" s="68">
        <v>50</v>
      </c>
      <c r="BD123" s="67">
        <v>50</v>
      </c>
      <c r="BE123" s="67">
        <v>44.709999999999994</v>
      </c>
      <c r="BF123" s="65">
        <v>34.130000000000003</v>
      </c>
      <c r="BG123" s="68">
        <v>34.130000000000003</v>
      </c>
      <c r="BH123" s="67">
        <v>34.130000000000003</v>
      </c>
      <c r="BI123" s="67">
        <v>34.130000000000003</v>
      </c>
      <c r="BJ123" s="67">
        <v>34.130000000000003</v>
      </c>
      <c r="BK123" s="68">
        <v>34.130000000000003</v>
      </c>
      <c r="BL123" s="67">
        <v>34.130000000000003</v>
      </c>
      <c r="BM123" s="67">
        <v>34.130000000000003</v>
      </c>
      <c r="BN123" s="67">
        <v>34.130000000000003</v>
      </c>
      <c r="BO123" s="68">
        <v>34.130000000000003</v>
      </c>
      <c r="BP123" s="67">
        <v>34.130000000000003</v>
      </c>
      <c r="BQ123" s="67">
        <v>34.130000000000003</v>
      </c>
      <c r="BR123" s="67"/>
      <c r="BS123" s="68"/>
      <c r="BT123" s="67"/>
      <c r="BU123" s="67"/>
      <c r="BV123" s="67"/>
      <c r="BW123" s="68"/>
      <c r="BX123" s="59"/>
      <c r="BY123" s="59"/>
      <c r="BZ123" s="59"/>
      <c r="CA123" s="59"/>
      <c r="CB123" s="59"/>
      <c r="CC123" s="59"/>
      <c r="CD123" s="59"/>
      <c r="CE123" s="59"/>
      <c r="CF123" s="59"/>
      <c r="CG123" s="59"/>
      <c r="CH123" s="59"/>
      <c r="CI123" s="59"/>
      <c r="CJ123" s="59"/>
      <c r="CK123" s="59"/>
      <c r="CL123" s="59"/>
    </row>
    <row r="124" spans="1:90" x14ac:dyDescent="0.25">
      <c r="A124" s="9"/>
      <c r="B124" s="9"/>
      <c r="C124" s="3" t="s">
        <v>36</v>
      </c>
      <c r="D124" s="3"/>
      <c r="E124" s="3"/>
      <c r="F124" s="20"/>
      <c r="G124" s="20"/>
      <c r="H124" s="52"/>
      <c r="I124" s="53"/>
      <c r="J124" s="53"/>
      <c r="K124" s="54"/>
      <c r="L124" s="62">
        <v>110</v>
      </c>
      <c r="M124" s="63">
        <v>117.79</v>
      </c>
      <c r="N124" s="63">
        <v>133.37</v>
      </c>
      <c r="O124" s="64">
        <v>133.37</v>
      </c>
      <c r="P124" s="62">
        <v>133.37</v>
      </c>
      <c r="Q124" s="63">
        <v>164.29666666666665</v>
      </c>
      <c r="R124" s="63">
        <v>226.15</v>
      </c>
      <c r="S124" s="64">
        <v>226.15</v>
      </c>
      <c r="T124" s="63">
        <v>226.15</v>
      </c>
      <c r="U124" s="63">
        <v>196.26666666666665</v>
      </c>
      <c r="V124" s="63">
        <v>136.5</v>
      </c>
      <c r="W124" s="64">
        <v>136.5</v>
      </c>
      <c r="X124" s="63">
        <v>136.5</v>
      </c>
      <c r="Y124" s="63">
        <v>146.82</v>
      </c>
      <c r="Z124" s="63">
        <v>167.46</v>
      </c>
      <c r="AA124" s="64">
        <v>167.46</v>
      </c>
      <c r="AB124" s="63">
        <v>167.46</v>
      </c>
      <c r="AC124" s="63"/>
      <c r="AD124" s="63">
        <v>119.13</v>
      </c>
      <c r="AE124" s="64">
        <v>119.13</v>
      </c>
      <c r="AF124" s="65">
        <v>119.13</v>
      </c>
      <c r="AG124" s="65">
        <v>119.41999999999999</v>
      </c>
      <c r="AH124" s="65">
        <v>120</v>
      </c>
      <c r="AI124" s="66">
        <v>120</v>
      </c>
      <c r="AJ124" s="65">
        <v>120</v>
      </c>
      <c r="AK124" s="67">
        <v>134.92333333333335</v>
      </c>
      <c r="AL124" s="69">
        <v>164.77</v>
      </c>
      <c r="AM124" s="68">
        <v>164.77</v>
      </c>
      <c r="AN124" s="67">
        <v>164.77</v>
      </c>
      <c r="AO124" s="67">
        <v>143.18</v>
      </c>
      <c r="AP124" s="69">
        <v>100</v>
      </c>
      <c r="AQ124" s="68">
        <v>100</v>
      </c>
      <c r="AR124" s="67">
        <v>100</v>
      </c>
      <c r="AS124" s="67">
        <v>95.346666666666664</v>
      </c>
      <c r="AT124" s="69">
        <v>86.04</v>
      </c>
      <c r="AU124" s="68">
        <v>86.04</v>
      </c>
      <c r="AV124" s="67">
        <v>86.04</v>
      </c>
      <c r="AW124" s="67">
        <v>104.02666666666667</v>
      </c>
      <c r="AX124" s="69">
        <v>140</v>
      </c>
      <c r="AY124" s="68">
        <v>140</v>
      </c>
      <c r="AZ124" s="67">
        <v>140</v>
      </c>
      <c r="BA124" s="67">
        <v>125.26333333333332</v>
      </c>
      <c r="BB124" s="65">
        <v>95.79</v>
      </c>
      <c r="BC124" s="68">
        <v>95.79</v>
      </c>
      <c r="BD124" s="67">
        <v>95.79</v>
      </c>
      <c r="BE124" s="67">
        <v>80.356666666666669</v>
      </c>
      <c r="BF124" s="65">
        <v>49.49</v>
      </c>
      <c r="BG124" s="68">
        <v>49.49</v>
      </c>
      <c r="BH124" s="67">
        <v>49.49</v>
      </c>
      <c r="BI124" s="67">
        <v>49.49</v>
      </c>
      <c r="BJ124" s="67">
        <v>49.49</v>
      </c>
      <c r="BK124" s="68">
        <v>49.49</v>
      </c>
      <c r="BL124" s="67">
        <v>49.49</v>
      </c>
      <c r="BM124" s="67">
        <v>49.49</v>
      </c>
      <c r="BN124" s="67">
        <v>49.49</v>
      </c>
      <c r="BO124" s="68">
        <v>49.49</v>
      </c>
      <c r="BP124" s="67">
        <v>49.49</v>
      </c>
      <c r="BQ124" s="67">
        <v>49.49</v>
      </c>
      <c r="BR124" s="67"/>
      <c r="BS124" s="68"/>
      <c r="BT124" s="67"/>
      <c r="BU124" s="67"/>
      <c r="BV124" s="67"/>
      <c r="BW124" s="68"/>
      <c r="BX124" s="59"/>
      <c r="BY124" s="59"/>
      <c r="BZ124" s="59"/>
      <c r="CA124" s="59"/>
      <c r="CB124" s="59"/>
      <c r="CC124" s="59"/>
      <c r="CD124" s="59"/>
      <c r="CE124" s="59"/>
      <c r="CF124" s="59"/>
      <c r="CG124" s="59"/>
      <c r="CH124" s="59"/>
      <c r="CI124" s="59"/>
      <c r="CJ124" s="59"/>
      <c r="CK124" s="59"/>
      <c r="CL124" s="59"/>
    </row>
    <row r="125" spans="1:90" x14ac:dyDescent="0.25">
      <c r="A125" s="9"/>
      <c r="B125" s="9"/>
      <c r="C125" s="3" t="s">
        <v>37</v>
      </c>
      <c r="D125" s="3"/>
      <c r="E125" s="3"/>
      <c r="F125" s="20"/>
      <c r="G125" s="20"/>
      <c r="H125" s="52"/>
      <c r="I125" s="53"/>
      <c r="J125" s="53"/>
      <c r="K125" s="54"/>
      <c r="L125" s="62">
        <v>110</v>
      </c>
      <c r="M125" s="63">
        <v>117.79</v>
      </c>
      <c r="N125" s="63">
        <v>133.37</v>
      </c>
      <c r="O125" s="64">
        <v>133.37</v>
      </c>
      <c r="P125" s="62">
        <v>133.37</v>
      </c>
      <c r="Q125" s="63">
        <v>164.29666666666665</v>
      </c>
      <c r="R125" s="63">
        <v>226.15</v>
      </c>
      <c r="S125" s="64">
        <v>226.15</v>
      </c>
      <c r="T125" s="63">
        <v>226.15</v>
      </c>
      <c r="U125" s="63">
        <v>196.26666666666665</v>
      </c>
      <c r="V125" s="63">
        <v>136.5</v>
      </c>
      <c r="W125" s="64">
        <v>136.5</v>
      </c>
      <c r="X125" s="63">
        <v>136.5</v>
      </c>
      <c r="Y125" s="63">
        <v>146.82</v>
      </c>
      <c r="Z125" s="63">
        <v>167.46</v>
      </c>
      <c r="AA125" s="64">
        <v>167.46</v>
      </c>
      <c r="AB125" s="63">
        <v>167.46</v>
      </c>
      <c r="AC125" s="63"/>
      <c r="AD125" s="63">
        <v>119.13</v>
      </c>
      <c r="AE125" s="64">
        <v>119.13</v>
      </c>
      <c r="AF125" s="65">
        <v>119.13</v>
      </c>
      <c r="AG125" s="65">
        <v>119.41999999999999</v>
      </c>
      <c r="AH125" s="65">
        <v>120</v>
      </c>
      <c r="AI125" s="66">
        <v>120</v>
      </c>
      <c r="AJ125" s="65">
        <v>120</v>
      </c>
      <c r="AK125" s="67">
        <v>134.92333333333335</v>
      </c>
      <c r="AL125" s="69">
        <v>164.77</v>
      </c>
      <c r="AM125" s="68">
        <v>164.77</v>
      </c>
      <c r="AN125" s="67">
        <v>164.77</v>
      </c>
      <c r="AO125" s="67">
        <v>143.18</v>
      </c>
      <c r="AP125" s="69">
        <v>100</v>
      </c>
      <c r="AQ125" s="68">
        <v>100</v>
      </c>
      <c r="AR125" s="67">
        <v>100</v>
      </c>
      <c r="AS125" s="67">
        <v>95.346666666666664</v>
      </c>
      <c r="AT125" s="69">
        <v>86.04</v>
      </c>
      <c r="AU125" s="68">
        <v>86.04</v>
      </c>
      <c r="AV125" s="67">
        <v>86.04</v>
      </c>
      <c r="AW125" s="67">
        <v>104.02666666666667</v>
      </c>
      <c r="AX125" s="69">
        <v>140</v>
      </c>
      <c r="AY125" s="68">
        <v>140</v>
      </c>
      <c r="AZ125" s="67">
        <v>140</v>
      </c>
      <c r="BA125" s="67">
        <v>125.26333333333332</v>
      </c>
      <c r="BB125" s="65">
        <v>95.79</v>
      </c>
      <c r="BC125" s="68">
        <v>95.79</v>
      </c>
      <c r="BD125" s="67">
        <v>95.79</v>
      </c>
      <c r="BE125" s="67">
        <v>80.356666666666669</v>
      </c>
      <c r="BF125" s="65">
        <v>49.49</v>
      </c>
      <c r="BG125" s="68">
        <v>49.49</v>
      </c>
      <c r="BH125" s="67">
        <v>49.49</v>
      </c>
      <c r="BI125" s="67">
        <v>49.49</v>
      </c>
      <c r="BJ125" s="67">
        <v>49.49</v>
      </c>
      <c r="BK125" s="68">
        <v>49.49</v>
      </c>
      <c r="BL125" s="67">
        <v>49.49</v>
      </c>
      <c r="BM125" s="67">
        <v>49.49</v>
      </c>
      <c r="BN125" s="67">
        <v>49.49</v>
      </c>
      <c r="BO125" s="68">
        <v>49.49</v>
      </c>
      <c r="BP125" s="67">
        <v>49.49</v>
      </c>
      <c r="BQ125" s="67">
        <v>49.49</v>
      </c>
      <c r="BR125" s="67"/>
      <c r="BS125" s="68"/>
      <c r="BT125" s="67"/>
      <c r="BU125" s="67"/>
      <c r="BV125" s="67"/>
      <c r="BW125" s="68"/>
      <c r="BX125" s="59"/>
      <c r="BY125" s="59"/>
      <c r="BZ125" s="59"/>
      <c r="CA125" s="59"/>
      <c r="CB125" s="59"/>
      <c r="CC125" s="59"/>
      <c r="CD125" s="59"/>
      <c r="CE125" s="59"/>
      <c r="CF125" s="59"/>
      <c r="CG125" s="59"/>
      <c r="CH125" s="59"/>
      <c r="CI125" s="59"/>
      <c r="CJ125" s="59"/>
      <c r="CK125" s="59"/>
      <c r="CL125" s="59"/>
    </row>
    <row r="126" spans="1:90" x14ac:dyDescent="0.25">
      <c r="A126" s="9"/>
      <c r="B126" s="9"/>
      <c r="C126" s="3" t="s">
        <v>38</v>
      </c>
      <c r="D126" s="3"/>
      <c r="E126" s="3"/>
      <c r="F126" s="20"/>
      <c r="G126" s="20"/>
      <c r="H126" s="52"/>
      <c r="I126" s="53"/>
      <c r="J126" s="53"/>
      <c r="K126" s="54"/>
      <c r="L126" s="62">
        <v>110</v>
      </c>
      <c r="M126" s="63">
        <v>119.91</v>
      </c>
      <c r="N126" s="63">
        <v>139.72999999999999</v>
      </c>
      <c r="O126" s="64">
        <v>139.72999999999999</v>
      </c>
      <c r="P126" s="62">
        <v>139.72999999999999</v>
      </c>
      <c r="Q126" s="63">
        <v>174.82</v>
      </c>
      <c r="R126" s="63">
        <v>245</v>
      </c>
      <c r="S126" s="64">
        <v>245</v>
      </c>
      <c r="T126" s="63">
        <v>245</v>
      </c>
      <c r="U126" s="63">
        <v>208.83333333333334</v>
      </c>
      <c r="V126" s="63">
        <v>136.5</v>
      </c>
      <c r="W126" s="64">
        <v>136.5</v>
      </c>
      <c r="X126" s="63">
        <v>136.5</v>
      </c>
      <c r="Y126" s="63">
        <v>146.82</v>
      </c>
      <c r="Z126" s="63">
        <v>167.46</v>
      </c>
      <c r="AA126" s="64">
        <v>167.46</v>
      </c>
      <c r="AB126" s="63">
        <v>167.46</v>
      </c>
      <c r="AC126" s="63"/>
      <c r="AD126" s="63">
        <v>119.13</v>
      </c>
      <c r="AE126" s="64">
        <v>119.13</v>
      </c>
      <c r="AF126" s="65">
        <v>119.13</v>
      </c>
      <c r="AG126" s="65">
        <v>119.41999999999999</v>
      </c>
      <c r="AH126" s="65">
        <v>120</v>
      </c>
      <c r="AI126" s="66">
        <v>120</v>
      </c>
      <c r="AJ126" s="65">
        <v>120</v>
      </c>
      <c r="AK126" s="67">
        <v>155.13999999999999</v>
      </c>
      <c r="AL126" s="69">
        <v>225.42</v>
      </c>
      <c r="AM126" s="68">
        <v>225.42</v>
      </c>
      <c r="AN126" s="67">
        <v>225.42</v>
      </c>
      <c r="AO126" s="67">
        <v>190.27999999999997</v>
      </c>
      <c r="AP126" s="69">
        <v>120</v>
      </c>
      <c r="AQ126" s="68">
        <v>120</v>
      </c>
      <c r="AR126" s="67">
        <v>120</v>
      </c>
      <c r="AS126" s="67">
        <v>142.62333333333333</v>
      </c>
      <c r="AT126" s="69">
        <v>187.87</v>
      </c>
      <c r="AU126" s="68">
        <v>187.87</v>
      </c>
      <c r="AV126" s="67">
        <v>187.87</v>
      </c>
      <c r="AW126" s="67">
        <v>180.49</v>
      </c>
      <c r="AX126" s="69">
        <v>165.73</v>
      </c>
      <c r="AY126" s="68">
        <v>165.73</v>
      </c>
      <c r="AZ126" s="67">
        <v>165.73</v>
      </c>
      <c r="BA126" s="67">
        <v>143.10666666666665</v>
      </c>
      <c r="BB126" s="65">
        <v>97.86</v>
      </c>
      <c r="BC126" s="68">
        <v>97.86</v>
      </c>
      <c r="BD126" s="67">
        <v>97.86</v>
      </c>
      <c r="BE126" s="67">
        <v>81.736666666666665</v>
      </c>
      <c r="BF126" s="65">
        <v>49.49</v>
      </c>
      <c r="BG126" s="68">
        <v>49.49</v>
      </c>
      <c r="BH126" s="67">
        <v>49.49</v>
      </c>
      <c r="BI126" s="67">
        <v>49.49</v>
      </c>
      <c r="BJ126" s="67">
        <v>49.49</v>
      </c>
      <c r="BK126" s="68">
        <v>49.49</v>
      </c>
      <c r="BL126" s="67">
        <v>49.49</v>
      </c>
      <c r="BM126" s="67">
        <v>49.49</v>
      </c>
      <c r="BN126" s="67">
        <v>49.49</v>
      </c>
      <c r="BO126" s="68">
        <v>49.49</v>
      </c>
      <c r="BP126" s="67">
        <v>49.49</v>
      </c>
      <c r="BQ126" s="67">
        <v>49.49</v>
      </c>
      <c r="BR126" s="67"/>
      <c r="BS126" s="68"/>
      <c r="BT126" s="67"/>
      <c r="BU126" s="67"/>
      <c r="BV126" s="67"/>
      <c r="BW126" s="68"/>
      <c r="BX126" s="59"/>
      <c r="BY126" s="59"/>
      <c r="BZ126" s="59"/>
      <c r="CA126" s="59"/>
      <c r="CB126" s="59"/>
      <c r="CC126" s="59"/>
      <c r="CD126" s="59"/>
      <c r="CE126" s="59"/>
      <c r="CF126" s="59"/>
      <c r="CG126" s="59"/>
      <c r="CH126" s="59"/>
      <c r="CI126" s="59"/>
      <c r="CJ126" s="59"/>
      <c r="CK126" s="59"/>
      <c r="CL126" s="59"/>
    </row>
    <row r="127" spans="1:90" x14ac:dyDescent="0.25">
      <c r="A127" s="9"/>
      <c r="B127" s="9"/>
      <c r="C127" s="3" t="s">
        <v>39</v>
      </c>
      <c r="D127" s="3"/>
      <c r="E127" s="3"/>
      <c r="F127" s="20"/>
      <c r="G127" s="20"/>
      <c r="H127" s="52"/>
      <c r="I127" s="53"/>
      <c r="J127" s="53"/>
      <c r="K127" s="54"/>
      <c r="L127" s="62">
        <v>110</v>
      </c>
      <c r="M127" s="63">
        <v>119.91</v>
      </c>
      <c r="N127" s="63">
        <v>139.72999999999999</v>
      </c>
      <c r="O127" s="64">
        <v>139.72999999999999</v>
      </c>
      <c r="P127" s="62">
        <v>139.72999999999999</v>
      </c>
      <c r="Q127" s="63">
        <v>174.82</v>
      </c>
      <c r="R127" s="63">
        <v>245</v>
      </c>
      <c r="S127" s="64">
        <v>245</v>
      </c>
      <c r="T127" s="63">
        <v>245</v>
      </c>
      <c r="U127" s="63">
        <v>208.83333333333334</v>
      </c>
      <c r="V127" s="63">
        <v>136.5</v>
      </c>
      <c r="W127" s="64">
        <v>136.5</v>
      </c>
      <c r="X127" s="63">
        <v>136.5</v>
      </c>
      <c r="Y127" s="63">
        <v>146.82</v>
      </c>
      <c r="Z127" s="63">
        <v>167.46</v>
      </c>
      <c r="AA127" s="64">
        <v>167.46</v>
      </c>
      <c r="AB127" s="63">
        <v>167.46</v>
      </c>
      <c r="AC127" s="63"/>
      <c r="AD127" s="63">
        <v>119.13</v>
      </c>
      <c r="AE127" s="64">
        <v>119.13</v>
      </c>
      <c r="AF127" s="65">
        <v>119.13</v>
      </c>
      <c r="AG127" s="65">
        <v>119.41999999999999</v>
      </c>
      <c r="AH127" s="65">
        <v>120</v>
      </c>
      <c r="AI127" s="66">
        <v>120</v>
      </c>
      <c r="AJ127" s="65">
        <v>120</v>
      </c>
      <c r="AK127" s="67">
        <v>155.13999999999999</v>
      </c>
      <c r="AL127" s="69">
        <v>225.42</v>
      </c>
      <c r="AM127" s="68">
        <v>225.42</v>
      </c>
      <c r="AN127" s="67">
        <v>225.42</v>
      </c>
      <c r="AO127" s="67">
        <v>190.20333333333332</v>
      </c>
      <c r="AP127" s="69">
        <v>119.77</v>
      </c>
      <c r="AQ127" s="68">
        <v>119.77</v>
      </c>
      <c r="AR127" s="67">
        <v>119.77</v>
      </c>
      <c r="AS127" s="67">
        <v>142.47</v>
      </c>
      <c r="AT127" s="69">
        <v>187.87</v>
      </c>
      <c r="AU127" s="68">
        <v>187.87</v>
      </c>
      <c r="AV127" s="67">
        <v>187.87</v>
      </c>
      <c r="AW127" s="67">
        <v>180.49</v>
      </c>
      <c r="AX127" s="69">
        <v>165.73</v>
      </c>
      <c r="AY127" s="68">
        <v>165.73</v>
      </c>
      <c r="AZ127" s="67">
        <v>165.73</v>
      </c>
      <c r="BA127" s="67">
        <v>143.10666666666665</v>
      </c>
      <c r="BB127" s="65">
        <v>97.86</v>
      </c>
      <c r="BC127" s="68">
        <v>97.86</v>
      </c>
      <c r="BD127" s="67">
        <v>97.86</v>
      </c>
      <c r="BE127" s="67">
        <v>88.559999999999988</v>
      </c>
      <c r="BF127" s="65">
        <v>69.959999999999994</v>
      </c>
      <c r="BG127" s="68">
        <v>69.959999999999994</v>
      </c>
      <c r="BH127" s="67">
        <v>69.959999999999994</v>
      </c>
      <c r="BI127" s="67">
        <v>69.959999999999994</v>
      </c>
      <c r="BJ127" s="67">
        <v>69.959999999999994</v>
      </c>
      <c r="BK127" s="68">
        <v>69.959999999999994</v>
      </c>
      <c r="BL127" s="67">
        <v>69.959999999999994</v>
      </c>
      <c r="BM127" s="67">
        <v>69.959999999999994</v>
      </c>
      <c r="BN127" s="67">
        <v>69.959999999999994</v>
      </c>
      <c r="BO127" s="68">
        <v>69.959999999999994</v>
      </c>
      <c r="BP127" s="67">
        <v>69.959999999999994</v>
      </c>
      <c r="BQ127" s="67">
        <v>69.959999999999994</v>
      </c>
      <c r="BR127" s="67"/>
      <c r="BS127" s="68"/>
      <c r="BT127" s="67"/>
      <c r="BU127" s="67"/>
      <c r="BV127" s="67"/>
      <c r="BW127" s="68"/>
      <c r="BX127" s="59"/>
      <c r="BY127" s="59"/>
      <c r="BZ127" s="59"/>
      <c r="CA127" s="59"/>
      <c r="CB127" s="59"/>
      <c r="CC127" s="59"/>
      <c r="CD127" s="59"/>
      <c r="CE127" s="59"/>
      <c r="CF127" s="59"/>
      <c r="CG127" s="59"/>
      <c r="CH127" s="59"/>
      <c r="CI127" s="59"/>
      <c r="CJ127" s="59"/>
      <c r="CK127" s="59"/>
      <c r="CL127" s="59"/>
    </row>
    <row r="128" spans="1:90" x14ac:dyDescent="0.25">
      <c r="A128" s="9"/>
      <c r="B128" s="9"/>
      <c r="C128" s="3" t="s">
        <v>40</v>
      </c>
      <c r="D128" s="3"/>
      <c r="E128" s="3"/>
      <c r="F128" s="20"/>
      <c r="G128" s="20"/>
      <c r="H128" s="52"/>
      <c r="I128" s="53"/>
      <c r="J128" s="53"/>
      <c r="K128" s="54"/>
      <c r="L128" s="62">
        <v>110</v>
      </c>
      <c r="M128" s="63">
        <v>78.819999999999993</v>
      </c>
      <c r="N128" s="63">
        <v>16.46</v>
      </c>
      <c r="O128" s="64">
        <v>16.46</v>
      </c>
      <c r="P128" s="62">
        <v>16.46</v>
      </c>
      <c r="Q128" s="63">
        <v>20.216666666666669</v>
      </c>
      <c r="R128" s="63">
        <v>27.73</v>
      </c>
      <c r="S128" s="64">
        <v>27.73</v>
      </c>
      <c r="T128" s="63">
        <v>27.73</v>
      </c>
      <c r="U128" s="63">
        <v>60.483333333333327</v>
      </c>
      <c r="V128" s="63">
        <v>125.99</v>
      </c>
      <c r="W128" s="64">
        <v>125.99</v>
      </c>
      <c r="X128" s="63">
        <v>125.99</v>
      </c>
      <c r="Y128" s="63">
        <v>129.32666666666668</v>
      </c>
      <c r="Z128" s="63">
        <v>136</v>
      </c>
      <c r="AA128" s="64">
        <v>136</v>
      </c>
      <c r="AB128" s="63">
        <v>136</v>
      </c>
      <c r="AC128" s="63"/>
      <c r="AD128" s="63">
        <v>59.37</v>
      </c>
      <c r="AE128" s="64">
        <v>59.37</v>
      </c>
      <c r="AF128" s="65">
        <v>59.37</v>
      </c>
      <c r="AG128" s="65">
        <v>79.58</v>
      </c>
      <c r="AH128" s="65">
        <v>120</v>
      </c>
      <c r="AI128" s="66">
        <v>120</v>
      </c>
      <c r="AJ128" s="65">
        <v>120</v>
      </c>
      <c r="AK128" s="67">
        <v>151.66666666666666</v>
      </c>
      <c r="AL128" s="69">
        <v>215</v>
      </c>
      <c r="AM128" s="68">
        <v>215</v>
      </c>
      <c r="AN128" s="67">
        <v>215</v>
      </c>
      <c r="AO128" s="67">
        <v>210.92333333333332</v>
      </c>
      <c r="AP128" s="69">
        <v>202.77</v>
      </c>
      <c r="AQ128" s="68">
        <v>202.77</v>
      </c>
      <c r="AR128" s="67">
        <v>202.77</v>
      </c>
      <c r="AS128" s="67">
        <v>197.88666666666666</v>
      </c>
      <c r="AT128" s="69">
        <v>188.12</v>
      </c>
      <c r="AU128" s="68">
        <v>188.12</v>
      </c>
      <c r="AV128" s="67">
        <v>188.12</v>
      </c>
      <c r="AW128" s="67">
        <v>190.59666666666666</v>
      </c>
      <c r="AX128" s="69">
        <v>195.55</v>
      </c>
      <c r="AY128" s="68">
        <v>195.55</v>
      </c>
      <c r="AZ128" s="67">
        <v>195.55</v>
      </c>
      <c r="BA128" s="67">
        <v>153.35333333333335</v>
      </c>
      <c r="BB128" s="65">
        <v>68.959999999999994</v>
      </c>
      <c r="BC128" s="68">
        <v>68.959999999999994</v>
      </c>
      <c r="BD128" s="67">
        <v>68.959999999999994</v>
      </c>
      <c r="BE128" s="67">
        <v>57.349999999999994</v>
      </c>
      <c r="BF128" s="65">
        <v>34.130000000000003</v>
      </c>
      <c r="BG128" s="68">
        <v>34.130000000000003</v>
      </c>
      <c r="BH128" s="67">
        <v>34.130000000000003</v>
      </c>
      <c r="BI128" s="67">
        <v>34.130000000000003</v>
      </c>
      <c r="BJ128" s="67">
        <v>34.130000000000003</v>
      </c>
      <c r="BK128" s="68">
        <v>34.130000000000003</v>
      </c>
      <c r="BL128" s="67">
        <v>34.130000000000003</v>
      </c>
      <c r="BM128" s="67">
        <v>34.130000000000003</v>
      </c>
      <c r="BN128" s="67">
        <v>34.130000000000003</v>
      </c>
      <c r="BO128" s="68">
        <v>34.130000000000003</v>
      </c>
      <c r="BP128" s="67">
        <v>34.130000000000003</v>
      </c>
      <c r="BQ128" s="67">
        <v>34.130000000000003</v>
      </c>
      <c r="BR128" s="67"/>
      <c r="BS128" s="68"/>
      <c r="BT128" s="67"/>
      <c r="BU128" s="67"/>
      <c r="BV128" s="67"/>
      <c r="BW128" s="68"/>
      <c r="BX128" s="59"/>
      <c r="BY128" s="59"/>
      <c r="BZ128" s="59"/>
      <c r="CA128" s="59"/>
      <c r="CB128" s="59"/>
      <c r="CC128" s="59"/>
      <c r="CD128" s="59"/>
      <c r="CE128" s="59"/>
      <c r="CF128" s="59"/>
      <c r="CG128" s="59"/>
      <c r="CH128" s="59"/>
      <c r="CI128" s="59"/>
      <c r="CJ128" s="59"/>
      <c r="CK128" s="59"/>
      <c r="CL128" s="59"/>
    </row>
    <row r="129" spans="1:90" x14ac:dyDescent="0.25">
      <c r="A129" s="9"/>
      <c r="B129" s="9"/>
      <c r="C129" s="3" t="s">
        <v>41</v>
      </c>
      <c r="D129" s="3"/>
      <c r="E129" s="3"/>
      <c r="F129" s="20"/>
      <c r="G129" s="20"/>
      <c r="H129" s="52"/>
      <c r="I129" s="53"/>
      <c r="J129" s="53"/>
      <c r="K129" s="54"/>
      <c r="L129" s="62">
        <v>110</v>
      </c>
      <c r="M129" s="63">
        <v>135</v>
      </c>
      <c r="N129" s="63">
        <v>185</v>
      </c>
      <c r="O129" s="64">
        <v>185</v>
      </c>
      <c r="P129" s="62">
        <v>185</v>
      </c>
      <c r="Q129" s="63">
        <v>205</v>
      </c>
      <c r="R129" s="63">
        <v>245</v>
      </c>
      <c r="S129" s="64">
        <v>245</v>
      </c>
      <c r="T129" s="63">
        <v>245</v>
      </c>
      <c r="U129" s="63">
        <v>238.33333333333334</v>
      </c>
      <c r="V129" s="63">
        <v>225</v>
      </c>
      <c r="W129" s="64">
        <v>225</v>
      </c>
      <c r="X129" s="63">
        <v>225</v>
      </c>
      <c r="Y129" s="63">
        <v>205.82</v>
      </c>
      <c r="Z129" s="63">
        <v>167.46</v>
      </c>
      <c r="AA129" s="64">
        <v>167.46</v>
      </c>
      <c r="AB129" s="63">
        <v>167.46</v>
      </c>
      <c r="AC129" s="63"/>
      <c r="AD129" s="63">
        <v>219</v>
      </c>
      <c r="AE129" s="64">
        <v>219</v>
      </c>
      <c r="AF129" s="65">
        <v>219</v>
      </c>
      <c r="AG129" s="65">
        <v>217.66666666666666</v>
      </c>
      <c r="AH129" s="65">
        <v>215</v>
      </c>
      <c r="AI129" s="66">
        <v>215</v>
      </c>
      <c r="AJ129" s="65">
        <v>215</v>
      </c>
      <c r="AK129" s="67">
        <v>218.4733333333333</v>
      </c>
      <c r="AL129" s="69">
        <v>225.42</v>
      </c>
      <c r="AM129" s="68">
        <v>225.42</v>
      </c>
      <c r="AN129" s="67">
        <v>225.42</v>
      </c>
      <c r="AO129" s="67">
        <v>190.27999999999997</v>
      </c>
      <c r="AP129" s="69">
        <v>120</v>
      </c>
      <c r="AQ129" s="68">
        <v>120</v>
      </c>
      <c r="AR129" s="67">
        <v>120</v>
      </c>
      <c r="AS129" s="67">
        <v>142.62333333333333</v>
      </c>
      <c r="AT129" s="69">
        <v>187.87</v>
      </c>
      <c r="AU129" s="68">
        <v>187.87</v>
      </c>
      <c r="AV129" s="67">
        <v>187.87</v>
      </c>
      <c r="AW129" s="67">
        <v>193.34333333333333</v>
      </c>
      <c r="AX129" s="69">
        <v>204.29</v>
      </c>
      <c r="AY129" s="68">
        <v>204.29</v>
      </c>
      <c r="AZ129" s="67">
        <v>204.29</v>
      </c>
      <c r="BA129" s="67">
        <v>168.81333333333333</v>
      </c>
      <c r="BB129" s="65">
        <v>97.86</v>
      </c>
      <c r="BC129" s="68">
        <v>97.86</v>
      </c>
      <c r="BD129" s="67">
        <v>97.86</v>
      </c>
      <c r="BE129" s="67">
        <v>81.736666666666665</v>
      </c>
      <c r="BF129" s="65">
        <v>49.49</v>
      </c>
      <c r="BG129" s="68">
        <v>49.49</v>
      </c>
      <c r="BH129" s="67">
        <v>49.49</v>
      </c>
      <c r="BI129" s="67">
        <v>49.49</v>
      </c>
      <c r="BJ129" s="67">
        <v>49.49</v>
      </c>
      <c r="BK129" s="68">
        <v>49.49</v>
      </c>
      <c r="BL129" s="67">
        <v>49.49</v>
      </c>
      <c r="BM129" s="67">
        <v>49.49</v>
      </c>
      <c r="BN129" s="67">
        <v>49.49</v>
      </c>
      <c r="BO129" s="68">
        <v>49.49</v>
      </c>
      <c r="BP129" s="67">
        <v>49.49</v>
      </c>
      <c r="BQ129" s="67">
        <v>49.49</v>
      </c>
      <c r="BR129" s="67"/>
      <c r="BS129" s="68"/>
      <c r="BT129" s="67"/>
      <c r="BU129" s="67"/>
      <c r="BV129" s="67"/>
      <c r="BW129" s="68"/>
      <c r="BX129" s="59"/>
      <c r="BY129" s="59"/>
      <c r="BZ129" s="59"/>
      <c r="CA129" s="59"/>
      <c r="CB129" s="59"/>
      <c r="CC129" s="59"/>
      <c r="CD129" s="59"/>
      <c r="CE129" s="59"/>
      <c r="CF129" s="59"/>
      <c r="CG129" s="59"/>
      <c r="CH129" s="59"/>
      <c r="CI129" s="59"/>
      <c r="CJ129" s="59"/>
      <c r="CK129" s="59"/>
      <c r="CL129" s="59"/>
    </row>
    <row r="130" spans="1:90" x14ac:dyDescent="0.25">
      <c r="A130" s="9"/>
      <c r="B130" s="9"/>
      <c r="C130" s="3" t="s">
        <v>42</v>
      </c>
      <c r="D130" s="3"/>
      <c r="E130" s="3"/>
      <c r="F130" s="20"/>
      <c r="G130" s="20"/>
      <c r="H130" s="52"/>
      <c r="I130" s="53"/>
      <c r="J130" s="53"/>
      <c r="K130" s="54"/>
      <c r="L130" s="62">
        <v>5</v>
      </c>
      <c r="M130" s="63">
        <v>29</v>
      </c>
      <c r="N130" s="63">
        <v>41</v>
      </c>
      <c r="O130" s="64">
        <v>31.666666666666668</v>
      </c>
      <c r="P130" s="62">
        <v>27</v>
      </c>
      <c r="Q130" s="63">
        <v>101</v>
      </c>
      <c r="R130" s="63">
        <v>138</v>
      </c>
      <c r="S130" s="64">
        <v>108.66666666666667</v>
      </c>
      <c r="T130" s="63">
        <v>94</v>
      </c>
      <c r="U130" s="70">
        <v>144</v>
      </c>
      <c r="V130" s="70">
        <v>169</v>
      </c>
      <c r="W130" s="58">
        <v>108.38812785388127</v>
      </c>
      <c r="X130" s="57">
        <v>78.082191780821915</v>
      </c>
      <c r="Y130" s="57">
        <v>103.83561643835614</v>
      </c>
      <c r="Z130" s="57">
        <v>116.71232876712327</v>
      </c>
      <c r="AA130" s="58">
        <v>63.452054794520535</v>
      </c>
      <c r="AB130" s="57">
        <v>36.821917808219183</v>
      </c>
      <c r="AC130" s="57"/>
      <c r="AD130" s="57">
        <v>119.01369863013699</v>
      </c>
      <c r="AE130" s="58">
        <v>56.109589041095887</v>
      </c>
      <c r="AF130" s="57">
        <v>24.657534246575342</v>
      </c>
      <c r="AG130" s="57">
        <v>101.36986301369862</v>
      </c>
      <c r="AH130" s="57">
        <v>139.72602739726028</v>
      </c>
      <c r="AI130" s="58">
        <v>75.06849315068493</v>
      </c>
      <c r="AJ130" s="57">
        <v>42.739726027397268</v>
      </c>
      <c r="AK130" s="53">
        <v>123.83561643835615</v>
      </c>
      <c r="AL130" s="57">
        <v>164.38356164383561</v>
      </c>
      <c r="AM130" s="54">
        <v>83.287671232876704</v>
      </c>
      <c r="AN130" s="53">
        <v>42.739726027397268</v>
      </c>
      <c r="AO130" s="53">
        <v>123.83561643835615</v>
      </c>
      <c r="AP130" s="67">
        <v>164.38356164383561</v>
      </c>
      <c r="AQ130" s="54">
        <v>83.287671232876704</v>
      </c>
      <c r="AR130" s="53">
        <v>42.739726027397268</v>
      </c>
      <c r="AS130" s="53">
        <v>123.83561643835615</v>
      </c>
      <c r="AT130" s="67">
        <v>164.38356164383561</v>
      </c>
      <c r="AU130" s="54">
        <v>83.287671232876704</v>
      </c>
      <c r="AV130" s="53">
        <v>42.739726027397268</v>
      </c>
      <c r="AW130" s="53">
        <v>123.83561643835615</v>
      </c>
      <c r="AX130" s="67">
        <v>164.38356164383561</v>
      </c>
      <c r="AY130" s="68">
        <v>83.287671232876704</v>
      </c>
      <c r="AZ130" s="53">
        <v>42.739726027397268</v>
      </c>
      <c r="BA130" s="53">
        <v>123.83561643835615</v>
      </c>
      <c r="BB130" s="67">
        <v>164.38356164383561</v>
      </c>
      <c r="BC130" s="68">
        <v>83.287671232876704</v>
      </c>
      <c r="BD130" s="53">
        <v>42.739726027397268</v>
      </c>
      <c r="BE130" s="53">
        <v>123.83561643835615</v>
      </c>
      <c r="BF130" s="67">
        <v>164.38356164383561</v>
      </c>
      <c r="BG130" s="68">
        <v>83.287671232876704</v>
      </c>
      <c r="BH130" s="53">
        <v>42.739726027397268</v>
      </c>
      <c r="BI130" s="53">
        <v>123.83561643835615</v>
      </c>
      <c r="BJ130" s="67">
        <v>164.38356164383561</v>
      </c>
      <c r="BK130" s="68">
        <v>83.287671232876704</v>
      </c>
      <c r="BL130" s="53">
        <v>42.739726027397268</v>
      </c>
      <c r="BM130" s="53">
        <v>123.83561643835615</v>
      </c>
      <c r="BN130" s="67">
        <v>164.38356164383561</v>
      </c>
      <c r="BO130" s="68">
        <v>83.287671232876704</v>
      </c>
      <c r="BP130" s="53">
        <v>42.739726027397268</v>
      </c>
      <c r="BQ130" s="53">
        <v>123.83561643835615</v>
      </c>
      <c r="BR130" s="67"/>
      <c r="BS130" s="68"/>
      <c r="BT130" s="53"/>
      <c r="BU130" s="53"/>
      <c r="BV130" s="67"/>
      <c r="BW130" s="68"/>
      <c r="BX130" s="59"/>
      <c r="BY130" s="59"/>
      <c r="BZ130" s="59"/>
      <c r="CA130" s="59"/>
      <c r="CB130" s="59"/>
      <c r="CC130" s="59"/>
      <c r="CD130" s="59"/>
      <c r="CE130" s="59"/>
      <c r="CF130" s="59"/>
      <c r="CG130" s="59"/>
      <c r="CH130" s="59"/>
      <c r="CI130" s="59"/>
      <c r="CJ130" s="59"/>
      <c r="CK130" s="59"/>
      <c r="CL130" s="59"/>
    </row>
    <row r="131" spans="1:90" x14ac:dyDescent="0.25">
      <c r="A131" s="9"/>
      <c r="B131" s="9"/>
      <c r="C131" s="3" t="s">
        <v>43</v>
      </c>
      <c r="D131" s="3"/>
      <c r="E131" s="3"/>
      <c r="F131" s="20"/>
      <c r="G131" s="20"/>
      <c r="H131" s="52"/>
      <c r="I131" s="53"/>
      <c r="J131" s="53"/>
      <c r="K131" s="54"/>
      <c r="L131" s="62">
        <v>89</v>
      </c>
      <c r="M131" s="63">
        <v>286.33333333333331</v>
      </c>
      <c r="N131" s="63">
        <v>385</v>
      </c>
      <c r="O131" s="64">
        <v>227</v>
      </c>
      <c r="P131" s="62">
        <v>148</v>
      </c>
      <c r="Q131" s="63">
        <v>374</v>
      </c>
      <c r="R131" s="63">
        <v>487</v>
      </c>
      <c r="S131" s="64">
        <v>326.33333333333331</v>
      </c>
      <c r="T131" s="63">
        <v>246</v>
      </c>
      <c r="U131" s="70">
        <v>437.33333333333331</v>
      </c>
      <c r="V131" s="70">
        <v>533</v>
      </c>
      <c r="W131" s="58">
        <v>374.05022831050229</v>
      </c>
      <c r="X131" s="57">
        <v>294.57534246575347</v>
      </c>
      <c r="Y131" s="57">
        <v>441.20547945205482</v>
      </c>
      <c r="Z131" s="57">
        <v>514.52054794520552</v>
      </c>
      <c r="AA131" s="58">
        <v>299.28767123287673</v>
      </c>
      <c r="AB131" s="57">
        <v>191.67123287671237</v>
      </c>
      <c r="AC131" s="57"/>
      <c r="AD131" s="57">
        <v>361.3150684931507</v>
      </c>
      <c r="AE131" s="58">
        <v>197.15068493150685</v>
      </c>
      <c r="AF131" s="57">
        <v>115.06849315068493</v>
      </c>
      <c r="AG131" s="57">
        <v>306.84931506849313</v>
      </c>
      <c r="AH131" s="57">
        <v>402.73972602739724</v>
      </c>
      <c r="AI131" s="58">
        <v>240.10958904109589</v>
      </c>
      <c r="AJ131" s="57">
        <v>158.79452054794521</v>
      </c>
      <c r="AK131" s="53">
        <v>321.42465753424653</v>
      </c>
      <c r="AL131" s="53">
        <v>402.73972602739724</v>
      </c>
      <c r="AM131" s="54">
        <v>240.10958904109589</v>
      </c>
      <c r="AN131" s="53">
        <v>158.79452054794521</v>
      </c>
      <c r="AO131" s="53">
        <v>321.42465753424653</v>
      </c>
      <c r="AP131" s="67">
        <v>402.73972602739724</v>
      </c>
      <c r="AQ131" s="54">
        <v>240.10958904109589</v>
      </c>
      <c r="AR131" s="53">
        <v>158.79452054794521</v>
      </c>
      <c r="AS131" s="53">
        <v>321.42465753424653</v>
      </c>
      <c r="AT131" s="67">
        <v>402.73972602739724</v>
      </c>
      <c r="AU131" s="54">
        <v>240.10958904109589</v>
      </c>
      <c r="AV131" s="53">
        <v>158.79452054794521</v>
      </c>
      <c r="AW131" s="53">
        <v>321.42465753424653</v>
      </c>
      <c r="AX131" s="67">
        <v>402.73972602739724</v>
      </c>
      <c r="AY131" s="68">
        <v>240.10958904109589</v>
      </c>
      <c r="AZ131" s="53">
        <v>158.79452054794521</v>
      </c>
      <c r="BA131" s="53">
        <v>321.42465753424653</v>
      </c>
      <c r="BB131" s="67">
        <v>402.73972602739724</v>
      </c>
      <c r="BC131" s="68">
        <v>240.10958904109589</v>
      </c>
      <c r="BD131" s="53">
        <v>158.79452054794521</v>
      </c>
      <c r="BE131" s="53">
        <v>321.42465753424653</v>
      </c>
      <c r="BF131" s="67">
        <v>402.73972602739724</v>
      </c>
      <c r="BG131" s="68">
        <v>240.10958904109589</v>
      </c>
      <c r="BH131" s="53">
        <v>158.79452054794521</v>
      </c>
      <c r="BI131" s="53">
        <v>321.42465753424653</v>
      </c>
      <c r="BJ131" s="67">
        <v>402.73972602739724</v>
      </c>
      <c r="BK131" s="68">
        <v>240.10958904109589</v>
      </c>
      <c r="BL131" s="53">
        <v>158.79452054794521</v>
      </c>
      <c r="BM131" s="53">
        <v>321.42465753424653</v>
      </c>
      <c r="BN131" s="67">
        <v>402.73972602739724</v>
      </c>
      <c r="BO131" s="68">
        <v>240.10958904109589</v>
      </c>
      <c r="BP131" s="53">
        <v>158.79452054794521</v>
      </c>
      <c r="BQ131" s="53">
        <v>321.42465753424653</v>
      </c>
      <c r="BR131" s="67"/>
      <c r="BS131" s="68"/>
      <c r="BT131" s="53"/>
      <c r="BU131" s="53"/>
      <c r="BV131" s="67"/>
      <c r="BW131" s="68"/>
      <c r="BX131" s="59"/>
      <c r="BY131" s="59"/>
      <c r="BZ131" s="59"/>
      <c r="CA131" s="59"/>
      <c r="CB131" s="59"/>
      <c r="CC131" s="59"/>
      <c r="CD131" s="59"/>
      <c r="CE131" s="59"/>
      <c r="CF131" s="59"/>
      <c r="CG131" s="59"/>
      <c r="CH131" s="59"/>
      <c r="CI131" s="59"/>
      <c r="CJ131" s="59"/>
      <c r="CK131" s="59"/>
      <c r="CL131" s="59"/>
    </row>
    <row r="132" spans="1:90" x14ac:dyDescent="0.25">
      <c r="A132" s="9"/>
      <c r="B132" s="9"/>
      <c r="C132" s="3" t="s">
        <v>44</v>
      </c>
      <c r="D132" s="3"/>
      <c r="E132" s="3"/>
      <c r="F132" s="20"/>
      <c r="G132" s="20"/>
      <c r="H132" s="52"/>
      <c r="I132" s="53"/>
      <c r="J132" s="53"/>
      <c r="K132" s="54"/>
      <c r="L132" s="62">
        <v>110</v>
      </c>
      <c r="M132" s="63">
        <v>78.819999999999993</v>
      </c>
      <c r="N132" s="63">
        <v>16.46</v>
      </c>
      <c r="O132" s="64">
        <v>16.46</v>
      </c>
      <c r="P132" s="62">
        <v>16.46</v>
      </c>
      <c r="Q132" s="63">
        <v>20.216666666666669</v>
      </c>
      <c r="R132" s="63">
        <v>27.73</v>
      </c>
      <c r="S132" s="64">
        <v>27.73</v>
      </c>
      <c r="T132" s="63">
        <v>27.73</v>
      </c>
      <c r="U132" s="63">
        <v>60.483333333333327</v>
      </c>
      <c r="V132" s="63">
        <v>125.99</v>
      </c>
      <c r="W132" s="64">
        <v>125.99</v>
      </c>
      <c r="X132" s="63">
        <v>125.99</v>
      </c>
      <c r="Y132" s="63">
        <v>129.32666666666668</v>
      </c>
      <c r="Z132" s="63">
        <v>357</v>
      </c>
      <c r="AA132" s="64">
        <v>357</v>
      </c>
      <c r="AB132" s="63">
        <v>357</v>
      </c>
      <c r="AC132" s="63"/>
      <c r="AD132" s="63">
        <v>114.23</v>
      </c>
      <c r="AE132" s="64">
        <v>114.23</v>
      </c>
      <c r="AF132" s="65">
        <v>114.23</v>
      </c>
      <c r="AG132" s="65">
        <v>116.15333333333334</v>
      </c>
      <c r="AH132" s="65">
        <v>120</v>
      </c>
      <c r="AI132" s="66">
        <v>120</v>
      </c>
      <c r="AJ132" s="65">
        <v>120</v>
      </c>
      <c r="AK132" s="67">
        <v>134.92333333333335</v>
      </c>
      <c r="AL132" s="69">
        <v>164.77</v>
      </c>
      <c r="AM132" s="68">
        <v>164.77</v>
      </c>
      <c r="AN132" s="67">
        <v>164.77</v>
      </c>
      <c r="AO132" s="67">
        <v>143.18</v>
      </c>
      <c r="AP132" s="69">
        <v>100</v>
      </c>
      <c r="AQ132" s="68">
        <v>100</v>
      </c>
      <c r="AR132" s="67">
        <v>100</v>
      </c>
      <c r="AS132" s="67">
        <v>92.176666666666648</v>
      </c>
      <c r="AT132" s="69">
        <v>76.53</v>
      </c>
      <c r="AU132" s="68">
        <v>76.53</v>
      </c>
      <c r="AV132" s="67">
        <v>76.53</v>
      </c>
      <c r="AW132" s="67">
        <v>108.13</v>
      </c>
      <c r="AX132" s="69">
        <v>171.33</v>
      </c>
      <c r="AY132" s="68">
        <v>171.33</v>
      </c>
      <c r="AZ132" s="67">
        <v>171.33</v>
      </c>
      <c r="BA132" s="67">
        <v>130.88666666666666</v>
      </c>
      <c r="BB132" s="65">
        <v>50</v>
      </c>
      <c r="BC132" s="68">
        <v>50</v>
      </c>
      <c r="BD132" s="67">
        <v>50</v>
      </c>
      <c r="BE132" s="67">
        <v>44.709999999999994</v>
      </c>
      <c r="BF132" s="65">
        <v>34.130000000000003</v>
      </c>
      <c r="BG132" s="68">
        <v>34.130000000000003</v>
      </c>
      <c r="BH132" s="67">
        <v>34.130000000000003</v>
      </c>
      <c r="BI132" s="67">
        <v>34.130000000000003</v>
      </c>
      <c r="BJ132" s="67">
        <v>34.130000000000003</v>
      </c>
      <c r="BK132" s="68">
        <v>34.130000000000003</v>
      </c>
      <c r="BL132" s="67">
        <v>34.130000000000003</v>
      </c>
      <c r="BM132" s="67">
        <v>34.130000000000003</v>
      </c>
      <c r="BN132" s="67">
        <v>34.130000000000003</v>
      </c>
      <c r="BO132" s="68">
        <v>34.130000000000003</v>
      </c>
      <c r="BP132" s="67">
        <v>34.130000000000003</v>
      </c>
      <c r="BQ132" s="67">
        <v>34.130000000000003</v>
      </c>
      <c r="BR132" s="67"/>
      <c r="BS132" s="68"/>
      <c r="BT132" s="67"/>
      <c r="BU132" s="67"/>
      <c r="BV132" s="67"/>
      <c r="BW132" s="68"/>
      <c r="BX132" s="59"/>
      <c r="BY132" s="59"/>
      <c r="BZ132" s="59"/>
      <c r="CA132" s="59"/>
      <c r="CB132" s="59"/>
      <c r="CC132" s="59"/>
      <c r="CD132" s="59"/>
      <c r="CE132" s="59"/>
      <c r="CF132" s="59"/>
      <c r="CG132" s="59"/>
      <c r="CH132" s="59"/>
      <c r="CI132" s="59"/>
      <c r="CJ132" s="59"/>
      <c r="CK132" s="59"/>
      <c r="CL132" s="59"/>
    </row>
    <row r="133" spans="1:90" x14ac:dyDescent="0.25">
      <c r="A133" s="9"/>
      <c r="B133" s="9"/>
      <c r="C133" s="3" t="s">
        <v>45</v>
      </c>
      <c r="D133" s="3"/>
      <c r="E133" s="3"/>
      <c r="F133" s="20"/>
      <c r="G133" s="20"/>
      <c r="H133" s="52"/>
      <c r="I133" s="53"/>
      <c r="J133" s="53"/>
      <c r="K133" s="54"/>
      <c r="L133" s="62">
        <v>0</v>
      </c>
      <c r="M133" s="63">
        <v>0</v>
      </c>
      <c r="N133" s="63">
        <v>0</v>
      </c>
      <c r="O133" s="64">
        <v>0</v>
      </c>
      <c r="P133" s="62">
        <v>0.1</v>
      </c>
      <c r="Q133" s="63">
        <v>0.41666666666666669</v>
      </c>
      <c r="R133" s="63">
        <v>1.05</v>
      </c>
      <c r="S133" s="64">
        <v>1.05</v>
      </c>
      <c r="T133" s="63">
        <v>1.05</v>
      </c>
      <c r="U133" s="63">
        <v>11.516666666666666</v>
      </c>
      <c r="V133" s="63">
        <v>16.75</v>
      </c>
      <c r="W133" s="64">
        <v>16.75</v>
      </c>
      <c r="X133" s="63">
        <v>16.75</v>
      </c>
      <c r="Y133" s="53">
        <v>105.58333333333333</v>
      </c>
      <c r="Z133" s="63">
        <v>150</v>
      </c>
      <c r="AA133" s="64">
        <v>150</v>
      </c>
      <c r="AB133" s="63">
        <v>150</v>
      </c>
      <c r="AC133" s="53"/>
      <c r="AD133" s="63">
        <v>72</v>
      </c>
      <c r="AE133" s="64">
        <v>72</v>
      </c>
      <c r="AF133" s="63">
        <v>72</v>
      </c>
      <c r="AG133" s="53">
        <v>25</v>
      </c>
      <c r="AH133" s="63">
        <v>1.5</v>
      </c>
      <c r="AI133" s="64">
        <v>1.5</v>
      </c>
      <c r="AJ133" s="63">
        <v>1.5</v>
      </c>
      <c r="AK133" s="53">
        <v>7.1666666666666661</v>
      </c>
      <c r="AL133" s="63">
        <v>10</v>
      </c>
      <c r="AM133" s="64">
        <v>10</v>
      </c>
      <c r="AN133" s="63">
        <v>10</v>
      </c>
      <c r="AO133" s="53">
        <v>5.3266666666666662</v>
      </c>
      <c r="AP133" s="63">
        <v>2.99</v>
      </c>
      <c r="AQ133" s="64">
        <v>2.99</v>
      </c>
      <c r="AR133" s="63">
        <v>2.99</v>
      </c>
      <c r="AS133" s="53">
        <v>4.33</v>
      </c>
      <c r="AT133" s="69">
        <v>5</v>
      </c>
      <c r="AU133" s="64">
        <v>5</v>
      </c>
      <c r="AV133" s="53">
        <v>5</v>
      </c>
      <c r="AW133" s="53">
        <v>5</v>
      </c>
      <c r="AX133" s="67">
        <v>5</v>
      </c>
      <c r="AY133" s="68">
        <v>5</v>
      </c>
      <c r="AZ133" s="53">
        <v>5</v>
      </c>
      <c r="BA133" s="53">
        <v>5</v>
      </c>
      <c r="BB133" s="67">
        <v>5</v>
      </c>
      <c r="BC133" s="68">
        <v>5</v>
      </c>
      <c r="BD133" s="53">
        <v>5</v>
      </c>
      <c r="BE133" s="53">
        <v>5</v>
      </c>
      <c r="BF133" s="67">
        <v>5</v>
      </c>
      <c r="BG133" s="68">
        <v>5</v>
      </c>
      <c r="BH133" s="53">
        <v>5</v>
      </c>
      <c r="BI133" s="53">
        <v>5</v>
      </c>
      <c r="BJ133" s="67">
        <v>5</v>
      </c>
      <c r="BK133" s="68">
        <v>5</v>
      </c>
      <c r="BL133" s="53">
        <v>5</v>
      </c>
      <c r="BM133" s="53">
        <v>5</v>
      </c>
      <c r="BN133" s="67">
        <v>5</v>
      </c>
      <c r="BO133" s="68">
        <v>5</v>
      </c>
      <c r="BP133" s="53">
        <v>5</v>
      </c>
      <c r="BQ133" s="53">
        <v>5</v>
      </c>
      <c r="BR133" s="67"/>
      <c r="BS133" s="68"/>
      <c r="BT133" s="53"/>
      <c r="BU133" s="53"/>
      <c r="BV133" s="67"/>
      <c r="BW133" s="68"/>
      <c r="BX133" s="59"/>
      <c r="BY133" s="59"/>
      <c r="BZ133" s="59"/>
      <c r="CA133" s="59"/>
      <c r="CB133" s="59"/>
      <c r="CC133" s="59"/>
      <c r="CD133" s="59"/>
      <c r="CE133" s="59"/>
      <c r="CF133" s="59"/>
      <c r="CG133" s="59"/>
      <c r="CH133" s="59"/>
      <c r="CI133" s="59"/>
      <c r="CJ133" s="59"/>
      <c r="CK133" s="59"/>
      <c r="CL133" s="59"/>
    </row>
    <row r="134" spans="1:90" x14ac:dyDescent="0.25">
      <c r="A134" s="9"/>
      <c r="B134" s="9"/>
      <c r="C134" s="3" t="s">
        <v>46</v>
      </c>
      <c r="D134" s="3"/>
      <c r="E134" s="3"/>
      <c r="F134" s="20"/>
      <c r="G134" s="20"/>
      <c r="H134" s="52"/>
      <c r="I134" s="53"/>
      <c r="J134" s="53"/>
      <c r="K134" s="54"/>
      <c r="L134" s="62">
        <v>102.54</v>
      </c>
      <c r="M134" s="63">
        <v>96.14</v>
      </c>
      <c r="N134" s="63">
        <v>83.34</v>
      </c>
      <c r="O134" s="64">
        <v>83.34</v>
      </c>
      <c r="P134" s="62">
        <v>83.34</v>
      </c>
      <c r="Q134" s="63">
        <v>83.13333333333334</v>
      </c>
      <c r="R134" s="63">
        <v>82.72</v>
      </c>
      <c r="S134" s="64">
        <v>82.72</v>
      </c>
      <c r="T134" s="63">
        <v>82.72</v>
      </c>
      <c r="U134" s="63">
        <v>86.433333333333337</v>
      </c>
      <c r="V134" s="63">
        <v>93.86</v>
      </c>
      <c r="W134" s="64">
        <v>93.86</v>
      </c>
      <c r="X134" s="63">
        <v>93.86</v>
      </c>
      <c r="Y134" s="63">
        <v>96.874703196347028</v>
      </c>
      <c r="Z134" s="63">
        <v>102.9041095890411</v>
      </c>
      <c r="AA134" s="64">
        <v>102.9041095890411</v>
      </c>
      <c r="AB134" s="63">
        <v>103</v>
      </c>
      <c r="AC134" s="63"/>
      <c r="AD134" s="63">
        <v>94.78</v>
      </c>
      <c r="AE134" s="64">
        <v>94.78</v>
      </c>
      <c r="AF134" s="65">
        <v>94.78</v>
      </c>
      <c r="AG134" s="65">
        <v>140.17296803652968</v>
      </c>
      <c r="AH134" s="65">
        <v>230.95890410958907</v>
      </c>
      <c r="AI134" s="66">
        <v>230.95890410958907</v>
      </c>
      <c r="AJ134" s="65">
        <v>230.95890410958907</v>
      </c>
      <c r="AK134" s="67">
        <v>258.63013698630141</v>
      </c>
      <c r="AL134" s="65">
        <v>313.97260273972609</v>
      </c>
      <c r="AM134" s="68">
        <v>313.97260273972609</v>
      </c>
      <c r="AN134" s="67">
        <v>313.97260273972609</v>
      </c>
      <c r="AO134" s="67">
        <v>286.35616438356169</v>
      </c>
      <c r="AP134" s="65">
        <v>231.12328767123287</v>
      </c>
      <c r="AQ134" s="68">
        <v>231.12328767123287</v>
      </c>
      <c r="AR134" s="67">
        <v>231.12328767123287</v>
      </c>
      <c r="AS134" s="67">
        <v>212.13150684931506</v>
      </c>
      <c r="AT134" s="65">
        <v>174.14794520547943</v>
      </c>
      <c r="AU134" s="68">
        <v>174.14794520547943</v>
      </c>
      <c r="AV134" s="67">
        <v>174.14794520547943</v>
      </c>
      <c r="AW134" s="67">
        <v>166.83835616438353</v>
      </c>
      <c r="AX134" s="65">
        <v>152.21917808219177</v>
      </c>
      <c r="AY134" s="68">
        <v>152.21917808219177</v>
      </c>
      <c r="AZ134" s="67">
        <v>152.21917808219177</v>
      </c>
      <c r="BA134" s="67">
        <v>143.12328767123284</v>
      </c>
      <c r="BB134" s="65">
        <v>124.93150684931504</v>
      </c>
      <c r="BC134" s="68">
        <v>124.93150684931504</v>
      </c>
      <c r="BD134" s="67">
        <v>124.93150684931504</v>
      </c>
      <c r="BE134" s="67">
        <v>105.20547945205477</v>
      </c>
      <c r="BF134" s="65">
        <v>65.753424657534254</v>
      </c>
      <c r="BG134" s="68">
        <v>65.753424657534254</v>
      </c>
      <c r="BH134" s="67">
        <v>65.753424657534254</v>
      </c>
      <c r="BI134" s="67">
        <v>72.438356164383563</v>
      </c>
      <c r="BJ134" s="65">
        <v>85.808219178082197</v>
      </c>
      <c r="BK134" s="68">
        <v>85.808219178082197</v>
      </c>
      <c r="BL134" s="67">
        <v>85.808219178082197</v>
      </c>
      <c r="BM134" s="67">
        <v>85.808219178082197</v>
      </c>
      <c r="BN134" s="65">
        <v>85.808219178082197</v>
      </c>
      <c r="BO134" s="68">
        <v>85.808219178082197</v>
      </c>
      <c r="BP134" s="67">
        <v>85.808219178082197</v>
      </c>
      <c r="BQ134" s="67">
        <v>85.808219178082197</v>
      </c>
      <c r="BR134" s="65"/>
      <c r="BS134" s="68"/>
      <c r="BT134" s="67"/>
      <c r="BU134" s="67"/>
      <c r="BV134" s="65"/>
      <c r="BW134" s="68"/>
      <c r="BX134" s="59"/>
      <c r="BY134" s="59"/>
      <c r="BZ134" s="59"/>
      <c r="CA134" s="59"/>
      <c r="CB134" s="59"/>
      <c r="CC134" s="59"/>
      <c r="CD134" s="59"/>
      <c r="CE134" s="59"/>
      <c r="CF134" s="59"/>
      <c r="CG134" s="59"/>
      <c r="CH134" s="59"/>
      <c r="CI134" s="59"/>
      <c r="CJ134" s="59"/>
      <c r="CK134" s="59"/>
      <c r="CL134" s="59"/>
    </row>
    <row r="135" spans="1:90" x14ac:dyDescent="0.25">
      <c r="A135" s="9"/>
      <c r="B135" s="9"/>
      <c r="C135" s="3" t="s">
        <v>47</v>
      </c>
      <c r="D135" s="3"/>
      <c r="E135" s="3"/>
      <c r="F135" s="20"/>
      <c r="G135" s="20"/>
      <c r="H135" s="52"/>
      <c r="I135" s="53"/>
      <c r="J135" s="53"/>
      <c r="K135" s="54"/>
      <c r="L135" s="62">
        <v>102.54</v>
      </c>
      <c r="M135" s="63">
        <v>96.14</v>
      </c>
      <c r="N135" s="63">
        <v>83.34</v>
      </c>
      <c r="O135" s="64">
        <v>83.34</v>
      </c>
      <c r="P135" s="62">
        <v>83.34</v>
      </c>
      <c r="Q135" s="63">
        <v>83.13333333333334</v>
      </c>
      <c r="R135" s="63">
        <v>82.72</v>
      </c>
      <c r="S135" s="64">
        <v>82.72</v>
      </c>
      <c r="T135" s="63">
        <v>82.72</v>
      </c>
      <c r="U135" s="63">
        <v>86.433333333333337</v>
      </c>
      <c r="V135" s="63">
        <v>93.86</v>
      </c>
      <c r="W135" s="64">
        <v>93.86</v>
      </c>
      <c r="X135" s="63">
        <v>93.86</v>
      </c>
      <c r="Y135" s="63">
        <v>96.874703196347028</v>
      </c>
      <c r="Z135" s="63">
        <v>102.9041095890411</v>
      </c>
      <c r="AA135" s="64">
        <v>102.9041095890411</v>
      </c>
      <c r="AB135" s="63">
        <v>103</v>
      </c>
      <c r="AC135" s="63"/>
      <c r="AD135" s="63">
        <v>219</v>
      </c>
      <c r="AE135" s="64">
        <v>219</v>
      </c>
      <c r="AF135" s="65">
        <v>219</v>
      </c>
      <c r="AG135" s="65">
        <v>310.38356164383561</v>
      </c>
      <c r="AH135" s="65">
        <v>493.15068493150687</v>
      </c>
      <c r="AI135" s="66">
        <v>493.15068493150687</v>
      </c>
      <c r="AJ135" s="65">
        <v>493.15068493150687</v>
      </c>
      <c r="AK135" s="67">
        <v>433.42465753424653</v>
      </c>
      <c r="AL135" s="65">
        <v>313.97260273972609</v>
      </c>
      <c r="AM135" s="68">
        <v>313.97260273972609</v>
      </c>
      <c r="AN135" s="67">
        <v>313.97260273972609</v>
      </c>
      <c r="AO135" s="67">
        <v>286.35616438356169</v>
      </c>
      <c r="AP135" s="65">
        <v>231.12328767123287</v>
      </c>
      <c r="AQ135" s="68">
        <v>231.12328767123287</v>
      </c>
      <c r="AR135" s="67">
        <v>231.12328767123287</v>
      </c>
      <c r="AS135" s="67">
        <v>212.13150684931506</v>
      </c>
      <c r="AT135" s="65">
        <v>174.14794520547943</v>
      </c>
      <c r="AU135" s="68">
        <v>174.14794520547943</v>
      </c>
      <c r="AV135" s="67">
        <v>174.14794520547943</v>
      </c>
      <c r="AW135" s="67">
        <v>166.83835616438353</v>
      </c>
      <c r="AX135" s="65">
        <v>152.21917808219177</v>
      </c>
      <c r="AY135" s="68">
        <v>152.21917808219177</v>
      </c>
      <c r="AZ135" s="67">
        <v>152.21917808219177</v>
      </c>
      <c r="BA135" s="67">
        <v>143.12328767123284</v>
      </c>
      <c r="BB135" s="65">
        <v>124.93150684931504</v>
      </c>
      <c r="BC135" s="68">
        <v>124.93150684931504</v>
      </c>
      <c r="BD135" s="67">
        <v>124.93150684931504</v>
      </c>
      <c r="BE135" s="67">
        <v>105.20547945205477</v>
      </c>
      <c r="BF135" s="65">
        <v>65.753424657534254</v>
      </c>
      <c r="BG135" s="68">
        <v>65.753424657534254</v>
      </c>
      <c r="BH135" s="67">
        <v>65.753424657534254</v>
      </c>
      <c r="BI135" s="67">
        <v>71.013698630136986</v>
      </c>
      <c r="BJ135" s="65">
        <v>81.534246575342451</v>
      </c>
      <c r="BK135" s="68">
        <v>81.534246575342451</v>
      </c>
      <c r="BL135" s="67">
        <v>81.534246575342451</v>
      </c>
      <c r="BM135" s="67">
        <v>81.534246575342451</v>
      </c>
      <c r="BN135" s="65">
        <v>81.534246575342451</v>
      </c>
      <c r="BO135" s="68">
        <v>81.534246575342451</v>
      </c>
      <c r="BP135" s="67">
        <v>81.534246575342451</v>
      </c>
      <c r="BQ135" s="67">
        <v>81.534246575342451</v>
      </c>
      <c r="BR135" s="65"/>
      <c r="BS135" s="68"/>
      <c r="BT135" s="67"/>
      <c r="BU135" s="67"/>
      <c r="BV135" s="65"/>
      <c r="BW135" s="68"/>
      <c r="BX135" s="59"/>
      <c r="BY135" s="59"/>
      <c r="BZ135" s="59"/>
      <c r="CA135" s="59"/>
      <c r="CB135" s="59"/>
      <c r="CC135" s="59"/>
      <c r="CD135" s="59"/>
      <c r="CE135" s="59"/>
      <c r="CF135" s="59"/>
      <c r="CG135" s="59"/>
      <c r="CH135" s="59"/>
      <c r="CI135" s="59"/>
      <c r="CJ135" s="59"/>
      <c r="CK135" s="59"/>
      <c r="CL135" s="59"/>
    </row>
    <row r="136" spans="1:90" x14ac:dyDescent="0.25">
      <c r="A136" s="9"/>
      <c r="B136" s="9"/>
      <c r="C136" s="3" t="s">
        <v>48</v>
      </c>
      <c r="D136" s="3"/>
      <c r="E136" s="3"/>
      <c r="F136" s="20"/>
      <c r="G136" s="20"/>
      <c r="H136" s="30"/>
      <c r="I136" s="53"/>
      <c r="J136" s="53"/>
      <c r="K136" s="54"/>
      <c r="L136" s="62">
        <v>5</v>
      </c>
      <c r="M136" s="63">
        <v>29</v>
      </c>
      <c r="N136" s="63">
        <v>41</v>
      </c>
      <c r="O136" s="64">
        <v>31.666666666666668</v>
      </c>
      <c r="P136" s="62">
        <v>27</v>
      </c>
      <c r="Q136" s="63">
        <v>101</v>
      </c>
      <c r="R136" s="63">
        <v>138</v>
      </c>
      <c r="S136" s="64">
        <v>108.66666666666667</v>
      </c>
      <c r="T136" s="63">
        <v>246</v>
      </c>
      <c r="U136" s="70">
        <v>300.30136986301369</v>
      </c>
      <c r="V136" s="70">
        <v>327.45205479452056</v>
      </c>
      <c r="W136" s="58">
        <v>238.46575342465755</v>
      </c>
      <c r="X136" s="57">
        <v>193.97260273972606</v>
      </c>
      <c r="Y136" s="57">
        <v>250.95890410958904</v>
      </c>
      <c r="Z136" s="57">
        <v>279.45205479452056</v>
      </c>
      <c r="AA136" s="58">
        <v>174.90410958904107</v>
      </c>
      <c r="AB136" s="57">
        <v>122.63013698630137</v>
      </c>
      <c r="AC136" s="57"/>
      <c r="AD136" s="57">
        <v>271.23287671232879</v>
      </c>
      <c r="AE136" s="58">
        <v>167.12328767123287</v>
      </c>
      <c r="AF136" s="57">
        <v>115.06849315068493</v>
      </c>
      <c r="AG136" s="57">
        <v>219.17808219178082</v>
      </c>
      <c r="AH136" s="57">
        <v>271.23287671232879</v>
      </c>
      <c r="AI136" s="58">
        <v>167.12328767123287</v>
      </c>
      <c r="AJ136" s="57">
        <v>115.06849315068493</v>
      </c>
      <c r="AK136" s="67">
        <v>219.17808219178082</v>
      </c>
      <c r="AL136" s="67">
        <v>271.23287671232879</v>
      </c>
      <c r="AM136" s="54">
        <v>167.12328767123287</v>
      </c>
      <c r="AN136" s="53">
        <v>115.06849315068493</v>
      </c>
      <c r="AO136" s="67">
        <v>219.17808219178082</v>
      </c>
      <c r="AP136" s="67">
        <v>271.23287671232879</v>
      </c>
      <c r="AQ136" s="54">
        <v>167.12328767123287</v>
      </c>
      <c r="AR136" s="53">
        <v>115.06849315068493</v>
      </c>
      <c r="AS136" s="67">
        <v>219.17808219178082</v>
      </c>
      <c r="AT136" s="67">
        <v>271.23287671232879</v>
      </c>
      <c r="AU136" s="54">
        <v>167.12328767123287</v>
      </c>
      <c r="AV136" s="53">
        <v>115.06849315068493</v>
      </c>
      <c r="AW136" s="67">
        <v>219.17808219178082</v>
      </c>
      <c r="AX136" s="67">
        <v>271.23287671232879</v>
      </c>
      <c r="AY136" s="68">
        <v>167.12328767123287</v>
      </c>
      <c r="AZ136" s="53">
        <v>115.06849315068493</v>
      </c>
      <c r="BA136" s="67">
        <v>219.17808219178082</v>
      </c>
      <c r="BB136" s="67">
        <v>271.23287671232879</v>
      </c>
      <c r="BC136" s="68">
        <v>167.12328767123287</v>
      </c>
      <c r="BD136" s="53">
        <v>115.06849315068493</v>
      </c>
      <c r="BE136" s="67">
        <v>219.17808219178082</v>
      </c>
      <c r="BF136" s="67">
        <v>271.23287671232879</v>
      </c>
      <c r="BG136" s="68">
        <v>167.12328767123287</v>
      </c>
      <c r="BH136" s="53">
        <v>115.06849315068493</v>
      </c>
      <c r="BI136" s="67">
        <v>219.17808219178082</v>
      </c>
      <c r="BJ136" s="67">
        <v>271.23287671232879</v>
      </c>
      <c r="BK136" s="68">
        <v>167.12328767123287</v>
      </c>
      <c r="BL136" s="53">
        <v>115.06849315068493</v>
      </c>
      <c r="BM136" s="67">
        <v>219.17808219178082</v>
      </c>
      <c r="BN136" s="67">
        <v>271.23287671232879</v>
      </c>
      <c r="BO136" s="68">
        <v>167.12328767123287</v>
      </c>
      <c r="BP136" s="53">
        <v>115.06849315068493</v>
      </c>
      <c r="BQ136" s="67">
        <v>219.17808219178082</v>
      </c>
      <c r="BR136" s="67"/>
      <c r="BS136" s="68"/>
      <c r="BT136" s="53"/>
      <c r="BU136" s="67"/>
      <c r="BV136" s="67"/>
      <c r="BW136" s="68"/>
      <c r="BX136" s="59"/>
      <c r="BY136" s="59"/>
      <c r="BZ136" s="59"/>
      <c r="CA136" s="59"/>
      <c r="CB136" s="59"/>
      <c r="CC136" s="59"/>
      <c r="CD136" s="59"/>
      <c r="CE136" s="59"/>
      <c r="CF136" s="59"/>
      <c r="CG136" s="59"/>
      <c r="CH136" s="59"/>
      <c r="CI136" s="59"/>
      <c r="CJ136" s="59"/>
      <c r="CK136" s="59"/>
      <c r="CL136" s="59"/>
    </row>
    <row r="137" spans="1:90" x14ac:dyDescent="0.25">
      <c r="A137" s="9"/>
      <c r="B137" s="9"/>
      <c r="C137" s="3" t="s">
        <v>49</v>
      </c>
      <c r="D137" s="3"/>
      <c r="E137" s="3"/>
      <c r="F137" s="20"/>
      <c r="G137" s="20"/>
      <c r="H137" s="52"/>
      <c r="I137" s="31"/>
      <c r="J137" s="31"/>
      <c r="K137" s="32"/>
      <c r="L137" s="62">
        <v>102.54</v>
      </c>
      <c r="M137" s="63">
        <v>96.14</v>
      </c>
      <c r="N137" s="63">
        <v>83.34</v>
      </c>
      <c r="O137" s="64">
        <v>83.34</v>
      </c>
      <c r="P137" s="62">
        <v>83.34</v>
      </c>
      <c r="Q137" s="63">
        <v>83.13333333333334</v>
      </c>
      <c r="R137" s="63">
        <v>82.72</v>
      </c>
      <c r="S137" s="64">
        <v>82.72</v>
      </c>
      <c r="T137" s="63">
        <v>82.72</v>
      </c>
      <c r="U137" s="63">
        <v>86.433333333333337</v>
      </c>
      <c r="V137" s="63">
        <v>93.86</v>
      </c>
      <c r="W137" s="64">
        <v>93.86</v>
      </c>
      <c r="X137" s="63">
        <v>93.86</v>
      </c>
      <c r="Y137" s="63">
        <v>96.874703196347028</v>
      </c>
      <c r="Z137" s="63">
        <v>102.9041095890411</v>
      </c>
      <c r="AA137" s="64">
        <v>102.9041095890411</v>
      </c>
      <c r="AB137" s="63">
        <v>103</v>
      </c>
      <c r="AC137" s="63"/>
      <c r="AD137" s="63">
        <v>90.21</v>
      </c>
      <c r="AE137" s="64">
        <v>90.21</v>
      </c>
      <c r="AF137" s="65">
        <v>90.21</v>
      </c>
      <c r="AG137" s="65">
        <v>137.126301369863</v>
      </c>
      <c r="AH137" s="65">
        <v>230.95890410958907</v>
      </c>
      <c r="AI137" s="66">
        <v>230.95890410958907</v>
      </c>
      <c r="AJ137" s="65">
        <v>230.95890410958907</v>
      </c>
      <c r="AK137" s="67">
        <v>275.39726027397262</v>
      </c>
      <c r="AL137" s="65">
        <v>364.27397260273972</v>
      </c>
      <c r="AM137" s="68">
        <v>364.27397260273972</v>
      </c>
      <c r="AN137" s="67">
        <v>364.27397260273972</v>
      </c>
      <c r="AO137" s="67">
        <v>319.89041095890411</v>
      </c>
      <c r="AP137" s="65">
        <v>231.12328767123287</v>
      </c>
      <c r="AQ137" s="68">
        <v>231.12328767123287</v>
      </c>
      <c r="AR137" s="67">
        <v>231.12328767123287</v>
      </c>
      <c r="AS137" s="67">
        <v>212.13150684931506</v>
      </c>
      <c r="AT137" s="65">
        <v>174.14794520547943</v>
      </c>
      <c r="AU137" s="68">
        <v>174.14794520547943</v>
      </c>
      <c r="AV137" s="67">
        <v>174.14794520547943</v>
      </c>
      <c r="AW137" s="67">
        <v>166.83835616438353</v>
      </c>
      <c r="AX137" s="65">
        <v>152.21917808219177</v>
      </c>
      <c r="AY137" s="68">
        <v>152.21917808219177</v>
      </c>
      <c r="AZ137" s="67">
        <v>152.21917808219177</v>
      </c>
      <c r="BA137" s="67">
        <v>143.12328767123284</v>
      </c>
      <c r="BB137" s="65">
        <v>124.93150684931504</v>
      </c>
      <c r="BC137" s="68">
        <v>124.93150684931504</v>
      </c>
      <c r="BD137" s="67">
        <v>124.93150684931504</v>
      </c>
      <c r="BE137" s="67">
        <v>105.20547945205477</v>
      </c>
      <c r="BF137" s="65">
        <v>65.753424657534254</v>
      </c>
      <c r="BG137" s="68">
        <v>65.753424657534254</v>
      </c>
      <c r="BH137" s="67">
        <v>65.753424657534254</v>
      </c>
      <c r="BI137" s="67">
        <v>87.452054794520549</v>
      </c>
      <c r="BJ137" s="65">
        <v>130.84931506849315</v>
      </c>
      <c r="BK137" s="68">
        <v>130.84931506849315</v>
      </c>
      <c r="BL137" s="67">
        <v>130.84931506849315</v>
      </c>
      <c r="BM137" s="67">
        <v>130.84931506849313</v>
      </c>
      <c r="BN137" s="65">
        <v>130.84931506849315</v>
      </c>
      <c r="BO137" s="68">
        <v>130.84931506849315</v>
      </c>
      <c r="BP137" s="67">
        <v>130.84931506849315</v>
      </c>
      <c r="BQ137" s="67">
        <v>130.84931506849313</v>
      </c>
      <c r="BR137" s="65"/>
      <c r="BS137" s="68"/>
      <c r="BT137" s="67"/>
      <c r="BU137" s="67"/>
      <c r="BV137" s="65"/>
      <c r="BW137" s="68"/>
      <c r="BX137" s="59"/>
      <c r="BY137" s="59"/>
      <c r="BZ137" s="59"/>
      <c r="CA137" s="59"/>
      <c r="CB137" s="59"/>
      <c r="CC137" s="59"/>
      <c r="CD137" s="59"/>
      <c r="CE137" s="59"/>
      <c r="CF137" s="59"/>
      <c r="CG137" s="59"/>
      <c r="CH137" s="59"/>
      <c r="CI137" s="59"/>
      <c r="CJ137" s="59"/>
      <c r="CK137" s="59"/>
      <c r="CL137" s="59"/>
    </row>
    <row r="138" spans="1:90" x14ac:dyDescent="0.25">
      <c r="A138" s="9"/>
      <c r="B138" s="9"/>
      <c r="C138" s="3"/>
      <c r="D138" s="3"/>
      <c r="E138" s="3"/>
      <c r="F138" s="20"/>
      <c r="G138" s="20"/>
      <c r="H138" s="52"/>
      <c r="I138" s="31"/>
      <c r="J138" s="31"/>
      <c r="K138" s="32"/>
      <c r="L138" s="62"/>
      <c r="M138" s="63"/>
      <c r="N138" s="63"/>
      <c r="O138" s="64"/>
      <c r="P138" s="62"/>
      <c r="Q138" s="63"/>
      <c r="R138" s="63"/>
      <c r="S138" s="64"/>
      <c r="T138" s="63"/>
      <c r="U138" s="63"/>
      <c r="V138" s="63"/>
      <c r="W138" s="64"/>
      <c r="X138" s="63"/>
      <c r="Y138" s="63"/>
      <c r="Z138" s="63"/>
      <c r="AA138" s="64"/>
      <c r="AB138" s="63"/>
      <c r="AC138" s="63"/>
      <c r="AD138" s="63"/>
      <c r="AE138" s="64"/>
      <c r="AF138" s="65"/>
      <c r="AG138" s="65"/>
      <c r="AH138" s="65"/>
      <c r="AI138" s="66"/>
      <c r="AJ138" s="65"/>
      <c r="AK138" s="67"/>
      <c r="AL138" s="65"/>
      <c r="AM138" s="68"/>
      <c r="AN138" s="67"/>
      <c r="AO138" s="67"/>
      <c r="AP138" s="65"/>
      <c r="AQ138" s="68"/>
      <c r="AR138" s="67"/>
      <c r="AS138" s="67"/>
      <c r="AT138" s="65"/>
      <c r="AU138" s="68"/>
      <c r="AV138" s="67"/>
      <c r="AW138" s="67"/>
      <c r="AX138" s="65"/>
      <c r="AY138" s="68"/>
      <c r="AZ138" s="67"/>
      <c r="BA138" s="67"/>
      <c r="BB138" s="65"/>
      <c r="BC138" s="68"/>
      <c r="BD138" s="67"/>
      <c r="BE138" s="67"/>
      <c r="BF138" s="65"/>
      <c r="BG138" s="68"/>
      <c r="BH138" s="67"/>
      <c r="BI138" s="67"/>
      <c r="BJ138" s="65"/>
      <c r="BK138" s="68"/>
      <c r="BL138" s="67"/>
      <c r="BM138" s="67"/>
      <c r="BN138" s="65"/>
      <c r="BO138" s="68"/>
      <c r="BP138" s="67"/>
      <c r="BQ138" s="67"/>
      <c r="BR138" s="65"/>
      <c r="BS138" s="68"/>
      <c r="BT138" s="67"/>
      <c r="BU138" s="67"/>
      <c r="BV138" s="65"/>
      <c r="BW138" s="68"/>
      <c r="BX138" s="59"/>
      <c r="BY138" s="59"/>
      <c r="BZ138" s="59"/>
      <c r="CA138" s="59"/>
      <c r="CB138" s="59"/>
      <c r="CC138" s="59"/>
      <c r="CD138" s="59"/>
      <c r="CE138" s="59"/>
      <c r="CF138" s="59"/>
      <c r="CG138" s="59"/>
      <c r="CH138" s="59"/>
      <c r="CI138" s="59"/>
      <c r="CJ138" s="59"/>
      <c r="CK138" s="59"/>
      <c r="CL138" s="59"/>
    </row>
    <row r="139" spans="1:90" x14ac:dyDescent="0.25">
      <c r="A139" s="9"/>
      <c r="B139" s="9"/>
      <c r="C139" s="1" t="s">
        <v>50</v>
      </c>
      <c r="D139" s="46"/>
      <c r="E139" s="78"/>
      <c r="F139" s="78"/>
      <c r="G139" s="78"/>
      <c r="H139" s="52"/>
      <c r="I139" s="53"/>
      <c r="J139" s="53"/>
      <c r="K139" s="54"/>
      <c r="L139" s="52"/>
      <c r="M139" s="53"/>
      <c r="N139" s="53"/>
      <c r="O139" s="58"/>
      <c r="P139" s="71"/>
      <c r="Q139" s="57"/>
      <c r="R139" s="57"/>
      <c r="S139" s="58"/>
      <c r="T139" s="57"/>
      <c r="U139" s="57"/>
      <c r="V139" s="57"/>
      <c r="W139" s="58"/>
      <c r="X139" s="57"/>
      <c r="Y139" s="57"/>
      <c r="Z139" s="57"/>
      <c r="AA139" s="58"/>
      <c r="AB139" s="57"/>
      <c r="AC139" s="57"/>
      <c r="AD139" s="57"/>
      <c r="AE139" s="58"/>
      <c r="AF139" s="70"/>
      <c r="AG139" s="70"/>
      <c r="AH139" s="70"/>
      <c r="AI139" s="72"/>
      <c r="AJ139" s="70"/>
      <c r="AK139" s="53"/>
      <c r="AL139" s="53"/>
      <c r="AM139" s="72"/>
      <c r="AN139" s="70"/>
      <c r="AO139" s="53"/>
      <c r="AP139" s="53"/>
      <c r="AQ139" s="72"/>
      <c r="AR139" s="53"/>
      <c r="AS139" s="53"/>
      <c r="AT139" s="53"/>
      <c r="AU139" s="72"/>
      <c r="AV139" s="53"/>
      <c r="AW139" s="53"/>
      <c r="AX139" s="53"/>
      <c r="AY139" s="54"/>
      <c r="AZ139" s="53"/>
      <c r="BA139" s="53"/>
      <c r="BB139" s="53"/>
      <c r="BC139" s="54"/>
      <c r="BD139" s="53"/>
      <c r="BE139" s="53"/>
      <c r="BF139" s="53"/>
      <c r="BG139" s="54"/>
      <c r="BH139" s="53"/>
      <c r="BI139" s="53"/>
      <c r="BJ139" s="53"/>
      <c r="BK139" s="54"/>
      <c r="BL139" s="53"/>
      <c r="BM139" s="53"/>
      <c r="BN139" s="53"/>
      <c r="BO139" s="54"/>
      <c r="BP139" s="53"/>
      <c r="BQ139" s="53"/>
      <c r="BR139" s="53"/>
      <c r="BS139" s="54"/>
      <c r="BT139" s="53"/>
      <c r="BU139" s="53"/>
      <c r="BV139" s="53"/>
      <c r="BW139" s="54"/>
      <c r="BX139" s="59"/>
      <c r="BY139" s="59"/>
      <c r="BZ139" s="59"/>
      <c r="CA139" s="59"/>
      <c r="CB139" s="59"/>
      <c r="CC139" s="59"/>
      <c r="CD139" s="59"/>
      <c r="CE139" s="59"/>
      <c r="CF139" s="59"/>
      <c r="CG139" s="59"/>
      <c r="CH139" s="59"/>
      <c r="CI139" s="59"/>
      <c r="CJ139" s="59"/>
      <c r="CK139" s="59"/>
      <c r="CL139" s="59"/>
    </row>
    <row r="140" spans="1:90" x14ac:dyDescent="0.25">
      <c r="A140" s="9"/>
      <c r="B140" s="9"/>
      <c r="C140" s="3" t="s">
        <v>51</v>
      </c>
      <c r="D140" s="3"/>
      <c r="E140" s="3"/>
      <c r="F140" s="20"/>
      <c r="G140" s="20"/>
      <c r="H140" s="52"/>
      <c r="I140" s="57"/>
      <c r="J140" s="57"/>
      <c r="K140" s="58"/>
      <c r="L140" s="71"/>
      <c r="M140" s="57"/>
      <c r="N140" s="57"/>
      <c r="O140" s="58"/>
      <c r="P140" s="71">
        <v>0</v>
      </c>
      <c r="Q140" s="57">
        <v>0</v>
      </c>
      <c r="R140" s="57">
        <v>0</v>
      </c>
      <c r="S140" s="58">
        <v>0</v>
      </c>
      <c r="T140" s="57">
        <v>0</v>
      </c>
      <c r="U140" s="57">
        <v>0</v>
      </c>
      <c r="V140" s="57">
        <v>0</v>
      </c>
      <c r="W140" s="58">
        <v>0</v>
      </c>
      <c r="X140" s="57">
        <v>0</v>
      </c>
      <c r="Y140" s="57">
        <v>0</v>
      </c>
      <c r="Z140" s="57">
        <v>0</v>
      </c>
      <c r="AA140" s="58">
        <v>0</v>
      </c>
      <c r="AB140" s="57">
        <v>0</v>
      </c>
      <c r="AC140" s="57"/>
      <c r="AD140" s="57">
        <v>0</v>
      </c>
      <c r="AE140" s="58">
        <v>0</v>
      </c>
      <c r="AF140" s="57">
        <v>0</v>
      </c>
      <c r="AG140" s="57">
        <v>0</v>
      </c>
      <c r="AH140" s="57">
        <v>0</v>
      </c>
      <c r="AI140" s="58">
        <v>0</v>
      </c>
      <c r="AJ140" s="57">
        <v>0</v>
      </c>
      <c r="AK140" s="53">
        <v>0</v>
      </c>
      <c r="AL140" s="53">
        <v>0</v>
      </c>
      <c r="AM140" s="58">
        <v>0</v>
      </c>
      <c r="AN140" s="57">
        <v>0</v>
      </c>
      <c r="AO140" s="53">
        <v>0</v>
      </c>
      <c r="AP140" s="53">
        <v>0</v>
      </c>
      <c r="AQ140" s="58">
        <v>0</v>
      </c>
      <c r="AR140" s="53">
        <v>0</v>
      </c>
      <c r="AS140" s="53">
        <v>0</v>
      </c>
      <c r="AT140" s="53">
        <v>0</v>
      </c>
      <c r="AU140" s="58">
        <v>0</v>
      </c>
      <c r="AV140" s="53">
        <v>0</v>
      </c>
      <c r="AW140" s="53">
        <v>0</v>
      </c>
      <c r="AX140" s="53">
        <v>0</v>
      </c>
      <c r="AY140" s="54">
        <v>0</v>
      </c>
      <c r="AZ140" s="53">
        <v>0</v>
      </c>
      <c r="BA140" s="53">
        <v>0</v>
      </c>
      <c r="BB140" s="53">
        <v>0</v>
      </c>
      <c r="BC140" s="54">
        <v>0</v>
      </c>
      <c r="BD140" s="53">
        <v>0</v>
      </c>
      <c r="BE140" s="53">
        <v>0</v>
      </c>
      <c r="BF140" s="53">
        <v>0</v>
      </c>
      <c r="BG140" s="54">
        <v>0</v>
      </c>
      <c r="BH140" s="53">
        <v>0</v>
      </c>
      <c r="BI140" s="53">
        <v>0</v>
      </c>
      <c r="BJ140" s="53">
        <v>0</v>
      </c>
      <c r="BK140" s="54">
        <v>0</v>
      </c>
      <c r="BL140" s="53">
        <v>0</v>
      </c>
      <c r="BM140" s="53">
        <v>0</v>
      </c>
      <c r="BN140" s="53">
        <v>0</v>
      </c>
      <c r="BO140" s="54">
        <v>0</v>
      </c>
      <c r="BP140" s="53">
        <v>0</v>
      </c>
      <c r="BQ140" s="53">
        <v>0</v>
      </c>
      <c r="BR140" s="53"/>
      <c r="BS140" s="54"/>
      <c r="BT140" s="53"/>
      <c r="BU140" s="53"/>
      <c r="BV140" s="53"/>
      <c r="BW140" s="54"/>
      <c r="BX140" s="59"/>
      <c r="BY140" s="59"/>
      <c r="BZ140" s="59"/>
      <c r="CA140" s="59"/>
      <c r="CB140" s="59"/>
      <c r="CC140" s="59"/>
      <c r="CD140" s="59"/>
      <c r="CE140" s="59"/>
      <c r="CF140" s="59"/>
      <c r="CG140" s="59"/>
      <c r="CH140" s="59"/>
      <c r="CI140" s="59"/>
      <c r="CJ140" s="59"/>
      <c r="CK140" s="59"/>
      <c r="CL140" s="59"/>
    </row>
    <row r="141" spans="1:90" x14ac:dyDescent="0.25">
      <c r="A141" s="9"/>
      <c r="B141" s="9"/>
      <c r="C141" s="3" t="s">
        <v>52</v>
      </c>
      <c r="D141" s="3"/>
      <c r="E141" s="3"/>
      <c r="F141" s="20"/>
      <c r="G141" s="20"/>
      <c r="H141" s="52"/>
      <c r="I141" s="57"/>
      <c r="J141" s="57"/>
      <c r="K141" s="58"/>
      <c r="L141" s="71"/>
      <c r="M141" s="57"/>
      <c r="N141" s="57"/>
      <c r="O141" s="58"/>
      <c r="P141" s="71">
        <v>1.97</v>
      </c>
      <c r="Q141" s="57">
        <v>1.97</v>
      </c>
      <c r="R141" s="57">
        <v>1.97</v>
      </c>
      <c r="S141" s="58">
        <v>1.97</v>
      </c>
      <c r="T141" s="57">
        <v>4</v>
      </c>
      <c r="U141" s="57">
        <v>4</v>
      </c>
      <c r="V141" s="57">
        <v>4</v>
      </c>
      <c r="W141" s="58">
        <v>4</v>
      </c>
      <c r="X141" s="57">
        <v>6</v>
      </c>
      <c r="Y141" s="57">
        <v>6</v>
      </c>
      <c r="Z141" s="57">
        <v>6</v>
      </c>
      <c r="AA141" s="58">
        <v>6</v>
      </c>
      <c r="AB141" s="57">
        <v>8</v>
      </c>
      <c r="AC141" s="57"/>
      <c r="AD141" s="57">
        <v>8</v>
      </c>
      <c r="AE141" s="58">
        <v>8</v>
      </c>
      <c r="AF141" s="57">
        <v>10</v>
      </c>
      <c r="AG141" s="57">
        <v>10</v>
      </c>
      <c r="AH141" s="57">
        <v>10</v>
      </c>
      <c r="AI141" s="58">
        <v>10</v>
      </c>
      <c r="AJ141" s="57">
        <v>10</v>
      </c>
      <c r="AK141" s="53">
        <v>10</v>
      </c>
      <c r="AL141" s="53">
        <v>10</v>
      </c>
      <c r="AM141" s="58">
        <v>10</v>
      </c>
      <c r="AN141" s="57">
        <v>10</v>
      </c>
      <c r="AO141" s="53">
        <v>10</v>
      </c>
      <c r="AP141" s="53">
        <v>10</v>
      </c>
      <c r="AQ141" s="58">
        <v>10</v>
      </c>
      <c r="AR141" s="53">
        <v>10</v>
      </c>
      <c r="AS141" s="53">
        <v>10</v>
      </c>
      <c r="AT141" s="53">
        <v>10</v>
      </c>
      <c r="AU141" s="58">
        <v>10</v>
      </c>
      <c r="AV141" s="53">
        <v>10</v>
      </c>
      <c r="AW141" s="53">
        <v>10</v>
      </c>
      <c r="AX141" s="53">
        <v>10</v>
      </c>
      <c r="AY141" s="54">
        <v>10</v>
      </c>
      <c r="AZ141" s="53">
        <v>10</v>
      </c>
      <c r="BA141" s="53">
        <v>10</v>
      </c>
      <c r="BB141" s="53">
        <v>10</v>
      </c>
      <c r="BC141" s="54">
        <v>10</v>
      </c>
      <c r="BD141" s="53">
        <v>10</v>
      </c>
      <c r="BE141" s="53">
        <v>10</v>
      </c>
      <c r="BF141" s="53">
        <v>10</v>
      </c>
      <c r="BG141" s="54">
        <v>10</v>
      </c>
      <c r="BH141" s="53">
        <v>10</v>
      </c>
      <c r="BI141" s="53">
        <v>10</v>
      </c>
      <c r="BJ141" s="53">
        <v>10</v>
      </c>
      <c r="BK141" s="54">
        <v>10</v>
      </c>
      <c r="BL141" s="53">
        <v>10</v>
      </c>
      <c r="BM141" s="53">
        <v>10</v>
      </c>
      <c r="BN141" s="53">
        <v>10</v>
      </c>
      <c r="BO141" s="54">
        <v>10</v>
      </c>
      <c r="BP141" s="53">
        <v>10</v>
      </c>
      <c r="BQ141" s="53">
        <v>10</v>
      </c>
      <c r="BR141" s="53"/>
      <c r="BS141" s="54"/>
      <c r="BT141" s="53"/>
      <c r="BU141" s="53"/>
      <c r="BV141" s="53"/>
      <c r="BW141" s="54"/>
      <c r="BX141" s="59"/>
      <c r="BY141" s="59"/>
      <c r="BZ141" s="59"/>
      <c r="CA141" s="59"/>
      <c r="CB141" s="59"/>
      <c r="CC141" s="59"/>
      <c r="CD141" s="59"/>
      <c r="CE141" s="59"/>
      <c r="CF141" s="59"/>
      <c r="CG141" s="59"/>
      <c r="CH141" s="59"/>
      <c r="CI141" s="59"/>
      <c r="CJ141" s="59"/>
      <c r="CK141" s="59"/>
      <c r="CL141" s="59"/>
    </row>
    <row r="142" spans="1:90" x14ac:dyDescent="0.25">
      <c r="A142" s="9"/>
      <c r="B142" s="9"/>
      <c r="C142" s="3" t="s">
        <v>53</v>
      </c>
      <c r="D142" s="3"/>
      <c r="E142" s="3"/>
      <c r="F142" s="20"/>
      <c r="G142" s="20"/>
      <c r="H142" s="52"/>
      <c r="I142" s="57"/>
      <c r="J142" s="57"/>
      <c r="K142" s="58"/>
      <c r="L142" s="71"/>
      <c r="M142" s="57"/>
      <c r="N142" s="57"/>
      <c r="O142" s="58"/>
      <c r="P142" s="71">
        <v>0</v>
      </c>
      <c r="Q142" s="57">
        <v>0</v>
      </c>
      <c r="R142" s="57">
        <v>0</v>
      </c>
      <c r="S142" s="58">
        <v>0</v>
      </c>
      <c r="T142" s="57">
        <v>0</v>
      </c>
      <c r="U142" s="57">
        <v>0</v>
      </c>
      <c r="V142" s="57">
        <v>0</v>
      </c>
      <c r="W142" s="58">
        <v>0</v>
      </c>
      <c r="X142" s="57">
        <v>0</v>
      </c>
      <c r="Y142" s="57">
        <v>0</v>
      </c>
      <c r="Z142" s="57">
        <v>0</v>
      </c>
      <c r="AA142" s="58">
        <v>0</v>
      </c>
      <c r="AB142" s="57">
        <v>0</v>
      </c>
      <c r="AC142" s="57"/>
      <c r="AD142" s="57">
        <v>0</v>
      </c>
      <c r="AE142" s="58">
        <v>0</v>
      </c>
      <c r="AF142" s="57">
        <v>0</v>
      </c>
      <c r="AG142" s="57">
        <v>0</v>
      </c>
      <c r="AH142" s="57">
        <v>0</v>
      </c>
      <c r="AI142" s="58">
        <v>0</v>
      </c>
      <c r="AJ142" s="57">
        <v>0</v>
      </c>
      <c r="AK142" s="53">
        <v>0</v>
      </c>
      <c r="AL142" s="53">
        <v>0</v>
      </c>
      <c r="AM142" s="58">
        <v>0</v>
      </c>
      <c r="AN142" s="57">
        <v>0</v>
      </c>
      <c r="AO142" s="53">
        <v>0</v>
      </c>
      <c r="AP142" s="53">
        <v>0</v>
      </c>
      <c r="AQ142" s="58">
        <v>0</v>
      </c>
      <c r="AR142" s="53">
        <v>0</v>
      </c>
      <c r="AS142" s="53">
        <v>0</v>
      </c>
      <c r="AT142" s="53">
        <v>0</v>
      </c>
      <c r="AU142" s="58">
        <v>0</v>
      </c>
      <c r="AV142" s="53">
        <v>0</v>
      </c>
      <c r="AW142" s="53">
        <v>0</v>
      </c>
      <c r="AX142" s="53">
        <v>0</v>
      </c>
      <c r="AY142" s="54">
        <v>0</v>
      </c>
      <c r="AZ142" s="53">
        <v>0</v>
      </c>
      <c r="BA142" s="53">
        <v>0</v>
      </c>
      <c r="BB142" s="53">
        <v>0</v>
      </c>
      <c r="BC142" s="54">
        <v>0</v>
      </c>
      <c r="BD142" s="53">
        <v>0</v>
      </c>
      <c r="BE142" s="53">
        <v>0</v>
      </c>
      <c r="BF142" s="53">
        <v>0</v>
      </c>
      <c r="BG142" s="54">
        <v>0</v>
      </c>
      <c r="BH142" s="53">
        <v>0</v>
      </c>
      <c r="BI142" s="53">
        <v>0</v>
      </c>
      <c r="BJ142" s="53">
        <v>0</v>
      </c>
      <c r="BK142" s="54">
        <v>0</v>
      </c>
      <c r="BL142" s="53">
        <v>0</v>
      </c>
      <c r="BM142" s="53">
        <v>0</v>
      </c>
      <c r="BN142" s="53">
        <v>0</v>
      </c>
      <c r="BO142" s="54">
        <v>0</v>
      </c>
      <c r="BP142" s="53">
        <v>0</v>
      </c>
      <c r="BQ142" s="53">
        <v>0</v>
      </c>
      <c r="BR142" s="53"/>
      <c r="BS142" s="54"/>
      <c r="BT142" s="53"/>
      <c r="BU142" s="53"/>
      <c r="BV142" s="53"/>
      <c r="BW142" s="54"/>
      <c r="BX142" s="59"/>
      <c r="BY142" s="59"/>
      <c r="BZ142" s="59"/>
      <c r="CA142" s="59"/>
      <c r="CB142" s="59"/>
      <c r="CC142" s="59"/>
      <c r="CD142" s="59"/>
      <c r="CE142" s="59"/>
      <c r="CF142" s="59"/>
      <c r="CG142" s="59"/>
      <c r="CH142" s="59"/>
      <c r="CI142" s="59"/>
      <c r="CJ142" s="59"/>
      <c r="CK142" s="59"/>
      <c r="CL142" s="59"/>
    </row>
    <row r="143" spans="1:90" x14ac:dyDescent="0.25">
      <c r="A143" s="9"/>
      <c r="B143" s="9"/>
      <c r="C143" s="3" t="s">
        <v>54</v>
      </c>
      <c r="D143" s="3"/>
      <c r="E143" s="3"/>
      <c r="F143" s="20"/>
      <c r="G143" s="20"/>
      <c r="H143" s="52"/>
      <c r="I143" s="57"/>
      <c r="J143" s="57"/>
      <c r="K143" s="58"/>
      <c r="L143" s="71"/>
      <c r="M143" s="57"/>
      <c r="N143" s="57"/>
      <c r="O143" s="58"/>
      <c r="P143" s="71">
        <v>0</v>
      </c>
      <c r="Q143" s="57">
        <v>0</v>
      </c>
      <c r="R143" s="57">
        <v>0</v>
      </c>
      <c r="S143" s="58">
        <v>0</v>
      </c>
      <c r="T143" s="57">
        <v>0</v>
      </c>
      <c r="U143" s="57">
        <v>0</v>
      </c>
      <c r="V143" s="57">
        <v>0</v>
      </c>
      <c r="W143" s="58">
        <v>0</v>
      </c>
      <c r="X143" s="57">
        <v>0</v>
      </c>
      <c r="Y143" s="57">
        <v>0</v>
      </c>
      <c r="Z143" s="57">
        <v>0</v>
      </c>
      <c r="AA143" s="58">
        <v>0</v>
      </c>
      <c r="AB143" s="57">
        <v>0</v>
      </c>
      <c r="AC143" s="57"/>
      <c r="AD143" s="57">
        <v>0</v>
      </c>
      <c r="AE143" s="58">
        <v>0</v>
      </c>
      <c r="AF143" s="57">
        <v>0</v>
      </c>
      <c r="AG143" s="57">
        <v>0</v>
      </c>
      <c r="AH143" s="57">
        <v>0</v>
      </c>
      <c r="AI143" s="58">
        <v>0</v>
      </c>
      <c r="AJ143" s="57">
        <v>0</v>
      </c>
      <c r="AK143" s="53">
        <v>0</v>
      </c>
      <c r="AL143" s="53">
        <v>0</v>
      </c>
      <c r="AM143" s="58">
        <v>0</v>
      </c>
      <c r="AN143" s="57">
        <v>0</v>
      </c>
      <c r="AO143" s="53">
        <v>0</v>
      </c>
      <c r="AP143" s="53">
        <v>0</v>
      </c>
      <c r="AQ143" s="58">
        <v>0</v>
      </c>
      <c r="AR143" s="53">
        <v>0</v>
      </c>
      <c r="AS143" s="53">
        <v>0</v>
      </c>
      <c r="AT143" s="53">
        <v>0</v>
      </c>
      <c r="AU143" s="58">
        <v>0</v>
      </c>
      <c r="AV143" s="53">
        <v>0</v>
      </c>
      <c r="AW143" s="53">
        <v>0</v>
      </c>
      <c r="AX143" s="53">
        <v>0</v>
      </c>
      <c r="AY143" s="54">
        <v>0</v>
      </c>
      <c r="AZ143" s="53">
        <v>0</v>
      </c>
      <c r="BA143" s="53">
        <v>0</v>
      </c>
      <c r="BB143" s="53">
        <v>0</v>
      </c>
      <c r="BC143" s="54">
        <v>0</v>
      </c>
      <c r="BD143" s="53">
        <v>0</v>
      </c>
      <c r="BE143" s="53">
        <v>0</v>
      </c>
      <c r="BF143" s="53">
        <v>0</v>
      </c>
      <c r="BG143" s="54">
        <v>0</v>
      </c>
      <c r="BH143" s="53">
        <v>0</v>
      </c>
      <c r="BI143" s="53">
        <v>0</v>
      </c>
      <c r="BJ143" s="53">
        <v>0</v>
      </c>
      <c r="BK143" s="54">
        <v>0</v>
      </c>
      <c r="BL143" s="53">
        <v>0</v>
      </c>
      <c r="BM143" s="53">
        <v>0</v>
      </c>
      <c r="BN143" s="53">
        <v>0</v>
      </c>
      <c r="BO143" s="54">
        <v>0</v>
      </c>
      <c r="BP143" s="53">
        <v>0</v>
      </c>
      <c r="BQ143" s="53">
        <v>0</v>
      </c>
      <c r="BR143" s="53"/>
      <c r="BS143" s="54"/>
      <c r="BT143" s="53"/>
      <c r="BU143" s="53"/>
      <c r="BV143" s="53"/>
      <c r="BW143" s="54"/>
      <c r="BX143" s="59"/>
      <c r="BY143" s="59"/>
      <c r="BZ143" s="59"/>
      <c r="CA143" s="59"/>
      <c r="CB143" s="59"/>
      <c r="CC143" s="59"/>
      <c r="CD143" s="59"/>
      <c r="CE143" s="59"/>
      <c r="CF143" s="59"/>
      <c r="CG143" s="59"/>
      <c r="CH143" s="59"/>
      <c r="CI143" s="59"/>
      <c r="CJ143" s="59"/>
      <c r="CK143" s="59"/>
      <c r="CL143" s="59"/>
    </row>
    <row r="144" spans="1:90" x14ac:dyDescent="0.25">
      <c r="A144" s="9"/>
      <c r="B144" s="9"/>
      <c r="C144" s="3" t="s">
        <v>55</v>
      </c>
      <c r="D144" s="3"/>
      <c r="E144" s="3"/>
      <c r="F144" s="20"/>
      <c r="G144" s="20"/>
      <c r="H144" s="52"/>
      <c r="I144" s="57"/>
      <c r="J144" s="57"/>
      <c r="K144" s="58"/>
      <c r="L144" s="71"/>
      <c r="M144" s="57"/>
      <c r="N144" s="57"/>
      <c r="O144" s="58"/>
      <c r="P144" s="71">
        <v>0</v>
      </c>
      <c r="Q144" s="57">
        <v>0</v>
      </c>
      <c r="R144" s="57">
        <v>0</v>
      </c>
      <c r="S144" s="58">
        <v>0</v>
      </c>
      <c r="T144" s="57">
        <v>0</v>
      </c>
      <c r="U144" s="57">
        <v>0</v>
      </c>
      <c r="V144" s="57">
        <v>0</v>
      </c>
      <c r="W144" s="58">
        <v>0</v>
      </c>
      <c r="X144" s="57">
        <v>0</v>
      </c>
      <c r="Y144" s="57">
        <v>0</v>
      </c>
      <c r="Z144" s="57">
        <v>0</v>
      </c>
      <c r="AA144" s="58">
        <v>0</v>
      </c>
      <c r="AB144" s="57">
        <v>0</v>
      </c>
      <c r="AC144" s="57"/>
      <c r="AD144" s="57">
        <v>0</v>
      </c>
      <c r="AE144" s="58">
        <v>0</v>
      </c>
      <c r="AF144" s="57">
        <v>0</v>
      </c>
      <c r="AG144" s="57">
        <v>0</v>
      </c>
      <c r="AH144" s="57">
        <v>0</v>
      </c>
      <c r="AI144" s="58">
        <v>0</v>
      </c>
      <c r="AJ144" s="57">
        <v>0</v>
      </c>
      <c r="AK144" s="53">
        <v>0</v>
      </c>
      <c r="AL144" s="53">
        <v>0</v>
      </c>
      <c r="AM144" s="58">
        <v>0</v>
      </c>
      <c r="AN144" s="57">
        <v>0</v>
      </c>
      <c r="AO144" s="53">
        <v>0</v>
      </c>
      <c r="AP144" s="53">
        <v>0</v>
      </c>
      <c r="AQ144" s="58">
        <v>0</v>
      </c>
      <c r="AR144" s="53">
        <v>0</v>
      </c>
      <c r="AS144" s="53">
        <v>0</v>
      </c>
      <c r="AT144" s="53">
        <v>0</v>
      </c>
      <c r="AU144" s="58">
        <v>0</v>
      </c>
      <c r="AV144" s="53">
        <v>0</v>
      </c>
      <c r="AW144" s="53">
        <v>0</v>
      </c>
      <c r="AX144" s="53">
        <v>0</v>
      </c>
      <c r="AY144" s="54">
        <v>0</v>
      </c>
      <c r="AZ144" s="53">
        <v>0</v>
      </c>
      <c r="BA144" s="53">
        <v>0</v>
      </c>
      <c r="BB144" s="53">
        <v>0</v>
      </c>
      <c r="BC144" s="54">
        <v>0</v>
      </c>
      <c r="BD144" s="53">
        <v>0</v>
      </c>
      <c r="BE144" s="53">
        <v>0</v>
      </c>
      <c r="BF144" s="53">
        <v>0</v>
      </c>
      <c r="BG144" s="54">
        <v>0</v>
      </c>
      <c r="BH144" s="53">
        <v>0</v>
      </c>
      <c r="BI144" s="53">
        <v>0</v>
      </c>
      <c r="BJ144" s="53">
        <v>0</v>
      </c>
      <c r="BK144" s="54">
        <v>0</v>
      </c>
      <c r="BL144" s="53">
        <v>0</v>
      </c>
      <c r="BM144" s="53">
        <v>0</v>
      </c>
      <c r="BN144" s="53">
        <v>0</v>
      </c>
      <c r="BO144" s="54">
        <v>0</v>
      </c>
      <c r="BP144" s="53">
        <v>0</v>
      </c>
      <c r="BQ144" s="53">
        <v>0</v>
      </c>
      <c r="BR144" s="53"/>
      <c r="BS144" s="54"/>
      <c r="BT144" s="53"/>
      <c r="BU144" s="53"/>
      <c r="BV144" s="53"/>
      <c r="BW144" s="54"/>
      <c r="BX144" s="59"/>
      <c r="BY144" s="59"/>
      <c r="BZ144" s="59"/>
      <c r="CA144" s="59"/>
      <c r="CB144" s="59"/>
      <c r="CC144" s="59"/>
      <c r="CD144" s="59"/>
      <c r="CE144" s="59"/>
      <c r="CF144" s="59"/>
      <c r="CG144" s="59"/>
      <c r="CH144" s="59"/>
      <c r="CI144" s="59"/>
      <c r="CJ144" s="59"/>
      <c r="CK144" s="59"/>
      <c r="CL144" s="59"/>
    </row>
    <row r="145" spans="1:90" x14ac:dyDescent="0.25">
      <c r="A145" s="9"/>
      <c r="B145" s="9"/>
      <c r="C145" s="3" t="s">
        <v>56</v>
      </c>
      <c r="D145" s="3"/>
      <c r="E145" s="3"/>
      <c r="F145" s="20"/>
      <c r="G145" s="20"/>
      <c r="H145" s="52"/>
      <c r="I145" s="57"/>
      <c r="J145" s="57"/>
      <c r="K145" s="58"/>
      <c r="L145" s="71"/>
      <c r="M145" s="57"/>
      <c r="N145" s="57"/>
      <c r="O145" s="58"/>
      <c r="P145" s="71">
        <v>0</v>
      </c>
      <c r="Q145" s="57">
        <v>0</v>
      </c>
      <c r="R145" s="57">
        <v>0</v>
      </c>
      <c r="S145" s="58">
        <v>0</v>
      </c>
      <c r="T145" s="57">
        <v>0</v>
      </c>
      <c r="U145" s="57">
        <v>0</v>
      </c>
      <c r="V145" s="57">
        <v>0</v>
      </c>
      <c r="W145" s="58">
        <v>0</v>
      </c>
      <c r="X145" s="57">
        <v>0</v>
      </c>
      <c r="Y145" s="57">
        <v>0</v>
      </c>
      <c r="Z145" s="57">
        <v>0</v>
      </c>
      <c r="AA145" s="58">
        <v>0</v>
      </c>
      <c r="AB145" s="57">
        <v>0</v>
      </c>
      <c r="AC145" s="57"/>
      <c r="AD145" s="57">
        <v>0</v>
      </c>
      <c r="AE145" s="58">
        <v>0</v>
      </c>
      <c r="AF145" s="57">
        <v>0</v>
      </c>
      <c r="AG145" s="57">
        <v>0</v>
      </c>
      <c r="AH145" s="57">
        <v>0</v>
      </c>
      <c r="AI145" s="58">
        <v>0</v>
      </c>
      <c r="AJ145" s="57">
        <v>0</v>
      </c>
      <c r="AK145" s="53">
        <v>0</v>
      </c>
      <c r="AL145" s="53">
        <v>0</v>
      </c>
      <c r="AM145" s="58">
        <v>0</v>
      </c>
      <c r="AN145" s="57">
        <v>0</v>
      </c>
      <c r="AO145" s="53">
        <v>0</v>
      </c>
      <c r="AP145" s="53">
        <v>0</v>
      </c>
      <c r="AQ145" s="58">
        <v>0</v>
      </c>
      <c r="AR145" s="53">
        <v>0</v>
      </c>
      <c r="AS145" s="53">
        <v>0</v>
      </c>
      <c r="AT145" s="53">
        <v>0</v>
      </c>
      <c r="AU145" s="58">
        <v>0</v>
      </c>
      <c r="AV145" s="53">
        <v>0</v>
      </c>
      <c r="AW145" s="53">
        <v>0</v>
      </c>
      <c r="AX145" s="53">
        <v>0</v>
      </c>
      <c r="AY145" s="54">
        <v>0</v>
      </c>
      <c r="AZ145" s="53">
        <v>0</v>
      </c>
      <c r="BA145" s="53">
        <v>0</v>
      </c>
      <c r="BB145" s="53">
        <v>0</v>
      </c>
      <c r="BC145" s="54">
        <v>0</v>
      </c>
      <c r="BD145" s="53">
        <v>0</v>
      </c>
      <c r="BE145" s="53">
        <v>0</v>
      </c>
      <c r="BF145" s="53">
        <v>0</v>
      </c>
      <c r="BG145" s="54">
        <v>0</v>
      </c>
      <c r="BH145" s="53">
        <v>0</v>
      </c>
      <c r="BI145" s="53">
        <v>0</v>
      </c>
      <c r="BJ145" s="53">
        <v>0</v>
      </c>
      <c r="BK145" s="54">
        <v>0</v>
      </c>
      <c r="BL145" s="53">
        <v>0</v>
      </c>
      <c r="BM145" s="53">
        <v>0</v>
      </c>
      <c r="BN145" s="53">
        <v>0</v>
      </c>
      <c r="BO145" s="54">
        <v>0</v>
      </c>
      <c r="BP145" s="53">
        <v>0</v>
      </c>
      <c r="BQ145" s="53">
        <v>0</v>
      </c>
      <c r="BR145" s="53"/>
      <c r="BS145" s="54"/>
      <c r="BT145" s="53"/>
      <c r="BU145" s="53"/>
      <c r="BV145" s="53"/>
      <c r="BW145" s="54"/>
      <c r="BX145" s="59"/>
      <c r="BY145" s="59"/>
      <c r="BZ145" s="59"/>
      <c r="CA145" s="59"/>
      <c r="CB145" s="59"/>
      <c r="CC145" s="59"/>
      <c r="CD145" s="59"/>
      <c r="CE145" s="59"/>
      <c r="CF145" s="59"/>
      <c r="CG145" s="59"/>
      <c r="CH145" s="59"/>
      <c r="CI145" s="59"/>
      <c r="CJ145" s="59"/>
      <c r="CK145" s="59"/>
      <c r="CL145" s="59"/>
    </row>
    <row r="146" spans="1:90" x14ac:dyDescent="0.25">
      <c r="A146" s="9"/>
      <c r="B146" s="9"/>
      <c r="C146" s="3" t="s">
        <v>57</v>
      </c>
      <c r="D146" s="3"/>
      <c r="E146" s="3"/>
      <c r="F146" s="20"/>
      <c r="G146" s="20"/>
      <c r="H146" s="52"/>
      <c r="I146" s="57"/>
      <c r="J146" s="57"/>
      <c r="K146" s="58"/>
      <c r="L146" s="71"/>
      <c r="M146" s="57"/>
      <c r="N146" s="57"/>
      <c r="O146" s="58"/>
      <c r="P146" s="71">
        <v>0</v>
      </c>
      <c r="Q146" s="57">
        <v>0</v>
      </c>
      <c r="R146" s="57">
        <v>0</v>
      </c>
      <c r="S146" s="58">
        <v>0</v>
      </c>
      <c r="T146" s="57">
        <v>0</v>
      </c>
      <c r="U146" s="57">
        <v>0</v>
      </c>
      <c r="V146" s="57">
        <v>0</v>
      </c>
      <c r="W146" s="58">
        <v>0</v>
      </c>
      <c r="X146" s="57">
        <v>0</v>
      </c>
      <c r="Y146" s="57">
        <v>0</v>
      </c>
      <c r="Z146" s="57">
        <v>0</v>
      </c>
      <c r="AA146" s="58">
        <v>0</v>
      </c>
      <c r="AB146" s="57">
        <v>0</v>
      </c>
      <c r="AC146" s="57"/>
      <c r="AD146" s="57">
        <v>0</v>
      </c>
      <c r="AE146" s="58">
        <v>0</v>
      </c>
      <c r="AF146" s="57">
        <v>0</v>
      </c>
      <c r="AG146" s="57">
        <v>0</v>
      </c>
      <c r="AH146" s="57">
        <v>0</v>
      </c>
      <c r="AI146" s="58">
        <v>0</v>
      </c>
      <c r="AJ146" s="57">
        <v>0</v>
      </c>
      <c r="AK146" s="53">
        <v>0</v>
      </c>
      <c r="AL146" s="53">
        <v>0</v>
      </c>
      <c r="AM146" s="58">
        <v>0</v>
      </c>
      <c r="AN146" s="57">
        <v>0</v>
      </c>
      <c r="AO146" s="53">
        <v>0</v>
      </c>
      <c r="AP146" s="53">
        <v>0</v>
      </c>
      <c r="AQ146" s="58">
        <v>0</v>
      </c>
      <c r="AR146" s="53">
        <v>0</v>
      </c>
      <c r="AS146" s="53">
        <v>0</v>
      </c>
      <c r="AT146" s="53">
        <v>0</v>
      </c>
      <c r="AU146" s="58">
        <v>0</v>
      </c>
      <c r="AV146" s="53">
        <v>0</v>
      </c>
      <c r="AW146" s="53">
        <v>0</v>
      </c>
      <c r="AX146" s="53">
        <v>0</v>
      </c>
      <c r="AY146" s="54">
        <v>0</v>
      </c>
      <c r="AZ146" s="53">
        <v>0</v>
      </c>
      <c r="BA146" s="53">
        <v>0</v>
      </c>
      <c r="BB146" s="53">
        <v>0</v>
      </c>
      <c r="BC146" s="54">
        <v>0</v>
      </c>
      <c r="BD146" s="53">
        <v>0</v>
      </c>
      <c r="BE146" s="53">
        <v>0</v>
      </c>
      <c r="BF146" s="53">
        <v>0</v>
      </c>
      <c r="BG146" s="54">
        <v>0</v>
      </c>
      <c r="BH146" s="53">
        <v>0</v>
      </c>
      <c r="BI146" s="53">
        <v>0</v>
      </c>
      <c r="BJ146" s="53">
        <v>0</v>
      </c>
      <c r="BK146" s="54">
        <v>0</v>
      </c>
      <c r="BL146" s="53">
        <v>0</v>
      </c>
      <c r="BM146" s="53">
        <v>0</v>
      </c>
      <c r="BN146" s="53">
        <v>0</v>
      </c>
      <c r="BO146" s="54">
        <v>0</v>
      </c>
      <c r="BP146" s="53">
        <v>0</v>
      </c>
      <c r="BQ146" s="53">
        <v>0</v>
      </c>
      <c r="BR146" s="53"/>
      <c r="BS146" s="54"/>
      <c r="BT146" s="53"/>
      <c r="BU146" s="53"/>
      <c r="BV146" s="53"/>
      <c r="BW146" s="54"/>
      <c r="BX146" s="59"/>
      <c r="BY146" s="59"/>
      <c r="BZ146" s="59"/>
      <c r="CA146" s="59"/>
      <c r="CB146" s="59"/>
      <c r="CC146" s="59"/>
      <c r="CD146" s="59"/>
      <c r="CE146" s="59"/>
      <c r="CF146" s="59"/>
      <c r="CG146" s="59"/>
      <c r="CH146" s="59"/>
      <c r="CI146" s="59"/>
      <c r="CJ146" s="59"/>
      <c r="CK146" s="59"/>
      <c r="CL146" s="59"/>
    </row>
    <row r="147" spans="1:90" x14ac:dyDescent="0.25">
      <c r="A147" s="9"/>
      <c r="B147" s="9"/>
      <c r="C147" s="3"/>
      <c r="D147" s="3"/>
      <c r="E147" s="3"/>
      <c r="F147" s="20"/>
      <c r="G147" s="20"/>
      <c r="H147" s="21"/>
      <c r="I147" s="53"/>
      <c r="J147" s="53"/>
      <c r="K147" s="54"/>
      <c r="L147" s="52"/>
      <c r="M147" s="53"/>
      <c r="N147" s="53"/>
      <c r="O147" s="54"/>
      <c r="P147" s="52"/>
      <c r="Q147" s="53"/>
      <c r="R147" s="53"/>
      <c r="S147" s="54"/>
      <c r="T147" s="53"/>
      <c r="U147" s="53"/>
      <c r="V147" s="53"/>
      <c r="W147" s="54"/>
      <c r="X147" s="53"/>
      <c r="Y147" s="53"/>
      <c r="Z147" s="53"/>
      <c r="AA147" s="54"/>
      <c r="AB147" s="53"/>
      <c r="AC147" s="53"/>
      <c r="AD147" s="53"/>
      <c r="AE147" s="54"/>
      <c r="AF147" s="53"/>
      <c r="AG147" s="53"/>
      <c r="AH147" s="53"/>
      <c r="AI147" s="54"/>
      <c r="AJ147" s="53"/>
      <c r="AK147" s="53"/>
      <c r="AL147" s="53"/>
      <c r="AM147" s="54"/>
      <c r="AN147" s="53"/>
      <c r="AO147" s="53"/>
      <c r="AP147" s="53"/>
      <c r="AQ147" s="54"/>
      <c r="AR147" s="53"/>
      <c r="AS147" s="53"/>
      <c r="AT147" s="53"/>
      <c r="AU147" s="54"/>
      <c r="AV147" s="53"/>
      <c r="AW147" s="53"/>
      <c r="AX147" s="53"/>
      <c r="AY147" s="54"/>
      <c r="AZ147" s="53"/>
      <c r="BA147" s="53"/>
      <c r="BB147" s="53"/>
      <c r="BC147" s="54"/>
      <c r="BD147" s="53"/>
      <c r="BE147" s="53"/>
      <c r="BF147" s="53"/>
      <c r="BG147" s="54"/>
      <c r="BH147" s="53"/>
      <c r="BI147" s="53"/>
      <c r="BJ147" s="53"/>
      <c r="BK147" s="54"/>
      <c r="BL147" s="53"/>
      <c r="BM147" s="53"/>
      <c r="BN147" s="53"/>
      <c r="BO147" s="54"/>
      <c r="BP147" s="53"/>
      <c r="BQ147" s="53"/>
      <c r="BR147" s="53"/>
      <c r="BS147" s="54"/>
      <c r="BT147" s="53"/>
      <c r="BU147" s="53"/>
      <c r="BV147" s="53"/>
      <c r="BW147" s="54"/>
      <c r="BX147" s="73"/>
      <c r="BY147" s="73"/>
      <c r="BZ147" s="73"/>
      <c r="CA147" s="73"/>
      <c r="CB147" s="73"/>
      <c r="CC147" s="73"/>
      <c r="CD147" s="73"/>
      <c r="CE147" s="73"/>
      <c r="CF147" s="73"/>
      <c r="CG147" s="73"/>
      <c r="CH147" s="73"/>
      <c r="CI147" s="73"/>
      <c r="CJ147" s="73"/>
      <c r="CK147" s="73"/>
      <c r="CL147" s="73"/>
    </row>
    <row r="148" spans="1:90" x14ac:dyDescent="0.25">
      <c r="A148" s="9"/>
      <c r="B148" s="9"/>
      <c r="C148" s="3"/>
      <c r="D148" s="3"/>
      <c r="E148" s="3"/>
      <c r="F148" s="20"/>
      <c r="G148" s="20"/>
      <c r="H148" s="10"/>
      <c r="I148" s="22"/>
      <c r="J148" s="22"/>
      <c r="K148" s="23"/>
      <c r="L148" s="21"/>
      <c r="M148" s="22"/>
      <c r="N148" s="22"/>
      <c r="O148" s="23"/>
      <c r="P148" s="21"/>
      <c r="Q148" s="22"/>
      <c r="R148" s="22"/>
      <c r="S148" s="23"/>
      <c r="T148" s="22"/>
      <c r="U148" s="22"/>
      <c r="V148" s="22"/>
      <c r="W148" s="23"/>
      <c r="X148" s="22"/>
      <c r="Y148" s="22"/>
      <c r="Z148" s="22"/>
      <c r="AA148" s="23"/>
      <c r="AB148" s="22"/>
      <c r="AC148" s="22"/>
      <c r="AD148" s="22"/>
      <c r="AE148" s="23"/>
      <c r="AF148" s="22"/>
      <c r="AG148" s="22"/>
      <c r="AH148" s="22"/>
      <c r="AI148" s="23"/>
      <c r="AJ148" s="22"/>
      <c r="AK148" s="22"/>
      <c r="AL148" s="22"/>
      <c r="AM148" s="23"/>
      <c r="AN148" s="22"/>
      <c r="AO148" s="22"/>
      <c r="AP148" s="22"/>
      <c r="AQ148" s="23"/>
      <c r="AR148" s="22"/>
      <c r="AS148" s="22"/>
      <c r="AT148" s="22"/>
      <c r="AU148" s="23"/>
      <c r="AV148" s="22"/>
      <c r="AW148" s="22"/>
      <c r="AX148" s="22"/>
      <c r="AY148" s="23"/>
      <c r="AZ148" s="22"/>
      <c r="BA148" s="22"/>
      <c r="BB148" s="22"/>
      <c r="BC148" s="23"/>
      <c r="BD148" s="22"/>
      <c r="BE148" s="22"/>
      <c r="BF148" s="22"/>
      <c r="BG148" s="23"/>
      <c r="BH148" s="22"/>
      <c r="BI148" s="22"/>
      <c r="BJ148" s="22"/>
      <c r="BK148" s="23"/>
      <c r="BL148" s="22"/>
      <c r="BM148" s="22"/>
      <c r="BN148" s="22"/>
      <c r="BO148" s="23"/>
      <c r="BP148" s="22"/>
      <c r="BQ148" s="22"/>
      <c r="BR148" s="22"/>
      <c r="BS148" s="23"/>
      <c r="BT148" s="22"/>
      <c r="BU148" s="22"/>
      <c r="BV148" s="22"/>
      <c r="BW148" s="23"/>
      <c r="BX148" s="74"/>
      <c r="BY148" s="74"/>
      <c r="BZ148" s="74"/>
      <c r="CA148" s="74"/>
      <c r="CB148" s="74"/>
      <c r="CC148" s="74"/>
      <c r="CD148" s="74"/>
      <c r="CE148" s="74"/>
      <c r="CF148" s="74"/>
      <c r="CG148" s="74"/>
      <c r="CH148" s="74"/>
      <c r="CI148" s="74"/>
      <c r="CJ148" s="74"/>
      <c r="CK148" s="74"/>
      <c r="CL148" s="74"/>
    </row>
    <row r="149" spans="1:90" ht="15.75" thickBot="1" x14ac:dyDescent="0.3">
      <c r="A149" s="75"/>
      <c r="C149" s="76"/>
      <c r="D149" s="76"/>
      <c r="E149" s="76"/>
      <c r="F149" s="20"/>
      <c r="G149" s="20"/>
      <c r="H149" s="11"/>
      <c r="I149" s="11"/>
      <c r="J149" s="11"/>
      <c r="K149" s="12"/>
      <c r="L149" s="10"/>
      <c r="M149" s="11"/>
      <c r="N149" s="11"/>
      <c r="O149" s="12"/>
      <c r="P149" s="10"/>
      <c r="Q149" s="11"/>
      <c r="R149" s="11"/>
      <c r="S149" s="12"/>
      <c r="T149" s="11"/>
      <c r="U149" s="11"/>
      <c r="V149" s="11"/>
      <c r="W149" s="12"/>
      <c r="X149" s="11"/>
      <c r="Y149" s="11"/>
      <c r="Z149" s="11"/>
      <c r="AA149" s="12"/>
      <c r="AB149" s="11"/>
      <c r="AC149" s="11"/>
      <c r="AD149" s="11"/>
      <c r="AE149" s="12"/>
      <c r="AF149" s="11"/>
      <c r="AG149" s="11"/>
      <c r="AH149" s="11"/>
      <c r="AI149" s="12"/>
      <c r="AJ149" s="11"/>
      <c r="AK149" s="11"/>
      <c r="AL149" s="11"/>
      <c r="AM149" s="12"/>
      <c r="AN149" s="11"/>
      <c r="AO149" s="11"/>
      <c r="AP149" s="11"/>
      <c r="AQ149" s="12"/>
      <c r="AR149" s="11"/>
      <c r="AS149" s="11"/>
      <c r="AT149" s="11"/>
      <c r="AU149" s="12"/>
      <c r="AV149" s="11"/>
      <c r="AW149" s="11"/>
      <c r="AX149" s="11"/>
      <c r="AY149" s="12"/>
      <c r="AZ149" s="11"/>
      <c r="BA149" s="11"/>
      <c r="BB149" s="11"/>
      <c r="BC149" s="12"/>
      <c r="BD149" s="11"/>
      <c r="BE149" s="11"/>
      <c r="BF149" s="11"/>
      <c r="BG149" s="12"/>
      <c r="BH149" s="11"/>
      <c r="BI149" s="11"/>
      <c r="BJ149" s="11"/>
      <c r="BK149" s="12"/>
      <c r="BL149" s="11"/>
      <c r="BM149" s="11"/>
      <c r="BN149" s="11"/>
      <c r="BO149" s="12"/>
      <c r="BP149" s="11"/>
      <c r="BQ149" s="11"/>
      <c r="BR149" s="11"/>
      <c r="BS149" s="12"/>
      <c r="BT149" s="11"/>
      <c r="BU149" s="11"/>
      <c r="BV149" s="11"/>
      <c r="BW149" s="12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</row>
    <row r="150" spans="1:90" x14ac:dyDescent="0.25">
      <c r="A150" s="77"/>
      <c r="B150" s="78"/>
      <c r="C150" s="78"/>
      <c r="D150" s="78"/>
      <c r="E150" s="78"/>
      <c r="F150" s="78"/>
      <c r="G150" s="78"/>
      <c r="H150" s="79"/>
      <c r="I150" s="79"/>
      <c r="J150" s="79"/>
      <c r="K150" s="79"/>
      <c r="L150" s="79"/>
      <c r="M150" s="79"/>
      <c r="N150" s="79"/>
      <c r="O150" s="79"/>
      <c r="P150" s="77"/>
      <c r="Q150" s="79"/>
      <c r="R150" s="79"/>
      <c r="S150" s="79"/>
      <c r="T150" s="79"/>
      <c r="U150" s="79"/>
      <c r="V150" s="79"/>
      <c r="W150" s="77"/>
      <c r="X150" s="79"/>
      <c r="Y150" s="79"/>
      <c r="Z150" s="79"/>
      <c r="AA150" s="79"/>
      <c r="AB150" s="79"/>
      <c r="AC150" s="79"/>
      <c r="AD150" s="79"/>
      <c r="AE150" s="79"/>
      <c r="AF150" s="79"/>
      <c r="AG150" s="79"/>
      <c r="AH150" s="79"/>
      <c r="AI150" s="79"/>
      <c r="AJ150" s="79"/>
      <c r="AK150" s="79"/>
      <c r="AL150" s="79"/>
      <c r="AM150" s="79"/>
      <c r="AN150" s="79"/>
      <c r="AO150" s="79"/>
      <c r="AP150" s="79"/>
      <c r="AQ150" s="79"/>
      <c r="AR150" s="79"/>
      <c r="AS150" s="79"/>
      <c r="AT150" s="79"/>
      <c r="AU150" s="79"/>
      <c r="AV150" s="79"/>
      <c r="AW150" s="79"/>
      <c r="AX150" s="79"/>
      <c r="AY150" s="79"/>
      <c r="AZ150" s="79"/>
      <c r="BA150" s="79"/>
      <c r="BB150" s="79"/>
      <c r="BC150" s="79"/>
      <c r="BD150" s="79"/>
      <c r="BE150" s="79"/>
      <c r="BF150" s="79"/>
      <c r="BG150" s="79"/>
      <c r="BH150" s="79"/>
      <c r="BI150" s="79"/>
      <c r="BJ150" s="79"/>
      <c r="BK150" s="79"/>
      <c r="BL150" s="79"/>
      <c r="BM150" s="79"/>
      <c r="BN150" s="79"/>
      <c r="BO150" s="79"/>
      <c r="BP150" s="79"/>
      <c r="BQ150" s="79"/>
      <c r="BR150" s="79"/>
      <c r="BS150" s="79"/>
      <c r="BT150" s="79"/>
      <c r="BU150" s="79"/>
      <c r="BV150" s="79"/>
      <c r="BW150" s="79"/>
      <c r="BX150" s="79"/>
      <c r="BY150" s="79"/>
      <c r="BZ150" s="79"/>
      <c r="CA150" s="79"/>
      <c r="CB150" s="79"/>
      <c r="CC150" s="79"/>
      <c r="CD150" s="79"/>
      <c r="CE150" s="79"/>
      <c r="CF150" s="79"/>
      <c r="CG150" s="79"/>
      <c r="CH150" s="79"/>
      <c r="CI150" s="79"/>
      <c r="CJ150" s="79"/>
      <c r="CK150" s="79"/>
      <c r="CL150" s="79"/>
    </row>
    <row r="151" spans="1:90" x14ac:dyDescent="0.25">
      <c r="C151" s="3"/>
      <c r="F151" s="20"/>
      <c r="G151" s="20"/>
    </row>
    <row r="152" spans="1:90" x14ac:dyDescent="0.25">
      <c r="F152" s="20"/>
      <c r="G152" s="20"/>
    </row>
    <row r="153" spans="1:90" x14ac:dyDescent="0.25">
      <c r="F153" s="20"/>
      <c r="G153" s="20"/>
    </row>
    <row r="154" spans="1:90" x14ac:dyDescent="0.25">
      <c r="F154" s="20"/>
      <c r="G154" s="20"/>
    </row>
    <row r="155" spans="1:90" x14ac:dyDescent="0.25">
      <c r="F155" s="20"/>
      <c r="G155" s="20"/>
    </row>
    <row r="156" spans="1:90" x14ac:dyDescent="0.25">
      <c r="F156" s="20"/>
      <c r="G156" s="20"/>
    </row>
    <row r="157" spans="1:90" x14ac:dyDescent="0.25">
      <c r="F157" s="20"/>
      <c r="G157" s="20"/>
    </row>
    <row r="158" spans="1:90" x14ac:dyDescent="0.25">
      <c r="F158" s="20"/>
      <c r="G158" s="20"/>
    </row>
    <row r="159" spans="1:90" x14ac:dyDescent="0.25">
      <c r="F159" s="20"/>
      <c r="G159" s="20"/>
    </row>
    <row r="160" spans="1:90" x14ac:dyDescent="0.25">
      <c r="F160" s="20"/>
      <c r="G160" s="20"/>
    </row>
    <row r="161" spans="6:7" x14ac:dyDescent="0.25">
      <c r="F161" s="20"/>
      <c r="G161" s="20"/>
    </row>
    <row r="162" spans="6:7" x14ac:dyDescent="0.25">
      <c r="F162" s="20"/>
      <c r="G162" s="20"/>
    </row>
    <row r="163" spans="6:7" x14ac:dyDescent="0.25">
      <c r="F163" s="20"/>
      <c r="G163" s="20"/>
    </row>
    <row r="164" spans="6:7" x14ac:dyDescent="0.25">
      <c r="F164" s="20"/>
      <c r="G164" s="20"/>
    </row>
    <row r="165" spans="6:7" x14ac:dyDescent="0.25">
      <c r="F165" s="20"/>
      <c r="G165" s="20"/>
    </row>
    <row r="166" spans="6:7" x14ac:dyDescent="0.25">
      <c r="F166" s="20"/>
      <c r="G166" s="20"/>
    </row>
    <row r="167" spans="6:7" x14ac:dyDescent="0.25">
      <c r="F167" s="20"/>
      <c r="G167" s="20"/>
    </row>
    <row r="168" spans="6:7" x14ac:dyDescent="0.25">
      <c r="F168" s="20"/>
      <c r="G168" s="20"/>
    </row>
    <row r="169" spans="6:7" x14ac:dyDescent="0.25">
      <c r="F169" s="20"/>
      <c r="G169" s="20"/>
    </row>
    <row r="170" spans="6:7" x14ac:dyDescent="0.25">
      <c r="F170" s="20"/>
      <c r="G170" s="20"/>
    </row>
    <row r="171" spans="6:7" x14ac:dyDescent="0.25">
      <c r="F171" s="20"/>
      <c r="G171" s="20"/>
    </row>
    <row r="172" spans="6:7" x14ac:dyDescent="0.25">
      <c r="F172" s="20"/>
      <c r="G172" s="20"/>
    </row>
    <row r="173" spans="6:7" x14ac:dyDescent="0.25">
      <c r="F173" s="20"/>
      <c r="G173" s="20"/>
    </row>
    <row r="174" spans="6:7" x14ac:dyDescent="0.25">
      <c r="F174" s="20"/>
      <c r="G174" s="20"/>
    </row>
    <row r="175" spans="6:7" x14ac:dyDescent="0.25">
      <c r="F175" s="20"/>
      <c r="G175" s="20"/>
    </row>
    <row r="176" spans="6:7" x14ac:dyDescent="0.25">
      <c r="F176" s="20"/>
      <c r="G176" s="20"/>
    </row>
    <row r="177" spans="6:7" x14ac:dyDescent="0.25">
      <c r="F177" s="20"/>
      <c r="G177" s="20"/>
    </row>
    <row r="178" spans="6:7" x14ac:dyDescent="0.25">
      <c r="F178" s="20"/>
      <c r="G178" s="20"/>
    </row>
    <row r="179" spans="6:7" x14ac:dyDescent="0.25">
      <c r="F179" s="20"/>
      <c r="G179" s="20"/>
    </row>
    <row r="180" spans="6:7" x14ac:dyDescent="0.25">
      <c r="F180" s="20"/>
      <c r="G180" s="20"/>
    </row>
    <row r="181" spans="6:7" x14ac:dyDescent="0.25">
      <c r="F181" s="20"/>
      <c r="G181" s="20"/>
    </row>
    <row r="182" spans="6:7" x14ac:dyDescent="0.25">
      <c r="F182" s="20"/>
      <c r="G182" s="20"/>
    </row>
    <row r="183" spans="6:7" x14ac:dyDescent="0.25">
      <c r="F183" s="20"/>
      <c r="G183" s="20"/>
    </row>
    <row r="184" spans="6:7" x14ac:dyDescent="0.25">
      <c r="F184" s="20"/>
      <c r="G184" s="20"/>
    </row>
    <row r="185" spans="6:7" x14ac:dyDescent="0.25">
      <c r="F185" s="20"/>
      <c r="G185" s="20"/>
    </row>
    <row r="186" spans="6:7" x14ac:dyDescent="0.25">
      <c r="F186" s="20"/>
      <c r="G186" s="20"/>
    </row>
    <row r="187" spans="6:7" x14ac:dyDescent="0.25">
      <c r="F187" s="20"/>
      <c r="G187" s="20"/>
    </row>
    <row r="188" spans="6:7" x14ac:dyDescent="0.25">
      <c r="F188" s="20"/>
      <c r="G188" s="20"/>
    </row>
    <row r="189" spans="6:7" x14ac:dyDescent="0.25">
      <c r="F189" s="20"/>
      <c r="G189" s="20"/>
    </row>
    <row r="190" spans="6:7" x14ac:dyDescent="0.25">
      <c r="F190" s="20"/>
      <c r="G190" s="20"/>
    </row>
    <row r="191" spans="6:7" x14ac:dyDescent="0.25">
      <c r="F191" s="20"/>
      <c r="G191" s="20"/>
    </row>
    <row r="192" spans="6:7" x14ac:dyDescent="0.25">
      <c r="F192" s="20"/>
      <c r="G192" s="20"/>
    </row>
    <row r="193" spans="6:7" x14ac:dyDescent="0.25">
      <c r="F193" s="20"/>
      <c r="G193" s="20"/>
    </row>
    <row r="194" spans="6:7" x14ac:dyDescent="0.25">
      <c r="F194" s="20"/>
      <c r="G194" s="20"/>
    </row>
    <row r="195" spans="6:7" x14ac:dyDescent="0.25">
      <c r="F195" s="20"/>
      <c r="G195" s="20"/>
    </row>
    <row r="196" spans="6:7" x14ac:dyDescent="0.25">
      <c r="F196" s="20"/>
      <c r="G196" s="20"/>
    </row>
    <row r="197" spans="6:7" x14ac:dyDescent="0.25">
      <c r="F197" s="20"/>
      <c r="G197" s="20"/>
    </row>
    <row r="198" spans="6:7" x14ac:dyDescent="0.25">
      <c r="F198" s="20"/>
      <c r="G198" s="20"/>
    </row>
    <row r="199" spans="6:7" x14ac:dyDescent="0.25">
      <c r="F199" s="20"/>
      <c r="G199" s="20"/>
    </row>
    <row r="200" spans="6:7" x14ac:dyDescent="0.25">
      <c r="F200" s="20"/>
      <c r="G200" s="20"/>
    </row>
    <row r="201" spans="6:7" x14ac:dyDescent="0.25">
      <c r="F201" s="20"/>
      <c r="G201" s="20"/>
    </row>
    <row r="202" spans="6:7" x14ac:dyDescent="0.25">
      <c r="F202" s="20"/>
      <c r="G202" s="20"/>
    </row>
    <row r="203" spans="6:7" x14ac:dyDescent="0.25">
      <c r="F203" s="20"/>
      <c r="G203" s="20"/>
    </row>
    <row r="204" spans="6:7" x14ac:dyDescent="0.25">
      <c r="F204" s="20"/>
      <c r="G204" s="20"/>
    </row>
    <row r="205" spans="6:7" x14ac:dyDescent="0.25">
      <c r="F205" s="20"/>
      <c r="G205" s="20"/>
    </row>
    <row r="206" spans="6:7" x14ac:dyDescent="0.25">
      <c r="F206" s="20"/>
      <c r="G206" s="20"/>
    </row>
    <row r="207" spans="6:7" x14ac:dyDescent="0.25">
      <c r="F207" s="20"/>
      <c r="G207" s="20"/>
    </row>
    <row r="208" spans="6:7" x14ac:dyDescent="0.25">
      <c r="F208" s="20"/>
      <c r="G208" s="20"/>
    </row>
    <row r="209" spans="6:7" x14ac:dyDescent="0.25">
      <c r="F209" s="20"/>
      <c r="G209" s="20"/>
    </row>
    <row r="210" spans="6:7" x14ac:dyDescent="0.25">
      <c r="F210" s="20"/>
      <c r="G210" s="20"/>
    </row>
    <row r="211" spans="6:7" x14ac:dyDescent="0.25">
      <c r="F211" s="20"/>
      <c r="G211" s="20"/>
    </row>
    <row r="212" spans="6:7" x14ac:dyDescent="0.25">
      <c r="F212" s="20"/>
      <c r="G212" s="20"/>
    </row>
    <row r="213" spans="6:7" x14ac:dyDescent="0.25">
      <c r="F213" s="20"/>
      <c r="G213" s="20"/>
    </row>
    <row r="214" spans="6:7" x14ac:dyDescent="0.25">
      <c r="F214" s="20"/>
      <c r="G214" s="20"/>
    </row>
    <row r="215" spans="6:7" x14ac:dyDescent="0.25">
      <c r="F215" s="20"/>
      <c r="G215" s="20"/>
    </row>
    <row r="216" spans="6:7" x14ac:dyDescent="0.25">
      <c r="F216" s="20"/>
      <c r="G216" s="20"/>
    </row>
    <row r="217" spans="6:7" x14ac:dyDescent="0.25">
      <c r="F217" s="20"/>
      <c r="G217" s="20"/>
    </row>
    <row r="218" spans="6:7" x14ac:dyDescent="0.25">
      <c r="F218" s="20"/>
      <c r="G218" s="20"/>
    </row>
    <row r="219" spans="6:7" x14ac:dyDescent="0.25">
      <c r="F219" s="20"/>
      <c r="G219" s="20"/>
    </row>
    <row r="220" spans="6:7" x14ac:dyDescent="0.25">
      <c r="F220" s="20"/>
      <c r="G220" s="20"/>
    </row>
    <row r="221" spans="6:7" x14ac:dyDescent="0.25">
      <c r="F221" s="20"/>
      <c r="G221" s="20"/>
    </row>
    <row r="222" spans="6:7" x14ac:dyDescent="0.25">
      <c r="F222" s="20"/>
      <c r="G222" s="20"/>
    </row>
    <row r="223" spans="6:7" x14ac:dyDescent="0.25">
      <c r="F223" s="20"/>
      <c r="G223" s="20"/>
    </row>
    <row r="224" spans="6:7" x14ac:dyDescent="0.25">
      <c r="F224" s="20"/>
      <c r="G224" s="20"/>
    </row>
    <row r="225" spans="6:7" x14ac:dyDescent="0.25">
      <c r="F225" s="20"/>
      <c r="G225" s="20"/>
    </row>
    <row r="226" spans="6:7" x14ac:dyDescent="0.25">
      <c r="F226" s="20"/>
      <c r="G226" s="20"/>
    </row>
    <row r="227" spans="6:7" x14ac:dyDescent="0.25">
      <c r="F227" s="20"/>
      <c r="G227" s="20"/>
    </row>
    <row r="228" spans="6:7" x14ac:dyDescent="0.25">
      <c r="F228" s="20"/>
      <c r="G228" s="20"/>
    </row>
    <row r="229" spans="6:7" x14ac:dyDescent="0.25">
      <c r="F229" s="20"/>
      <c r="G229" s="20"/>
    </row>
    <row r="230" spans="6:7" x14ac:dyDescent="0.25">
      <c r="F230" s="20"/>
      <c r="G230" s="20"/>
    </row>
    <row r="231" spans="6:7" x14ac:dyDescent="0.25">
      <c r="F231" s="20"/>
      <c r="G231" s="20"/>
    </row>
    <row r="232" spans="6:7" x14ac:dyDescent="0.25">
      <c r="F232" s="20"/>
      <c r="G232" s="20"/>
    </row>
    <row r="233" spans="6:7" x14ac:dyDescent="0.25">
      <c r="F233" s="20"/>
      <c r="G233" s="20"/>
    </row>
    <row r="234" spans="6:7" x14ac:dyDescent="0.25">
      <c r="F234" s="20"/>
      <c r="G234" s="20"/>
    </row>
    <row r="235" spans="6:7" x14ac:dyDescent="0.25">
      <c r="F235" s="20"/>
      <c r="G235" s="20"/>
    </row>
    <row r="236" spans="6:7" x14ac:dyDescent="0.25">
      <c r="F236" s="20"/>
      <c r="G236" s="20"/>
    </row>
    <row r="237" spans="6:7" x14ac:dyDescent="0.25">
      <c r="F237" s="20"/>
      <c r="G237" s="20"/>
    </row>
    <row r="238" spans="6:7" x14ac:dyDescent="0.25">
      <c r="F238" s="20"/>
      <c r="G238" s="20"/>
    </row>
    <row r="239" spans="6:7" x14ac:dyDescent="0.25">
      <c r="F239" s="20"/>
      <c r="G239" s="20"/>
    </row>
    <row r="240" spans="6:7" x14ac:dyDescent="0.25">
      <c r="F240" s="20"/>
      <c r="G240" s="20"/>
    </row>
    <row r="241" spans="6:7" x14ac:dyDescent="0.25">
      <c r="F241" s="20"/>
      <c r="G241" s="20"/>
    </row>
    <row r="242" spans="6:7" x14ac:dyDescent="0.25">
      <c r="F242" s="20"/>
      <c r="G242" s="20"/>
    </row>
    <row r="243" spans="6:7" x14ac:dyDescent="0.25">
      <c r="F243" s="20"/>
      <c r="G243" s="20"/>
    </row>
    <row r="244" spans="6:7" x14ac:dyDescent="0.25">
      <c r="F244" s="20"/>
      <c r="G244" s="20"/>
    </row>
    <row r="245" spans="6:7" x14ac:dyDescent="0.25">
      <c r="F245" s="20"/>
      <c r="G245" s="20"/>
    </row>
    <row r="246" spans="6:7" x14ac:dyDescent="0.25">
      <c r="F246" s="20"/>
      <c r="G246" s="20"/>
    </row>
    <row r="247" spans="6:7" x14ac:dyDescent="0.25">
      <c r="F247" s="20"/>
      <c r="G247" s="20"/>
    </row>
    <row r="248" spans="6:7" x14ac:dyDescent="0.25">
      <c r="F248" s="20"/>
      <c r="G248" s="20"/>
    </row>
    <row r="249" spans="6:7" x14ac:dyDescent="0.25">
      <c r="F249" s="20"/>
      <c r="G249" s="20"/>
    </row>
    <row r="250" spans="6:7" x14ac:dyDescent="0.25">
      <c r="F250" s="20"/>
      <c r="G250" s="20"/>
    </row>
    <row r="251" spans="6:7" x14ac:dyDescent="0.25">
      <c r="F251" s="20"/>
      <c r="G251" s="20"/>
    </row>
    <row r="252" spans="6:7" x14ac:dyDescent="0.25">
      <c r="F252" s="20"/>
      <c r="G252" s="20"/>
    </row>
    <row r="253" spans="6:7" x14ac:dyDescent="0.25">
      <c r="F253" s="20"/>
      <c r="G253" s="20"/>
    </row>
    <row r="254" spans="6:7" x14ac:dyDescent="0.25">
      <c r="F254" s="20"/>
      <c r="G254" s="20"/>
    </row>
    <row r="255" spans="6:7" x14ac:dyDescent="0.25">
      <c r="F255" s="20"/>
      <c r="G255" s="20"/>
    </row>
    <row r="256" spans="6:7" x14ac:dyDescent="0.25">
      <c r="F256" s="20"/>
      <c r="G256" s="20"/>
    </row>
    <row r="257" spans="6:7" x14ac:dyDescent="0.25">
      <c r="F257" s="20"/>
      <c r="G257" s="20"/>
    </row>
    <row r="258" spans="6:7" x14ac:dyDescent="0.25">
      <c r="F258" s="20"/>
      <c r="G258" s="20"/>
    </row>
    <row r="259" spans="6:7" x14ac:dyDescent="0.25">
      <c r="F259" s="20"/>
      <c r="G259" s="20"/>
    </row>
    <row r="260" spans="6:7" x14ac:dyDescent="0.25">
      <c r="F260" s="20"/>
      <c r="G260" s="20"/>
    </row>
    <row r="261" spans="6:7" x14ac:dyDescent="0.25">
      <c r="F261" s="20"/>
      <c r="G261" s="20"/>
    </row>
    <row r="262" spans="6:7" x14ac:dyDescent="0.25">
      <c r="F262" s="20"/>
      <c r="G262" s="20"/>
    </row>
    <row r="263" spans="6:7" x14ac:dyDescent="0.25">
      <c r="F263" s="20"/>
      <c r="G263" s="20"/>
    </row>
    <row r="264" spans="6:7" x14ac:dyDescent="0.25">
      <c r="F264" s="20"/>
      <c r="G264" s="20"/>
    </row>
    <row r="265" spans="6:7" x14ac:dyDescent="0.25">
      <c r="F265" s="20"/>
      <c r="G265" s="20"/>
    </row>
    <row r="266" spans="6:7" x14ac:dyDescent="0.25">
      <c r="F266" s="20"/>
      <c r="G266" s="20"/>
    </row>
    <row r="267" spans="6:7" x14ac:dyDescent="0.25">
      <c r="F267" s="20"/>
      <c r="G267" s="20"/>
    </row>
    <row r="268" spans="6:7" x14ac:dyDescent="0.25">
      <c r="F268" s="20"/>
      <c r="G268" s="20"/>
    </row>
    <row r="269" spans="6:7" x14ac:dyDescent="0.25">
      <c r="F269" s="20"/>
      <c r="G269" s="20"/>
    </row>
    <row r="270" spans="6:7" x14ac:dyDescent="0.25">
      <c r="F270" s="20"/>
      <c r="G270" s="20"/>
    </row>
    <row r="271" spans="6:7" x14ac:dyDescent="0.25">
      <c r="F271" s="20"/>
      <c r="G271" s="20"/>
    </row>
    <row r="272" spans="6:7" x14ac:dyDescent="0.25">
      <c r="F272" s="20"/>
      <c r="G272" s="20"/>
    </row>
    <row r="273" spans="6:7" x14ac:dyDescent="0.25">
      <c r="F273" s="20"/>
      <c r="G273" s="20"/>
    </row>
    <row r="274" spans="6:7" x14ac:dyDescent="0.25">
      <c r="F274" s="20"/>
      <c r="G274" s="20"/>
    </row>
    <row r="275" spans="6:7" x14ac:dyDescent="0.25">
      <c r="F275" s="20"/>
      <c r="G275" s="20"/>
    </row>
    <row r="276" spans="6:7" x14ac:dyDescent="0.25">
      <c r="F276" s="20"/>
      <c r="G276" s="20"/>
    </row>
    <row r="277" spans="6:7" x14ac:dyDescent="0.25">
      <c r="F277" s="20"/>
      <c r="G277" s="20"/>
    </row>
    <row r="278" spans="6:7" x14ac:dyDescent="0.25">
      <c r="F278" s="20"/>
      <c r="G278" s="20"/>
    </row>
    <row r="279" spans="6:7" x14ac:dyDescent="0.25">
      <c r="F279" s="20"/>
      <c r="G279" s="20"/>
    </row>
    <row r="280" spans="6:7" x14ac:dyDescent="0.25">
      <c r="F280" s="20"/>
      <c r="G280" s="20"/>
    </row>
    <row r="281" spans="6:7" x14ac:dyDescent="0.25">
      <c r="F281" s="20"/>
      <c r="G281" s="20"/>
    </row>
    <row r="282" spans="6:7" x14ac:dyDescent="0.25">
      <c r="F282" s="20"/>
      <c r="G282" s="20"/>
    </row>
    <row r="283" spans="6:7" x14ac:dyDescent="0.25">
      <c r="F283" s="20"/>
      <c r="G283" s="20"/>
    </row>
    <row r="284" spans="6:7" x14ac:dyDescent="0.25">
      <c r="F284" s="20"/>
      <c r="G284" s="20"/>
    </row>
    <row r="285" spans="6:7" x14ac:dyDescent="0.25">
      <c r="F285" s="20"/>
      <c r="G285" s="20"/>
    </row>
    <row r="286" spans="6:7" x14ac:dyDescent="0.25">
      <c r="F286" s="20"/>
      <c r="G286" s="20"/>
    </row>
    <row r="287" spans="6:7" x14ac:dyDescent="0.25">
      <c r="F287" s="20"/>
      <c r="G287" s="20"/>
    </row>
    <row r="288" spans="6:7" x14ac:dyDescent="0.25">
      <c r="F288" s="20"/>
      <c r="G288" s="20"/>
    </row>
    <row r="289" spans="6:7" x14ac:dyDescent="0.25">
      <c r="F289" s="20"/>
      <c r="G289" s="20"/>
    </row>
    <row r="290" spans="6:7" x14ac:dyDescent="0.25">
      <c r="F290" s="20"/>
      <c r="G290" s="20"/>
    </row>
    <row r="291" spans="6:7" x14ac:dyDescent="0.25">
      <c r="F291" s="20"/>
      <c r="G291" s="20"/>
    </row>
    <row r="292" spans="6:7" x14ac:dyDescent="0.25">
      <c r="F292" s="20"/>
      <c r="G292" s="20"/>
    </row>
    <row r="293" spans="6:7" x14ac:dyDescent="0.25">
      <c r="F293" s="20"/>
      <c r="G293" s="20"/>
    </row>
    <row r="294" spans="6:7" x14ac:dyDescent="0.25">
      <c r="F294" s="20"/>
      <c r="G294" s="20"/>
    </row>
    <row r="295" spans="6:7" x14ac:dyDescent="0.25">
      <c r="F295" s="20"/>
      <c r="G295" s="20"/>
    </row>
    <row r="296" spans="6:7" x14ac:dyDescent="0.25">
      <c r="F296" s="20"/>
      <c r="G296" s="20"/>
    </row>
    <row r="297" spans="6:7" x14ac:dyDescent="0.25">
      <c r="F297" s="20"/>
      <c r="G297" s="20"/>
    </row>
    <row r="298" spans="6:7" x14ac:dyDescent="0.25">
      <c r="F298" s="20"/>
      <c r="G298" s="20"/>
    </row>
    <row r="299" spans="6:7" x14ac:dyDescent="0.25">
      <c r="F299" s="20"/>
      <c r="G299" s="20"/>
    </row>
    <row r="300" spans="6:7" x14ac:dyDescent="0.25">
      <c r="F300" s="20"/>
      <c r="G300" s="20"/>
    </row>
    <row r="301" spans="6:7" x14ac:dyDescent="0.25">
      <c r="F301" s="20"/>
      <c r="G301" s="20"/>
    </row>
    <row r="302" spans="6:7" x14ac:dyDescent="0.25">
      <c r="F302" s="20"/>
      <c r="G302" s="20"/>
    </row>
    <row r="303" spans="6:7" x14ac:dyDescent="0.25">
      <c r="F303" s="20"/>
      <c r="G303" s="20"/>
    </row>
    <row r="304" spans="6:7" x14ac:dyDescent="0.25">
      <c r="F304" s="20"/>
      <c r="G304" s="20"/>
    </row>
    <row r="305" spans="6:7" x14ac:dyDescent="0.25">
      <c r="F305" s="20"/>
      <c r="G305" s="20"/>
    </row>
    <row r="306" spans="6:7" x14ac:dyDescent="0.25">
      <c r="F306" s="20"/>
      <c r="G306" s="20"/>
    </row>
    <row r="307" spans="6:7" x14ac:dyDescent="0.25">
      <c r="F307" s="20"/>
      <c r="G307" s="20"/>
    </row>
    <row r="308" spans="6:7" x14ac:dyDescent="0.25">
      <c r="F308" s="20"/>
      <c r="G308" s="20"/>
    </row>
    <row r="309" spans="6:7" x14ac:dyDescent="0.25">
      <c r="F309" s="20"/>
      <c r="G309" s="20"/>
    </row>
    <row r="310" spans="6:7" x14ac:dyDescent="0.25">
      <c r="F310" s="20"/>
      <c r="G310" s="20"/>
    </row>
    <row r="311" spans="6:7" x14ac:dyDescent="0.25">
      <c r="F311" s="20"/>
      <c r="G311" s="20"/>
    </row>
    <row r="312" spans="6:7" x14ac:dyDescent="0.25">
      <c r="F312" s="20"/>
      <c r="G312" s="20"/>
    </row>
    <row r="313" spans="6:7" x14ac:dyDescent="0.25">
      <c r="F313" s="20"/>
      <c r="G313" s="20"/>
    </row>
    <row r="314" spans="6:7" x14ac:dyDescent="0.25">
      <c r="F314" s="20"/>
      <c r="G314" s="20"/>
    </row>
    <row r="315" spans="6:7" x14ac:dyDescent="0.25">
      <c r="F315" s="20"/>
      <c r="G315" s="20"/>
    </row>
    <row r="316" spans="6:7" x14ac:dyDescent="0.25">
      <c r="F316" s="20"/>
      <c r="G316" s="20"/>
    </row>
    <row r="317" spans="6:7" x14ac:dyDescent="0.25">
      <c r="F317" s="20"/>
      <c r="G317" s="20"/>
    </row>
    <row r="318" spans="6:7" x14ac:dyDescent="0.25">
      <c r="F318" s="20"/>
      <c r="G318" s="20"/>
    </row>
    <row r="319" spans="6:7" x14ac:dyDescent="0.25">
      <c r="F319" s="20"/>
      <c r="G319" s="20"/>
    </row>
    <row r="320" spans="6:7" x14ac:dyDescent="0.25">
      <c r="F320" s="20"/>
      <c r="G320" s="20"/>
    </row>
    <row r="321" spans="6:7" x14ac:dyDescent="0.25">
      <c r="F321" s="20"/>
      <c r="G321" s="20"/>
    </row>
    <row r="322" spans="6:7" x14ac:dyDescent="0.25">
      <c r="F322" s="20"/>
      <c r="G322" s="20"/>
    </row>
    <row r="323" spans="6:7" x14ac:dyDescent="0.25">
      <c r="F323" s="20"/>
      <c r="G323" s="20"/>
    </row>
    <row r="324" spans="6:7" x14ac:dyDescent="0.25">
      <c r="F324" s="20"/>
      <c r="G324" s="20"/>
    </row>
    <row r="325" spans="6:7" x14ac:dyDescent="0.25">
      <c r="F325" s="20"/>
      <c r="G325" s="20"/>
    </row>
    <row r="326" spans="6:7" x14ac:dyDescent="0.25">
      <c r="F326" s="20"/>
      <c r="G326" s="20"/>
    </row>
    <row r="327" spans="6:7" x14ac:dyDescent="0.25">
      <c r="F327" s="20"/>
      <c r="G327" s="20"/>
    </row>
    <row r="328" spans="6:7" x14ac:dyDescent="0.25">
      <c r="F328" s="20"/>
      <c r="G328" s="20"/>
    </row>
    <row r="329" spans="6:7" x14ac:dyDescent="0.25">
      <c r="F329" s="20"/>
      <c r="G329" s="20"/>
    </row>
    <row r="330" spans="6:7" x14ac:dyDescent="0.25">
      <c r="F330" s="20"/>
      <c r="G330" s="20"/>
    </row>
    <row r="331" spans="6:7" x14ac:dyDescent="0.25">
      <c r="F331" s="20"/>
      <c r="G331" s="20"/>
    </row>
    <row r="332" spans="6:7" x14ac:dyDescent="0.25">
      <c r="F332" s="20"/>
      <c r="G332" s="20"/>
    </row>
    <row r="333" spans="6:7" x14ac:dyDescent="0.25">
      <c r="F333" s="20"/>
      <c r="G333" s="20"/>
    </row>
    <row r="334" spans="6:7" x14ac:dyDescent="0.25">
      <c r="F334" s="20"/>
      <c r="G334" s="20"/>
    </row>
    <row r="335" spans="6:7" x14ac:dyDescent="0.25">
      <c r="F335" s="20"/>
      <c r="G335" s="20"/>
    </row>
    <row r="336" spans="6:7" x14ac:dyDescent="0.25">
      <c r="F336" s="20"/>
      <c r="G336" s="20"/>
    </row>
    <row r="337" spans="6:7" x14ac:dyDescent="0.25">
      <c r="F337" s="20"/>
      <c r="G337" s="20"/>
    </row>
    <row r="338" spans="6:7" x14ac:dyDescent="0.25">
      <c r="F338" s="20"/>
      <c r="G338" s="20"/>
    </row>
    <row r="339" spans="6:7" x14ac:dyDescent="0.25">
      <c r="F339" s="20"/>
      <c r="G339" s="20"/>
    </row>
    <row r="340" spans="6:7" x14ac:dyDescent="0.25">
      <c r="F340" s="20"/>
      <c r="G340" s="20"/>
    </row>
    <row r="341" spans="6:7" x14ac:dyDescent="0.25">
      <c r="F341" s="20"/>
      <c r="G341" s="20"/>
    </row>
    <row r="342" spans="6:7" x14ac:dyDescent="0.25">
      <c r="F342" s="20"/>
      <c r="G342" s="20"/>
    </row>
    <row r="343" spans="6:7" x14ac:dyDescent="0.25">
      <c r="F343" s="20"/>
      <c r="G343" s="20"/>
    </row>
    <row r="344" spans="6:7" x14ac:dyDescent="0.25">
      <c r="F344" s="20"/>
      <c r="G344" s="20"/>
    </row>
    <row r="345" spans="6:7" x14ac:dyDescent="0.25">
      <c r="F345" s="20"/>
      <c r="G345" s="20"/>
    </row>
    <row r="346" spans="6:7" x14ac:dyDescent="0.25">
      <c r="F346" s="20"/>
      <c r="G346" s="20"/>
    </row>
    <row r="347" spans="6:7" x14ac:dyDescent="0.25">
      <c r="F347" s="20"/>
      <c r="G347" s="20"/>
    </row>
    <row r="348" spans="6:7" x14ac:dyDescent="0.25">
      <c r="F348" s="20"/>
      <c r="G348" s="20"/>
    </row>
    <row r="349" spans="6:7" x14ac:dyDescent="0.25">
      <c r="F349" s="20"/>
      <c r="G349" s="20"/>
    </row>
    <row r="350" spans="6:7" x14ac:dyDescent="0.25">
      <c r="F350" s="20"/>
      <c r="G350" s="20"/>
    </row>
    <row r="351" spans="6:7" x14ac:dyDescent="0.25">
      <c r="F351" s="20"/>
      <c r="G351" s="20"/>
    </row>
    <row r="352" spans="6:7" x14ac:dyDescent="0.25">
      <c r="F352" s="20"/>
      <c r="G352" s="20"/>
    </row>
    <row r="353" spans="6:7" x14ac:dyDescent="0.25">
      <c r="F353" s="20"/>
      <c r="G353" s="20"/>
    </row>
    <row r="354" spans="6:7" x14ac:dyDescent="0.25">
      <c r="F354" s="20"/>
      <c r="G354" s="20"/>
    </row>
    <row r="355" spans="6:7" x14ac:dyDescent="0.25">
      <c r="F355" s="20"/>
      <c r="G355" s="20"/>
    </row>
    <row r="356" spans="6:7" x14ac:dyDescent="0.25">
      <c r="F356" s="20"/>
      <c r="G356" s="20"/>
    </row>
    <row r="357" spans="6:7" x14ac:dyDescent="0.25">
      <c r="F357" s="20"/>
      <c r="G357" s="20"/>
    </row>
    <row r="358" spans="6:7" x14ac:dyDescent="0.25">
      <c r="F358" s="20"/>
      <c r="G358" s="20"/>
    </row>
    <row r="359" spans="6:7" x14ac:dyDescent="0.25">
      <c r="F359" s="20"/>
      <c r="G359" s="20"/>
    </row>
    <row r="360" spans="6:7" x14ac:dyDescent="0.25">
      <c r="F360" s="20"/>
      <c r="G360" s="20"/>
    </row>
    <row r="361" spans="6:7" x14ac:dyDescent="0.25">
      <c r="F361" s="20"/>
      <c r="G361" s="20"/>
    </row>
    <row r="362" spans="6:7" x14ac:dyDescent="0.25">
      <c r="F362" s="20"/>
      <c r="G362" s="20"/>
    </row>
    <row r="363" spans="6:7" x14ac:dyDescent="0.25">
      <c r="F363" s="20"/>
      <c r="G363" s="20"/>
    </row>
    <row r="364" spans="6:7" x14ac:dyDescent="0.25">
      <c r="F364" s="20"/>
      <c r="G364" s="20"/>
    </row>
    <row r="365" spans="6:7" x14ac:dyDescent="0.25">
      <c r="F365" s="20"/>
      <c r="G365" s="20"/>
    </row>
    <row r="366" spans="6:7" x14ac:dyDescent="0.25">
      <c r="F366" s="20"/>
      <c r="G366" s="20"/>
    </row>
    <row r="367" spans="6:7" x14ac:dyDescent="0.25">
      <c r="F367" s="20"/>
      <c r="G367" s="20"/>
    </row>
    <row r="368" spans="6:7" x14ac:dyDescent="0.25">
      <c r="F368" s="20"/>
      <c r="G368" s="20"/>
    </row>
    <row r="369" spans="6:7" x14ac:dyDescent="0.25">
      <c r="F369" s="20"/>
      <c r="G369" s="20"/>
    </row>
    <row r="370" spans="6:7" x14ac:dyDescent="0.25">
      <c r="F370" s="20"/>
      <c r="G370" s="20"/>
    </row>
    <row r="371" spans="6:7" x14ac:dyDescent="0.25">
      <c r="F371" s="20"/>
      <c r="G371" s="20"/>
    </row>
    <row r="372" spans="6:7" x14ac:dyDescent="0.25">
      <c r="F372" s="20"/>
      <c r="G372" s="20"/>
    </row>
    <row r="373" spans="6:7" x14ac:dyDescent="0.25">
      <c r="F373" s="20"/>
      <c r="G373" s="20"/>
    </row>
    <row r="374" spans="6:7" x14ac:dyDescent="0.25">
      <c r="F374" s="20"/>
      <c r="G374" s="20"/>
    </row>
    <row r="375" spans="6:7" x14ac:dyDescent="0.25">
      <c r="F375" s="20"/>
      <c r="G375" s="20"/>
    </row>
    <row r="376" spans="6:7" x14ac:dyDescent="0.25">
      <c r="F376" s="20"/>
      <c r="G376" s="20"/>
    </row>
    <row r="377" spans="6:7" x14ac:dyDescent="0.25">
      <c r="F377" s="20"/>
      <c r="G377" s="20"/>
    </row>
    <row r="378" spans="6:7" x14ac:dyDescent="0.25">
      <c r="F378" s="20"/>
      <c r="G378" s="20"/>
    </row>
    <row r="379" spans="6:7" x14ac:dyDescent="0.25">
      <c r="F379" s="20"/>
      <c r="G379" s="20"/>
    </row>
    <row r="380" spans="6:7" x14ac:dyDescent="0.25">
      <c r="F380" s="20"/>
      <c r="G380" s="20"/>
    </row>
    <row r="381" spans="6:7" x14ac:dyDescent="0.25">
      <c r="F381" s="20"/>
      <c r="G381" s="20"/>
    </row>
    <row r="382" spans="6:7" x14ac:dyDescent="0.25">
      <c r="F382" s="20"/>
      <c r="G382" s="20"/>
    </row>
    <row r="383" spans="6:7" x14ac:dyDescent="0.25">
      <c r="F383" s="20"/>
      <c r="G383" s="20"/>
    </row>
    <row r="384" spans="6:7" x14ac:dyDescent="0.25">
      <c r="F384" s="20"/>
      <c r="G384" s="20"/>
    </row>
    <row r="385" spans="6:7" x14ac:dyDescent="0.25">
      <c r="F385" s="20"/>
      <c r="G385" s="20"/>
    </row>
    <row r="386" spans="6:7" x14ac:dyDescent="0.25">
      <c r="F386" s="20"/>
      <c r="G386" s="20"/>
    </row>
    <row r="387" spans="6:7" x14ac:dyDescent="0.25">
      <c r="F387" s="20"/>
      <c r="G387" s="20"/>
    </row>
    <row r="388" spans="6:7" x14ac:dyDescent="0.25">
      <c r="F388" s="20"/>
      <c r="G388" s="20"/>
    </row>
    <row r="389" spans="6:7" x14ac:dyDescent="0.25">
      <c r="F389" s="20"/>
      <c r="G389" s="20"/>
    </row>
    <row r="390" spans="6:7" x14ac:dyDescent="0.25">
      <c r="F390" s="20"/>
      <c r="G390" s="20"/>
    </row>
    <row r="391" spans="6:7" x14ac:dyDescent="0.25">
      <c r="F391" s="20"/>
      <c r="G391" s="20"/>
    </row>
    <row r="392" spans="6:7" x14ac:dyDescent="0.25">
      <c r="F392" s="20"/>
      <c r="G392" s="20"/>
    </row>
    <row r="393" spans="6:7" x14ac:dyDescent="0.25">
      <c r="F393" s="20"/>
      <c r="G393" s="20"/>
    </row>
    <row r="394" spans="6:7" x14ac:dyDescent="0.25">
      <c r="F394" s="20"/>
      <c r="G394" s="20"/>
    </row>
    <row r="395" spans="6:7" x14ac:dyDescent="0.25">
      <c r="F395" s="20"/>
      <c r="G395" s="20"/>
    </row>
    <row r="396" spans="6:7" x14ac:dyDescent="0.25">
      <c r="F396" s="20"/>
      <c r="G396" s="20"/>
    </row>
    <row r="397" spans="6:7" x14ac:dyDescent="0.25">
      <c r="F397" s="20"/>
      <c r="G397" s="20"/>
    </row>
    <row r="398" spans="6:7" x14ac:dyDescent="0.25">
      <c r="F398" s="20"/>
      <c r="G398" s="20"/>
    </row>
    <row r="399" spans="6:7" x14ac:dyDescent="0.25">
      <c r="F399" s="20"/>
      <c r="G399" s="20"/>
    </row>
    <row r="400" spans="6:7" x14ac:dyDescent="0.25">
      <c r="F400" s="20"/>
      <c r="G400" s="20"/>
    </row>
    <row r="401" spans="6:7" x14ac:dyDescent="0.25">
      <c r="F401" s="20"/>
      <c r="G401" s="20"/>
    </row>
    <row r="402" spans="6:7" x14ac:dyDescent="0.25">
      <c r="F402" s="20"/>
      <c r="G402" s="20"/>
    </row>
    <row r="403" spans="6:7" x14ac:dyDescent="0.25">
      <c r="F403" s="20"/>
      <c r="G403" s="20"/>
    </row>
    <row r="404" spans="6:7" x14ac:dyDescent="0.25">
      <c r="F404" s="20"/>
      <c r="G404" s="20"/>
    </row>
    <row r="405" spans="6:7" x14ac:dyDescent="0.25">
      <c r="F405" s="20"/>
      <c r="G405" s="20"/>
    </row>
    <row r="406" spans="6:7" x14ac:dyDescent="0.25">
      <c r="F406" s="20"/>
      <c r="G406" s="20"/>
    </row>
    <row r="407" spans="6:7" x14ac:dyDescent="0.25">
      <c r="F407" s="20"/>
      <c r="G407" s="20"/>
    </row>
    <row r="408" spans="6:7" x14ac:dyDescent="0.25">
      <c r="F408" s="20"/>
      <c r="G408" s="20"/>
    </row>
    <row r="409" spans="6:7" x14ac:dyDescent="0.25">
      <c r="F409" s="20"/>
      <c r="G409" s="20"/>
    </row>
    <row r="410" spans="6:7" x14ac:dyDescent="0.25">
      <c r="F410" s="20"/>
      <c r="G410" s="20"/>
    </row>
    <row r="411" spans="6:7" x14ac:dyDescent="0.25">
      <c r="F411" s="20"/>
      <c r="G411" s="20"/>
    </row>
    <row r="412" spans="6:7" x14ac:dyDescent="0.25">
      <c r="F412" s="20"/>
      <c r="G412" s="20"/>
    </row>
    <row r="413" spans="6:7" x14ac:dyDescent="0.25">
      <c r="F413" s="20"/>
      <c r="G413" s="20"/>
    </row>
    <row r="414" spans="6:7" x14ac:dyDescent="0.25">
      <c r="F414" s="20"/>
      <c r="G414" s="20"/>
    </row>
    <row r="415" spans="6:7" x14ac:dyDescent="0.25">
      <c r="F415" s="20"/>
      <c r="G415" s="20"/>
    </row>
    <row r="416" spans="6:7" x14ac:dyDescent="0.25">
      <c r="F416" s="20"/>
      <c r="G416" s="20"/>
    </row>
    <row r="417" spans="6:7" x14ac:dyDescent="0.25">
      <c r="F417" s="20"/>
      <c r="G417" s="20"/>
    </row>
    <row r="418" spans="6:7" x14ac:dyDescent="0.25">
      <c r="F418" s="20"/>
      <c r="G418" s="20"/>
    </row>
    <row r="419" spans="6:7" x14ac:dyDescent="0.25">
      <c r="F419" s="20"/>
      <c r="G419" s="20"/>
    </row>
    <row r="420" spans="6:7" x14ac:dyDescent="0.25">
      <c r="F420" s="20"/>
      <c r="G420" s="20"/>
    </row>
    <row r="421" spans="6:7" x14ac:dyDescent="0.25">
      <c r="F421" s="20"/>
      <c r="G421" s="20"/>
    </row>
    <row r="422" spans="6:7" x14ac:dyDescent="0.25">
      <c r="F422" s="20"/>
      <c r="G422" s="20"/>
    </row>
    <row r="423" spans="6:7" x14ac:dyDescent="0.25">
      <c r="F423" s="20"/>
      <c r="G423" s="20"/>
    </row>
    <row r="424" spans="6:7" x14ac:dyDescent="0.25">
      <c r="F424" s="20"/>
      <c r="G424" s="20"/>
    </row>
    <row r="425" spans="6:7" x14ac:dyDescent="0.25">
      <c r="F425" s="20"/>
      <c r="G425" s="20"/>
    </row>
    <row r="426" spans="6:7" x14ac:dyDescent="0.25">
      <c r="F426" s="20"/>
      <c r="G426" s="20"/>
    </row>
    <row r="427" spans="6:7" x14ac:dyDescent="0.25">
      <c r="F427" s="20"/>
      <c r="G427" s="20"/>
    </row>
    <row r="428" spans="6:7" x14ac:dyDescent="0.25">
      <c r="F428" s="20"/>
      <c r="G428" s="20"/>
    </row>
    <row r="429" spans="6:7" x14ac:dyDescent="0.25">
      <c r="F429" s="20"/>
      <c r="G429" s="20"/>
    </row>
    <row r="430" spans="6:7" x14ac:dyDescent="0.25">
      <c r="F430" s="20"/>
      <c r="G430" s="20"/>
    </row>
    <row r="431" spans="6:7" x14ac:dyDescent="0.25">
      <c r="F431" s="20"/>
      <c r="G431" s="20"/>
    </row>
    <row r="432" spans="6:7" x14ac:dyDescent="0.25">
      <c r="F432" s="20"/>
      <c r="G432" s="20"/>
    </row>
    <row r="433" spans="6:7" x14ac:dyDescent="0.25">
      <c r="F433" s="20"/>
      <c r="G433" s="20"/>
    </row>
    <row r="434" spans="6:7" x14ac:dyDescent="0.25">
      <c r="F434" s="20"/>
      <c r="G434" s="20"/>
    </row>
    <row r="435" spans="6:7" x14ac:dyDescent="0.25">
      <c r="F435" s="20"/>
      <c r="G435" s="20"/>
    </row>
    <row r="436" spans="6:7" x14ac:dyDescent="0.25">
      <c r="F436" s="20"/>
      <c r="G436" s="20"/>
    </row>
    <row r="437" spans="6:7" x14ac:dyDescent="0.25">
      <c r="F437" s="20"/>
      <c r="G437" s="20"/>
    </row>
    <row r="438" spans="6:7" x14ac:dyDescent="0.25">
      <c r="F438" s="20"/>
      <c r="G438" s="20"/>
    </row>
    <row r="439" spans="6:7" x14ac:dyDescent="0.25">
      <c r="F439" s="20"/>
      <c r="G439" s="20"/>
    </row>
    <row r="440" spans="6:7" x14ac:dyDescent="0.25">
      <c r="F440" s="20"/>
      <c r="G440" s="20"/>
    </row>
    <row r="441" spans="6:7" x14ac:dyDescent="0.25">
      <c r="F441" s="20"/>
      <c r="G441" s="20"/>
    </row>
    <row r="442" spans="6:7" x14ac:dyDescent="0.25">
      <c r="F442" s="20"/>
      <c r="G442" s="20"/>
    </row>
    <row r="443" spans="6:7" x14ac:dyDescent="0.25">
      <c r="F443" s="20"/>
      <c r="G443" s="20"/>
    </row>
    <row r="444" spans="6:7" x14ac:dyDescent="0.25">
      <c r="F444" s="20"/>
      <c r="G444" s="20"/>
    </row>
    <row r="445" spans="6:7" x14ac:dyDescent="0.25">
      <c r="F445" s="20"/>
      <c r="G445" s="20"/>
    </row>
    <row r="446" spans="6:7" x14ac:dyDescent="0.25">
      <c r="F446" s="20"/>
      <c r="G446" s="20"/>
    </row>
    <row r="447" spans="6:7" x14ac:dyDescent="0.25">
      <c r="F447" s="20"/>
      <c r="G447" s="20"/>
    </row>
    <row r="448" spans="6:7" x14ac:dyDescent="0.25">
      <c r="F448" s="20"/>
      <c r="G448" s="20"/>
    </row>
    <row r="449" spans="6:7" x14ac:dyDescent="0.25">
      <c r="F449" s="20"/>
      <c r="G449" s="20"/>
    </row>
    <row r="450" spans="6:7" x14ac:dyDescent="0.25">
      <c r="F450" s="20"/>
      <c r="G450" s="20"/>
    </row>
    <row r="451" spans="6:7" x14ac:dyDescent="0.25">
      <c r="F451" s="20"/>
      <c r="G451" s="20"/>
    </row>
    <row r="452" spans="6:7" x14ac:dyDescent="0.25">
      <c r="F452" s="20"/>
      <c r="G452" s="20"/>
    </row>
    <row r="453" spans="6:7" x14ac:dyDescent="0.25">
      <c r="F453" s="20"/>
      <c r="G453" s="20"/>
    </row>
    <row r="454" spans="6:7" x14ac:dyDescent="0.25">
      <c r="F454" s="20"/>
      <c r="G454" s="20"/>
    </row>
    <row r="455" spans="6:7" x14ac:dyDescent="0.25">
      <c r="F455" s="20"/>
      <c r="G455" s="20"/>
    </row>
    <row r="456" spans="6:7" x14ac:dyDescent="0.25">
      <c r="F456" s="20"/>
      <c r="G456" s="20"/>
    </row>
    <row r="457" spans="6:7" x14ac:dyDescent="0.25">
      <c r="F457" s="20"/>
      <c r="G457" s="20"/>
    </row>
    <row r="458" spans="6:7" x14ac:dyDescent="0.25">
      <c r="F458" s="20"/>
      <c r="G458" s="20"/>
    </row>
    <row r="459" spans="6:7" x14ac:dyDescent="0.25">
      <c r="F459" s="20"/>
      <c r="G459" s="20"/>
    </row>
    <row r="460" spans="6:7" x14ac:dyDescent="0.25">
      <c r="F460" s="20"/>
      <c r="G460" s="20"/>
    </row>
    <row r="461" spans="6:7" x14ac:dyDescent="0.25">
      <c r="F461" s="20"/>
      <c r="G461" s="20"/>
    </row>
    <row r="462" spans="6:7" x14ac:dyDescent="0.25">
      <c r="F462" s="20"/>
      <c r="G462" s="20"/>
    </row>
    <row r="463" spans="6:7" x14ac:dyDescent="0.25">
      <c r="F463" s="20"/>
      <c r="G463" s="20"/>
    </row>
    <row r="464" spans="6:7" x14ac:dyDescent="0.25">
      <c r="F464" s="20"/>
      <c r="G464" s="20"/>
    </row>
    <row r="465" spans="6:7" x14ac:dyDescent="0.25">
      <c r="F465" s="20"/>
      <c r="G465" s="20"/>
    </row>
    <row r="466" spans="6:7" x14ac:dyDescent="0.25">
      <c r="F466" s="20"/>
      <c r="G466" s="20"/>
    </row>
    <row r="467" spans="6:7" x14ac:dyDescent="0.25">
      <c r="F467" s="20"/>
      <c r="G467" s="20"/>
    </row>
    <row r="468" spans="6:7" x14ac:dyDescent="0.25">
      <c r="F468" s="20"/>
      <c r="G468" s="20"/>
    </row>
    <row r="469" spans="6:7" x14ac:dyDescent="0.25">
      <c r="F469" s="20"/>
      <c r="G469" s="20"/>
    </row>
    <row r="470" spans="6:7" x14ac:dyDescent="0.25">
      <c r="F470" s="20"/>
      <c r="G470" s="20"/>
    </row>
    <row r="471" spans="6:7" x14ac:dyDescent="0.25">
      <c r="F471" s="20"/>
      <c r="G471" s="20"/>
    </row>
    <row r="472" spans="6:7" x14ac:dyDescent="0.25">
      <c r="F472" s="20"/>
      <c r="G472" s="20"/>
    </row>
    <row r="473" spans="6:7" x14ac:dyDescent="0.25">
      <c r="F473" s="20"/>
      <c r="G473" s="20"/>
    </row>
    <row r="474" spans="6:7" x14ac:dyDescent="0.25">
      <c r="F474" s="20"/>
      <c r="G474" s="20"/>
    </row>
    <row r="475" spans="6:7" x14ac:dyDescent="0.25">
      <c r="F475" s="20"/>
      <c r="G475" s="20"/>
    </row>
    <row r="476" spans="6:7" x14ac:dyDescent="0.25">
      <c r="F476" s="20"/>
      <c r="G476" s="20"/>
    </row>
    <row r="477" spans="6:7" x14ac:dyDescent="0.25">
      <c r="F477" s="20"/>
      <c r="G477" s="20"/>
    </row>
    <row r="478" spans="6:7" x14ac:dyDescent="0.25">
      <c r="F478" s="20"/>
      <c r="G478" s="20"/>
    </row>
    <row r="479" spans="6:7" x14ac:dyDescent="0.25">
      <c r="F479" s="20"/>
      <c r="G479" s="20"/>
    </row>
    <row r="480" spans="6:7" x14ac:dyDescent="0.25">
      <c r="F480" s="20"/>
      <c r="G480" s="20"/>
    </row>
    <row r="481" spans="6:7" x14ac:dyDescent="0.25">
      <c r="F481" s="20"/>
      <c r="G481" s="20"/>
    </row>
    <row r="482" spans="6:7" x14ac:dyDescent="0.25">
      <c r="F482" s="20"/>
      <c r="G482" s="20"/>
    </row>
    <row r="483" spans="6:7" x14ac:dyDescent="0.25">
      <c r="F483" s="20"/>
      <c r="G483" s="20"/>
    </row>
    <row r="484" spans="6:7" x14ac:dyDescent="0.25">
      <c r="F484" s="20"/>
      <c r="G484" s="20"/>
    </row>
    <row r="485" spans="6:7" x14ac:dyDescent="0.25">
      <c r="F485" s="20"/>
      <c r="G485" s="20"/>
    </row>
    <row r="486" spans="6:7" x14ac:dyDescent="0.25">
      <c r="F486" s="20"/>
      <c r="G486" s="20"/>
    </row>
    <row r="487" spans="6:7" x14ac:dyDescent="0.25">
      <c r="F487" s="20"/>
      <c r="G487" s="20"/>
    </row>
    <row r="488" spans="6:7" x14ac:dyDescent="0.25">
      <c r="F488" s="20"/>
      <c r="G488" s="20"/>
    </row>
    <row r="489" spans="6:7" x14ac:dyDescent="0.25">
      <c r="F489" s="20"/>
      <c r="G489" s="20"/>
    </row>
    <row r="490" spans="6:7" x14ac:dyDescent="0.25">
      <c r="F490" s="20"/>
      <c r="G490" s="20"/>
    </row>
    <row r="491" spans="6:7" x14ac:dyDescent="0.25">
      <c r="F491" s="20"/>
      <c r="G491" s="20"/>
    </row>
    <row r="492" spans="6:7" x14ac:dyDescent="0.25">
      <c r="F492" s="20"/>
      <c r="G492" s="20"/>
    </row>
    <row r="493" spans="6:7" x14ac:dyDescent="0.25">
      <c r="F493" s="20"/>
      <c r="G493" s="20"/>
    </row>
    <row r="494" spans="6:7" x14ac:dyDescent="0.25">
      <c r="F494" s="20"/>
      <c r="G494" s="20"/>
    </row>
    <row r="495" spans="6:7" x14ac:dyDescent="0.25">
      <c r="F495" s="20"/>
      <c r="G495" s="20"/>
    </row>
    <row r="496" spans="6:7" x14ac:dyDescent="0.25">
      <c r="F496" s="20"/>
      <c r="G496" s="20"/>
    </row>
    <row r="497" spans="6:7" x14ac:dyDescent="0.25">
      <c r="F497" s="20"/>
      <c r="G497" s="20"/>
    </row>
    <row r="498" spans="6:7" x14ac:dyDescent="0.25">
      <c r="F498" s="20"/>
      <c r="G498" s="20"/>
    </row>
    <row r="499" spans="6:7" x14ac:dyDescent="0.25">
      <c r="F499" s="20"/>
      <c r="G499" s="20"/>
    </row>
    <row r="500" spans="6:7" x14ac:dyDescent="0.25">
      <c r="F500" s="20"/>
      <c r="G500" s="20"/>
    </row>
    <row r="501" spans="6:7" x14ac:dyDescent="0.25">
      <c r="F501" s="20"/>
      <c r="G501" s="20"/>
    </row>
    <row r="502" spans="6:7" x14ac:dyDescent="0.25">
      <c r="F502" s="20"/>
      <c r="G502" s="20"/>
    </row>
    <row r="503" spans="6:7" x14ac:dyDescent="0.25">
      <c r="F503" s="20"/>
      <c r="G503" s="20"/>
    </row>
    <row r="504" spans="6:7" x14ac:dyDescent="0.25">
      <c r="F504" s="20"/>
      <c r="G504" s="20"/>
    </row>
    <row r="505" spans="6:7" x14ac:dyDescent="0.25">
      <c r="F505" s="20"/>
      <c r="G505" s="20"/>
    </row>
    <row r="506" spans="6:7" x14ac:dyDescent="0.25">
      <c r="F506" s="20"/>
      <c r="G506" s="20"/>
    </row>
    <row r="507" spans="6:7" x14ac:dyDescent="0.25">
      <c r="F507" s="20"/>
      <c r="G507" s="20"/>
    </row>
    <row r="508" spans="6:7" x14ac:dyDescent="0.25">
      <c r="F508" s="20"/>
      <c r="G508" s="20"/>
    </row>
    <row r="509" spans="6:7" x14ac:dyDescent="0.25">
      <c r="F509" s="20"/>
      <c r="G509" s="20"/>
    </row>
    <row r="510" spans="6:7" x14ac:dyDescent="0.25">
      <c r="F510" s="20"/>
      <c r="G510" s="20"/>
    </row>
    <row r="511" spans="6:7" x14ac:dyDescent="0.25">
      <c r="F511" s="20"/>
      <c r="G511" s="20"/>
    </row>
    <row r="512" spans="6:7" x14ac:dyDescent="0.25">
      <c r="F512" s="20"/>
      <c r="G512" s="20"/>
    </row>
    <row r="513" spans="6:7" x14ac:dyDescent="0.25">
      <c r="F513" s="20"/>
      <c r="G513" s="20"/>
    </row>
    <row r="514" spans="6:7" x14ac:dyDescent="0.25">
      <c r="F514" s="20"/>
      <c r="G514" s="20"/>
    </row>
    <row r="515" spans="6:7" x14ac:dyDescent="0.25">
      <c r="F515" s="20"/>
      <c r="G515" s="20"/>
    </row>
    <row r="516" spans="6:7" x14ac:dyDescent="0.25">
      <c r="F516" s="20"/>
      <c r="G516" s="20"/>
    </row>
    <row r="517" spans="6:7" x14ac:dyDescent="0.25">
      <c r="F517" s="20"/>
      <c r="G517" s="20"/>
    </row>
    <row r="518" spans="6:7" x14ac:dyDescent="0.25">
      <c r="F518" s="20"/>
      <c r="G518" s="20"/>
    </row>
    <row r="519" spans="6:7" x14ac:dyDescent="0.25">
      <c r="F519" s="20"/>
      <c r="G519" s="20"/>
    </row>
    <row r="520" spans="6:7" x14ac:dyDescent="0.25">
      <c r="F520" s="20"/>
      <c r="G520" s="20"/>
    </row>
    <row r="521" spans="6:7" x14ac:dyDescent="0.25">
      <c r="F521" s="20"/>
      <c r="G521" s="20"/>
    </row>
    <row r="522" spans="6:7" x14ac:dyDescent="0.25">
      <c r="F522" s="20"/>
      <c r="G522" s="20"/>
    </row>
    <row r="523" spans="6:7" x14ac:dyDescent="0.25">
      <c r="F523" s="20"/>
      <c r="G523" s="20"/>
    </row>
    <row r="524" spans="6:7" x14ac:dyDescent="0.25">
      <c r="F524" s="20"/>
      <c r="G524" s="20"/>
    </row>
    <row r="525" spans="6:7" x14ac:dyDescent="0.25">
      <c r="F525" s="20"/>
      <c r="G525" s="20"/>
    </row>
    <row r="526" spans="6:7" x14ac:dyDescent="0.25">
      <c r="F526" s="20"/>
      <c r="G526" s="20"/>
    </row>
    <row r="527" spans="6:7" x14ac:dyDescent="0.25">
      <c r="F527" s="20"/>
      <c r="G527" s="20"/>
    </row>
    <row r="528" spans="6:7" x14ac:dyDescent="0.25">
      <c r="F528" s="20"/>
      <c r="G528" s="20"/>
    </row>
    <row r="529" spans="6:7" x14ac:dyDescent="0.25">
      <c r="F529" s="20"/>
      <c r="G529" s="20"/>
    </row>
    <row r="530" spans="6:7" x14ac:dyDescent="0.25">
      <c r="F530" s="20"/>
      <c r="G530" s="20"/>
    </row>
    <row r="531" spans="6:7" x14ac:dyDescent="0.25">
      <c r="F531" s="20"/>
      <c r="G531" s="20"/>
    </row>
    <row r="532" spans="6:7" x14ac:dyDescent="0.25">
      <c r="F532" s="20"/>
      <c r="G532" s="20"/>
    </row>
    <row r="533" spans="6:7" x14ac:dyDescent="0.25">
      <c r="F533" s="20"/>
      <c r="G533" s="20"/>
    </row>
    <row r="534" spans="6:7" x14ac:dyDescent="0.25">
      <c r="F534" s="20"/>
      <c r="G534" s="20"/>
    </row>
    <row r="535" spans="6:7" x14ac:dyDescent="0.25">
      <c r="F535" s="20"/>
      <c r="G535" s="20"/>
    </row>
    <row r="536" spans="6:7" x14ac:dyDescent="0.25">
      <c r="F536" s="20"/>
      <c r="G536" s="20"/>
    </row>
    <row r="537" spans="6:7" x14ac:dyDescent="0.25">
      <c r="F537" s="20"/>
      <c r="G537" s="20"/>
    </row>
    <row r="538" spans="6:7" x14ac:dyDescent="0.25">
      <c r="F538" s="20"/>
      <c r="G538" s="20"/>
    </row>
    <row r="539" spans="6:7" x14ac:dyDescent="0.25">
      <c r="F539" s="20"/>
      <c r="G539" s="20"/>
    </row>
    <row r="540" spans="6:7" x14ac:dyDescent="0.25">
      <c r="F540" s="20"/>
      <c r="G540" s="20"/>
    </row>
    <row r="541" spans="6:7" x14ac:dyDescent="0.25">
      <c r="F541" s="20"/>
      <c r="G541" s="20"/>
    </row>
    <row r="542" spans="6:7" x14ac:dyDescent="0.25">
      <c r="F542" s="20"/>
      <c r="G542" s="20"/>
    </row>
    <row r="543" spans="6:7" x14ac:dyDescent="0.25">
      <c r="F543" s="20"/>
      <c r="G543" s="20"/>
    </row>
    <row r="544" spans="6:7" x14ac:dyDescent="0.25">
      <c r="F544" s="20"/>
      <c r="G544" s="20"/>
    </row>
    <row r="545" spans="6:7" x14ac:dyDescent="0.25">
      <c r="F545" s="20"/>
      <c r="G545" s="20"/>
    </row>
    <row r="546" spans="6:7" x14ac:dyDescent="0.25">
      <c r="F546" s="20"/>
      <c r="G546" s="20"/>
    </row>
    <row r="547" spans="6:7" x14ac:dyDescent="0.25">
      <c r="F547" s="20"/>
      <c r="G547" s="20"/>
    </row>
    <row r="548" spans="6:7" x14ac:dyDescent="0.25">
      <c r="F548" s="20"/>
      <c r="G548" s="20"/>
    </row>
    <row r="549" spans="6:7" x14ac:dyDescent="0.25">
      <c r="F549" s="20"/>
      <c r="G549" s="20"/>
    </row>
    <row r="550" spans="6:7" x14ac:dyDescent="0.25">
      <c r="F550" s="20"/>
      <c r="G550" s="20"/>
    </row>
    <row r="551" spans="6:7" x14ac:dyDescent="0.25">
      <c r="F551" s="20"/>
      <c r="G551" s="20"/>
    </row>
    <row r="552" spans="6:7" x14ac:dyDescent="0.25">
      <c r="F552" s="20"/>
      <c r="G552" s="20"/>
    </row>
    <row r="553" spans="6:7" x14ac:dyDescent="0.25">
      <c r="F553" s="20"/>
      <c r="G553" s="20"/>
    </row>
    <row r="554" spans="6:7" x14ac:dyDescent="0.25">
      <c r="F554" s="20"/>
      <c r="G554" s="20"/>
    </row>
    <row r="555" spans="6:7" x14ac:dyDescent="0.25">
      <c r="F555" s="20"/>
      <c r="G555" s="20"/>
    </row>
    <row r="556" spans="6:7" x14ac:dyDescent="0.25">
      <c r="F556" s="20"/>
      <c r="G556" s="20"/>
    </row>
    <row r="557" spans="6:7" x14ac:dyDescent="0.25">
      <c r="F557" s="20"/>
      <c r="G557" s="20"/>
    </row>
    <row r="558" spans="6:7" x14ac:dyDescent="0.25">
      <c r="F558" s="20"/>
      <c r="G558" s="20"/>
    </row>
    <row r="559" spans="6:7" x14ac:dyDescent="0.25">
      <c r="F559" s="20"/>
      <c r="G559" s="20"/>
    </row>
    <row r="560" spans="6:7" x14ac:dyDescent="0.25">
      <c r="F560" s="20"/>
      <c r="G560" s="20"/>
    </row>
    <row r="561" spans="6:7" x14ac:dyDescent="0.25">
      <c r="F561" s="20"/>
      <c r="G561" s="20"/>
    </row>
    <row r="562" spans="6:7" x14ac:dyDescent="0.25">
      <c r="F562" s="20"/>
      <c r="G562" s="20"/>
    </row>
    <row r="563" spans="6:7" x14ac:dyDescent="0.25">
      <c r="F563" s="20"/>
      <c r="G563" s="20"/>
    </row>
    <row r="564" spans="6:7" x14ac:dyDescent="0.25">
      <c r="F564" s="20"/>
      <c r="G564" s="20"/>
    </row>
    <row r="565" spans="6:7" x14ac:dyDescent="0.25">
      <c r="F565" s="20"/>
      <c r="G565" s="20"/>
    </row>
    <row r="566" spans="6:7" x14ac:dyDescent="0.25">
      <c r="F566" s="20"/>
      <c r="G566" s="20"/>
    </row>
    <row r="567" spans="6:7" x14ac:dyDescent="0.25">
      <c r="F567" s="20"/>
      <c r="G567" s="20"/>
    </row>
    <row r="568" spans="6:7" x14ac:dyDescent="0.25">
      <c r="F568" s="20"/>
      <c r="G568" s="20"/>
    </row>
    <row r="569" spans="6:7" x14ac:dyDescent="0.25">
      <c r="F569" s="20"/>
      <c r="G569" s="20"/>
    </row>
    <row r="570" spans="6:7" x14ac:dyDescent="0.25">
      <c r="F570" s="20"/>
      <c r="G570" s="20"/>
    </row>
    <row r="571" spans="6:7" x14ac:dyDescent="0.25">
      <c r="F571" s="20"/>
      <c r="G571" s="20"/>
    </row>
    <row r="572" spans="6:7" x14ac:dyDescent="0.25">
      <c r="F572" s="20"/>
      <c r="G572" s="20"/>
    </row>
    <row r="573" spans="6:7" x14ac:dyDescent="0.25">
      <c r="F573" s="20"/>
      <c r="G573" s="20"/>
    </row>
    <row r="574" spans="6:7" x14ac:dyDescent="0.25">
      <c r="F574" s="20"/>
      <c r="G574" s="20"/>
    </row>
    <row r="575" spans="6:7" x14ac:dyDescent="0.25">
      <c r="F575" s="20"/>
      <c r="G575" s="20"/>
    </row>
    <row r="576" spans="6:7" x14ac:dyDescent="0.25">
      <c r="F576" s="20"/>
      <c r="G576" s="20"/>
    </row>
    <row r="577" spans="6:7" x14ac:dyDescent="0.25">
      <c r="F577" s="20"/>
      <c r="G577" s="20"/>
    </row>
    <row r="578" spans="6:7" x14ac:dyDescent="0.25">
      <c r="F578" s="20"/>
      <c r="G578" s="20"/>
    </row>
    <row r="579" spans="6:7" x14ac:dyDescent="0.25">
      <c r="F579" s="20"/>
      <c r="G579" s="20"/>
    </row>
    <row r="580" spans="6:7" x14ac:dyDescent="0.25">
      <c r="F580" s="20"/>
      <c r="G580" s="20"/>
    </row>
    <row r="581" spans="6:7" x14ac:dyDescent="0.25">
      <c r="F581" s="20"/>
      <c r="G581" s="20"/>
    </row>
    <row r="582" spans="6:7" x14ac:dyDescent="0.25">
      <c r="F582" s="20"/>
      <c r="G582" s="20"/>
    </row>
    <row r="583" spans="6:7" x14ac:dyDescent="0.25">
      <c r="F583" s="20"/>
      <c r="G583" s="20"/>
    </row>
    <row r="584" spans="6:7" x14ac:dyDescent="0.25">
      <c r="F584" s="20"/>
      <c r="G584" s="20"/>
    </row>
    <row r="585" spans="6:7" x14ac:dyDescent="0.25">
      <c r="F585" s="20"/>
      <c r="G585" s="20"/>
    </row>
    <row r="586" spans="6:7" x14ac:dyDescent="0.25">
      <c r="F586" s="20"/>
      <c r="G586" s="20"/>
    </row>
    <row r="587" spans="6:7" x14ac:dyDescent="0.25">
      <c r="F587" s="20"/>
      <c r="G587" s="20"/>
    </row>
    <row r="588" spans="6:7" x14ac:dyDescent="0.25">
      <c r="F588" s="20"/>
      <c r="G588" s="20"/>
    </row>
    <row r="589" spans="6:7" x14ac:dyDescent="0.25">
      <c r="F589" s="20"/>
      <c r="G589" s="20"/>
    </row>
    <row r="590" spans="6:7" x14ac:dyDescent="0.25">
      <c r="F590" s="20"/>
      <c r="G590" s="20"/>
    </row>
    <row r="591" spans="6:7" x14ac:dyDescent="0.25">
      <c r="F591" s="20"/>
      <c r="G591" s="20"/>
    </row>
    <row r="592" spans="6:7" x14ac:dyDescent="0.25">
      <c r="F592" s="20"/>
      <c r="G592" s="20"/>
    </row>
    <row r="593" spans="6:7" x14ac:dyDescent="0.25">
      <c r="F593" s="20"/>
      <c r="G593" s="20"/>
    </row>
    <row r="594" spans="6:7" x14ac:dyDescent="0.25">
      <c r="F594" s="20"/>
      <c r="G594" s="20"/>
    </row>
    <row r="595" spans="6:7" x14ac:dyDescent="0.25">
      <c r="F595" s="20"/>
      <c r="G595" s="20"/>
    </row>
    <row r="596" spans="6:7" x14ac:dyDescent="0.25">
      <c r="F596" s="20"/>
      <c r="G596" s="20"/>
    </row>
    <row r="597" spans="6:7" x14ac:dyDescent="0.25">
      <c r="F597" s="20"/>
      <c r="G597" s="20"/>
    </row>
    <row r="598" spans="6:7" x14ac:dyDescent="0.25">
      <c r="F598" s="20"/>
      <c r="G598" s="20"/>
    </row>
    <row r="599" spans="6:7" x14ac:dyDescent="0.25">
      <c r="F599" s="20"/>
      <c r="G599" s="20"/>
    </row>
    <row r="600" spans="6:7" x14ac:dyDescent="0.25">
      <c r="F600" s="20"/>
      <c r="G600" s="20"/>
    </row>
    <row r="601" spans="6:7" x14ac:dyDescent="0.25">
      <c r="F601" s="20"/>
      <c r="G601" s="20"/>
    </row>
    <row r="602" spans="6:7" x14ac:dyDescent="0.25">
      <c r="F602" s="20"/>
      <c r="G602" s="20"/>
    </row>
    <row r="603" spans="6:7" x14ac:dyDescent="0.25">
      <c r="F603" s="20"/>
      <c r="G603" s="20"/>
    </row>
    <row r="604" spans="6:7" x14ac:dyDescent="0.25">
      <c r="F604" s="20"/>
      <c r="G604" s="20"/>
    </row>
    <row r="605" spans="6:7" x14ac:dyDescent="0.25">
      <c r="F605" s="20"/>
      <c r="G605" s="20"/>
    </row>
    <row r="606" spans="6:7" x14ac:dyDescent="0.25">
      <c r="F606" s="20"/>
      <c r="G606" s="20"/>
    </row>
    <row r="607" spans="6:7" x14ac:dyDescent="0.25">
      <c r="F607" s="20"/>
      <c r="G607" s="20"/>
    </row>
    <row r="608" spans="6:7" x14ac:dyDescent="0.25">
      <c r="F608" s="20"/>
      <c r="G608" s="20"/>
    </row>
    <row r="609" spans="6:7" x14ac:dyDescent="0.25">
      <c r="F609" s="20"/>
      <c r="G609" s="20"/>
    </row>
    <row r="610" spans="6:7" x14ac:dyDescent="0.25">
      <c r="F610" s="20"/>
      <c r="G610" s="20"/>
    </row>
    <row r="611" spans="6:7" x14ac:dyDescent="0.25">
      <c r="F611" s="20"/>
      <c r="G611" s="20"/>
    </row>
    <row r="612" spans="6:7" x14ac:dyDescent="0.25">
      <c r="F612" s="20"/>
      <c r="G612" s="20"/>
    </row>
    <row r="613" spans="6:7" x14ac:dyDescent="0.25">
      <c r="F613" s="20"/>
      <c r="G613" s="20"/>
    </row>
    <row r="614" spans="6:7" x14ac:dyDescent="0.25">
      <c r="F614" s="20"/>
      <c r="G614" s="20"/>
    </row>
    <row r="615" spans="6:7" x14ac:dyDescent="0.25">
      <c r="F615" s="20"/>
      <c r="G615" s="20"/>
    </row>
    <row r="616" spans="6:7" x14ac:dyDescent="0.25">
      <c r="F616" s="20"/>
      <c r="G616" s="20"/>
    </row>
    <row r="617" spans="6:7" x14ac:dyDescent="0.25">
      <c r="F617" s="20"/>
      <c r="G617" s="20"/>
    </row>
    <row r="618" spans="6:7" x14ac:dyDescent="0.25">
      <c r="F618" s="20"/>
      <c r="G618" s="20"/>
    </row>
    <row r="619" spans="6:7" x14ac:dyDescent="0.25">
      <c r="F619" s="20"/>
      <c r="G619" s="20"/>
    </row>
    <row r="620" spans="6:7" x14ac:dyDescent="0.25">
      <c r="F620" s="20"/>
      <c r="G620" s="20"/>
    </row>
    <row r="621" spans="6:7" x14ac:dyDescent="0.25">
      <c r="F621" s="20"/>
      <c r="G621" s="20"/>
    </row>
    <row r="622" spans="6:7" x14ac:dyDescent="0.25">
      <c r="F622" s="20"/>
      <c r="G622" s="20"/>
    </row>
    <row r="623" spans="6:7" x14ac:dyDescent="0.25">
      <c r="F623" s="20"/>
      <c r="G623" s="20"/>
    </row>
    <row r="624" spans="6:7" x14ac:dyDescent="0.25">
      <c r="F624" s="20"/>
      <c r="G624" s="20"/>
    </row>
    <row r="625" spans="6:7" x14ac:dyDescent="0.25">
      <c r="F625" s="20"/>
      <c r="G625" s="20"/>
    </row>
    <row r="626" spans="6:7" x14ac:dyDescent="0.25">
      <c r="F626" s="20"/>
      <c r="G626" s="20"/>
    </row>
    <row r="627" spans="6:7" x14ac:dyDescent="0.25">
      <c r="F627" s="20"/>
      <c r="G627" s="20"/>
    </row>
    <row r="628" spans="6:7" x14ac:dyDescent="0.25">
      <c r="F628" s="20"/>
      <c r="G628" s="20"/>
    </row>
    <row r="629" spans="6:7" x14ac:dyDescent="0.25">
      <c r="F629" s="20"/>
      <c r="G629" s="20"/>
    </row>
    <row r="630" spans="6:7" x14ac:dyDescent="0.25">
      <c r="F630" s="20"/>
      <c r="G630" s="20"/>
    </row>
    <row r="631" spans="6:7" x14ac:dyDescent="0.25">
      <c r="F631" s="20"/>
      <c r="G631" s="20"/>
    </row>
    <row r="632" spans="6:7" x14ac:dyDescent="0.25">
      <c r="F632" s="20"/>
      <c r="G632" s="20"/>
    </row>
    <row r="633" spans="6:7" x14ac:dyDescent="0.25">
      <c r="F633" s="20"/>
      <c r="G633" s="20"/>
    </row>
    <row r="634" spans="6:7" x14ac:dyDescent="0.25">
      <c r="F634" s="20"/>
      <c r="G634" s="20"/>
    </row>
    <row r="635" spans="6:7" x14ac:dyDescent="0.25">
      <c r="F635" s="20"/>
      <c r="G635" s="20"/>
    </row>
    <row r="636" spans="6:7" x14ac:dyDescent="0.25">
      <c r="F636" s="20"/>
      <c r="G636" s="20"/>
    </row>
    <row r="637" spans="6:7" x14ac:dyDescent="0.25">
      <c r="F637" s="20"/>
      <c r="G637" s="20"/>
    </row>
    <row r="638" spans="6:7" x14ac:dyDescent="0.25">
      <c r="F638" s="20"/>
      <c r="G638" s="20"/>
    </row>
    <row r="639" spans="6:7" x14ac:dyDescent="0.25">
      <c r="F639" s="20"/>
      <c r="G639" s="20"/>
    </row>
    <row r="640" spans="6:7" x14ac:dyDescent="0.25">
      <c r="F640" s="20"/>
      <c r="G640" s="20"/>
    </row>
    <row r="641" spans="6:7" x14ac:dyDescent="0.25">
      <c r="F641" s="20"/>
      <c r="G641" s="20"/>
    </row>
    <row r="642" spans="6:7" x14ac:dyDescent="0.25">
      <c r="F642" s="20"/>
      <c r="G642" s="20"/>
    </row>
    <row r="643" spans="6:7" x14ac:dyDescent="0.25">
      <c r="F643" s="20"/>
      <c r="G643" s="20"/>
    </row>
    <row r="644" spans="6:7" x14ac:dyDescent="0.25">
      <c r="F644" s="20"/>
      <c r="G644" s="20"/>
    </row>
    <row r="645" spans="6:7" x14ac:dyDescent="0.25">
      <c r="F645" s="20"/>
      <c r="G645" s="20"/>
    </row>
    <row r="646" spans="6:7" x14ac:dyDescent="0.25">
      <c r="F646" s="20"/>
      <c r="G646" s="20"/>
    </row>
    <row r="647" spans="6:7" x14ac:dyDescent="0.25">
      <c r="F647" s="20"/>
      <c r="G647" s="20"/>
    </row>
    <row r="648" spans="6:7" x14ac:dyDescent="0.25">
      <c r="F648" s="20"/>
      <c r="G648" s="20"/>
    </row>
    <row r="649" spans="6:7" x14ac:dyDescent="0.25">
      <c r="F649" s="20"/>
      <c r="G649" s="20"/>
    </row>
    <row r="650" spans="6:7" x14ac:dyDescent="0.25">
      <c r="F650" s="20"/>
      <c r="G650" s="20"/>
    </row>
    <row r="651" spans="6:7" x14ac:dyDescent="0.25">
      <c r="F651" s="20"/>
      <c r="G651" s="20"/>
    </row>
    <row r="652" spans="6:7" x14ac:dyDescent="0.25">
      <c r="F652" s="20"/>
      <c r="G652" s="20"/>
    </row>
    <row r="653" spans="6:7" x14ac:dyDescent="0.25">
      <c r="F653" s="20"/>
      <c r="G653" s="20"/>
    </row>
    <row r="654" spans="6:7" x14ac:dyDescent="0.25">
      <c r="F654" s="20"/>
      <c r="G654" s="20"/>
    </row>
    <row r="655" spans="6:7" x14ac:dyDescent="0.25">
      <c r="F655" s="20"/>
      <c r="G655" s="20"/>
    </row>
    <row r="656" spans="6:7" x14ac:dyDescent="0.25">
      <c r="F656" s="20"/>
      <c r="G656" s="20"/>
    </row>
    <row r="657" spans="6:7" x14ac:dyDescent="0.25">
      <c r="F657" s="20"/>
      <c r="G657" s="20"/>
    </row>
    <row r="658" spans="6:7" x14ac:dyDescent="0.25">
      <c r="F658" s="20"/>
      <c r="G658" s="20"/>
    </row>
    <row r="659" spans="6:7" x14ac:dyDescent="0.25">
      <c r="F659" s="20"/>
      <c r="G659" s="20"/>
    </row>
    <row r="660" spans="6:7" x14ac:dyDescent="0.25">
      <c r="F660" s="20"/>
      <c r="G660" s="20"/>
    </row>
    <row r="661" spans="6:7" x14ac:dyDescent="0.25">
      <c r="F661" s="20"/>
      <c r="G661" s="20"/>
    </row>
    <row r="662" spans="6:7" x14ac:dyDescent="0.25">
      <c r="F662" s="20"/>
      <c r="G662" s="20"/>
    </row>
    <row r="663" spans="6:7" x14ac:dyDescent="0.25">
      <c r="F663" s="20"/>
      <c r="G663" s="20"/>
    </row>
    <row r="664" spans="6:7" x14ac:dyDescent="0.25">
      <c r="F664" s="20"/>
      <c r="G664" s="20"/>
    </row>
    <row r="665" spans="6:7" x14ac:dyDescent="0.25">
      <c r="F665" s="20"/>
      <c r="G665" s="20"/>
    </row>
    <row r="666" spans="6:7" x14ac:dyDescent="0.25">
      <c r="F666" s="20"/>
      <c r="G666" s="20"/>
    </row>
    <row r="667" spans="6:7" x14ac:dyDescent="0.25">
      <c r="F667" s="20"/>
      <c r="G667" s="20"/>
    </row>
    <row r="668" spans="6:7" x14ac:dyDescent="0.25">
      <c r="F668" s="20"/>
      <c r="G668" s="20"/>
    </row>
    <row r="669" spans="6:7" x14ac:dyDescent="0.25">
      <c r="F669" s="20"/>
      <c r="G669" s="20"/>
    </row>
    <row r="670" spans="6:7" x14ac:dyDescent="0.25">
      <c r="F670" s="20"/>
      <c r="G670" s="20"/>
    </row>
    <row r="671" spans="6:7" x14ac:dyDescent="0.25">
      <c r="F671" s="20"/>
      <c r="G671" s="20"/>
    </row>
    <row r="672" spans="6:7" x14ac:dyDescent="0.25">
      <c r="F672" s="20"/>
      <c r="G672" s="20"/>
    </row>
    <row r="673" spans="6:7" x14ac:dyDescent="0.25">
      <c r="F673" s="20"/>
      <c r="G673" s="20"/>
    </row>
    <row r="674" spans="6:7" x14ac:dyDescent="0.25">
      <c r="F674" s="20"/>
      <c r="G674" s="20"/>
    </row>
    <row r="675" spans="6:7" x14ac:dyDescent="0.25">
      <c r="F675" s="20"/>
      <c r="G675" s="20"/>
    </row>
    <row r="676" spans="6:7" x14ac:dyDescent="0.25">
      <c r="F676" s="20"/>
      <c r="G676" s="20"/>
    </row>
    <row r="677" spans="6:7" x14ac:dyDescent="0.25">
      <c r="F677" s="20"/>
      <c r="G677" s="20"/>
    </row>
    <row r="678" spans="6:7" x14ac:dyDescent="0.25">
      <c r="F678" s="20"/>
      <c r="G678" s="20"/>
    </row>
    <row r="679" spans="6:7" x14ac:dyDescent="0.25">
      <c r="F679" s="20"/>
      <c r="G679" s="20"/>
    </row>
    <row r="680" spans="6:7" x14ac:dyDescent="0.25">
      <c r="F680" s="20"/>
      <c r="G680" s="20"/>
    </row>
    <row r="681" spans="6:7" x14ac:dyDescent="0.25">
      <c r="F681" s="20"/>
      <c r="G681" s="20"/>
    </row>
    <row r="682" spans="6:7" x14ac:dyDescent="0.25">
      <c r="F682" s="20"/>
      <c r="G682" s="20"/>
    </row>
    <row r="683" spans="6:7" x14ac:dyDescent="0.25">
      <c r="F683" s="20"/>
      <c r="G683" s="20"/>
    </row>
    <row r="684" spans="6:7" x14ac:dyDescent="0.25">
      <c r="F684" s="20"/>
      <c r="G684" s="20"/>
    </row>
    <row r="685" spans="6:7" x14ac:dyDescent="0.25">
      <c r="F685" s="20"/>
      <c r="G685" s="20"/>
    </row>
    <row r="686" spans="6:7" x14ac:dyDescent="0.25">
      <c r="F686" s="20"/>
      <c r="G686" s="20"/>
    </row>
    <row r="687" spans="6:7" x14ac:dyDescent="0.25">
      <c r="F687" s="20"/>
      <c r="G687" s="20"/>
    </row>
    <row r="688" spans="6:7" x14ac:dyDescent="0.25">
      <c r="F688" s="20"/>
      <c r="G688" s="20"/>
    </row>
    <row r="689" spans="6:7" x14ac:dyDescent="0.25">
      <c r="F689" s="20"/>
      <c r="G689" s="20"/>
    </row>
    <row r="690" spans="6:7" x14ac:dyDescent="0.25">
      <c r="F690" s="20"/>
      <c r="G690" s="20"/>
    </row>
    <row r="691" spans="6:7" x14ac:dyDescent="0.25">
      <c r="F691" s="20"/>
      <c r="G691" s="20"/>
    </row>
    <row r="692" spans="6:7" x14ac:dyDescent="0.25">
      <c r="F692" s="20"/>
      <c r="G692" s="20"/>
    </row>
    <row r="693" spans="6:7" x14ac:dyDescent="0.25">
      <c r="F693" s="20"/>
      <c r="G693" s="20"/>
    </row>
    <row r="694" spans="6:7" x14ac:dyDescent="0.25">
      <c r="F694" s="20"/>
      <c r="G694" s="20"/>
    </row>
    <row r="695" spans="6:7" x14ac:dyDescent="0.25">
      <c r="F695" s="20"/>
      <c r="G695" s="20"/>
    </row>
    <row r="696" spans="6:7" x14ac:dyDescent="0.25">
      <c r="F696" s="20"/>
      <c r="G696" s="20"/>
    </row>
    <row r="697" spans="6:7" x14ac:dyDescent="0.25">
      <c r="F697" s="20"/>
      <c r="G697" s="20"/>
    </row>
    <row r="698" spans="6:7" x14ac:dyDescent="0.25">
      <c r="F698" s="20"/>
      <c r="G698" s="20"/>
    </row>
    <row r="699" spans="6:7" x14ac:dyDescent="0.25">
      <c r="F699" s="20"/>
      <c r="G699" s="20"/>
    </row>
    <row r="700" spans="6:7" x14ac:dyDescent="0.25">
      <c r="F700" s="20"/>
      <c r="G700" s="20"/>
    </row>
    <row r="701" spans="6:7" x14ac:dyDescent="0.25">
      <c r="F701" s="20"/>
      <c r="G701" s="20"/>
    </row>
    <row r="702" spans="6:7" x14ac:dyDescent="0.25">
      <c r="F702" s="20"/>
      <c r="G702" s="20"/>
    </row>
    <row r="703" spans="6:7" x14ac:dyDescent="0.25">
      <c r="F703" s="20"/>
      <c r="G703" s="20"/>
    </row>
    <row r="704" spans="6:7" x14ac:dyDescent="0.25">
      <c r="F704" s="20"/>
      <c r="G704" s="20"/>
    </row>
    <row r="705" spans="6:7" x14ac:dyDescent="0.25">
      <c r="F705" s="20"/>
      <c r="G705" s="20"/>
    </row>
    <row r="706" spans="6:7" x14ac:dyDescent="0.25">
      <c r="F706" s="20"/>
      <c r="G706" s="20"/>
    </row>
    <row r="707" spans="6:7" x14ac:dyDescent="0.25">
      <c r="F707" s="20"/>
      <c r="G707" s="20"/>
    </row>
    <row r="708" spans="6:7" x14ac:dyDescent="0.25">
      <c r="F708" s="20"/>
      <c r="G708" s="20"/>
    </row>
    <row r="709" spans="6:7" x14ac:dyDescent="0.25">
      <c r="F709" s="20"/>
      <c r="G709" s="20"/>
    </row>
    <row r="710" spans="6:7" x14ac:dyDescent="0.25">
      <c r="F710" s="20"/>
      <c r="G710" s="20"/>
    </row>
    <row r="711" spans="6:7" x14ac:dyDescent="0.25">
      <c r="F711" s="20"/>
      <c r="G711" s="20"/>
    </row>
    <row r="712" spans="6:7" x14ac:dyDescent="0.25">
      <c r="F712" s="20"/>
      <c r="G712" s="20"/>
    </row>
    <row r="713" spans="6:7" x14ac:dyDescent="0.25">
      <c r="F713" s="20"/>
      <c r="G713" s="20"/>
    </row>
    <row r="714" spans="6:7" x14ac:dyDescent="0.25">
      <c r="F714" s="20"/>
      <c r="G714" s="20"/>
    </row>
    <row r="715" spans="6:7" x14ac:dyDescent="0.25">
      <c r="F715" s="20"/>
      <c r="G715" s="20"/>
    </row>
    <row r="716" spans="6:7" x14ac:dyDescent="0.25">
      <c r="F716" s="20"/>
      <c r="G716" s="20"/>
    </row>
    <row r="717" spans="6:7" x14ac:dyDescent="0.25">
      <c r="F717" s="20"/>
      <c r="G717" s="20"/>
    </row>
    <row r="718" spans="6:7" x14ac:dyDescent="0.25">
      <c r="F718" s="20"/>
      <c r="G718" s="20"/>
    </row>
    <row r="719" spans="6:7" x14ac:dyDescent="0.25">
      <c r="F719" s="20"/>
      <c r="G719" s="20"/>
    </row>
    <row r="720" spans="6:7" x14ac:dyDescent="0.25">
      <c r="F720" s="20"/>
      <c r="G720" s="20"/>
    </row>
    <row r="721" spans="6:7" x14ac:dyDescent="0.25">
      <c r="F721" s="20"/>
      <c r="G721" s="20"/>
    </row>
    <row r="722" spans="6:7" x14ac:dyDescent="0.25">
      <c r="F722" s="20"/>
      <c r="G722" s="20"/>
    </row>
    <row r="723" spans="6:7" x14ac:dyDescent="0.25">
      <c r="F723" s="20"/>
      <c r="G723" s="20"/>
    </row>
    <row r="724" spans="6:7" x14ac:dyDescent="0.25">
      <c r="F724" s="20"/>
      <c r="G724" s="20"/>
    </row>
    <row r="725" spans="6:7" x14ac:dyDescent="0.25">
      <c r="F725" s="20"/>
      <c r="G725" s="20"/>
    </row>
    <row r="726" spans="6:7" x14ac:dyDescent="0.25">
      <c r="F726" s="20"/>
      <c r="G726" s="20"/>
    </row>
    <row r="727" spans="6:7" x14ac:dyDescent="0.25">
      <c r="F727" s="20"/>
      <c r="G727" s="20"/>
    </row>
    <row r="728" spans="6:7" x14ac:dyDescent="0.25">
      <c r="F728" s="20"/>
      <c r="G728" s="20"/>
    </row>
    <row r="729" spans="6:7" x14ac:dyDescent="0.25">
      <c r="F729" s="20"/>
      <c r="G729" s="20"/>
    </row>
    <row r="730" spans="6:7" x14ac:dyDescent="0.25">
      <c r="F730" s="20"/>
      <c r="G730" s="20"/>
    </row>
    <row r="731" spans="6:7" x14ac:dyDescent="0.25">
      <c r="F731" s="20"/>
      <c r="G731" s="20"/>
    </row>
    <row r="732" spans="6:7" x14ac:dyDescent="0.25">
      <c r="F732" s="20"/>
      <c r="G732" s="20"/>
    </row>
    <row r="733" spans="6:7" x14ac:dyDescent="0.25">
      <c r="F733" s="20"/>
      <c r="G733" s="20"/>
    </row>
    <row r="734" spans="6:7" x14ac:dyDescent="0.25">
      <c r="F734" s="20"/>
      <c r="G734" s="20"/>
    </row>
    <row r="735" spans="6:7" x14ac:dyDescent="0.25">
      <c r="F735" s="20"/>
      <c r="G735" s="20"/>
    </row>
    <row r="736" spans="6:7" x14ac:dyDescent="0.25">
      <c r="F736" s="20"/>
      <c r="G736" s="20"/>
    </row>
    <row r="737" spans="6:7" x14ac:dyDescent="0.25">
      <c r="F737" s="20"/>
      <c r="G737" s="20"/>
    </row>
    <row r="738" spans="6:7" x14ac:dyDescent="0.25">
      <c r="F738" s="20"/>
      <c r="G738" s="20"/>
    </row>
    <row r="739" spans="6:7" x14ac:dyDescent="0.25">
      <c r="F739" s="20"/>
      <c r="G739" s="20"/>
    </row>
    <row r="740" spans="6:7" x14ac:dyDescent="0.25">
      <c r="F740" s="20"/>
      <c r="G740" s="20"/>
    </row>
    <row r="741" spans="6:7" x14ac:dyDescent="0.25">
      <c r="F741" s="20"/>
      <c r="G741" s="20"/>
    </row>
    <row r="742" spans="6:7" x14ac:dyDescent="0.25">
      <c r="F742" s="20"/>
      <c r="G742" s="20"/>
    </row>
    <row r="743" spans="6:7" x14ac:dyDescent="0.25">
      <c r="F743" s="20"/>
      <c r="G743" s="20"/>
    </row>
    <row r="744" spans="6:7" x14ac:dyDescent="0.25">
      <c r="F744" s="20"/>
      <c r="G744" s="20"/>
    </row>
    <row r="745" spans="6:7" x14ac:dyDescent="0.25">
      <c r="F745" s="20"/>
      <c r="G745" s="20"/>
    </row>
    <row r="746" spans="6:7" x14ac:dyDescent="0.25">
      <c r="F746" s="20"/>
      <c r="G746" s="20"/>
    </row>
    <row r="747" spans="6:7" x14ac:dyDescent="0.25">
      <c r="F747" s="20"/>
      <c r="G747" s="20"/>
    </row>
    <row r="748" spans="6:7" x14ac:dyDescent="0.25">
      <c r="F748" s="20"/>
      <c r="G748" s="20"/>
    </row>
    <row r="749" spans="6:7" x14ac:dyDescent="0.25">
      <c r="F749" s="20"/>
      <c r="G749" s="20"/>
    </row>
    <row r="750" spans="6:7" x14ac:dyDescent="0.25">
      <c r="F750" s="20"/>
      <c r="G750" s="20"/>
    </row>
    <row r="751" spans="6:7" x14ac:dyDescent="0.25">
      <c r="F751" s="20"/>
      <c r="G751" s="20"/>
    </row>
    <row r="752" spans="6:7" x14ac:dyDescent="0.25">
      <c r="F752" s="20"/>
      <c r="G752" s="20"/>
    </row>
    <row r="753" spans="6:7" x14ac:dyDescent="0.25">
      <c r="F753" s="20"/>
      <c r="G753" s="20"/>
    </row>
    <row r="754" spans="6:7" x14ac:dyDescent="0.25">
      <c r="F754" s="20"/>
      <c r="G754" s="20"/>
    </row>
    <row r="755" spans="6:7" x14ac:dyDescent="0.25">
      <c r="F755" s="20"/>
      <c r="G755" s="20"/>
    </row>
    <row r="756" spans="6:7" x14ac:dyDescent="0.25">
      <c r="F756" s="20"/>
      <c r="G756" s="20"/>
    </row>
    <row r="757" spans="6:7" x14ac:dyDescent="0.25">
      <c r="F757" s="20"/>
      <c r="G757" s="20"/>
    </row>
    <row r="758" spans="6:7" x14ac:dyDescent="0.25">
      <c r="F758" s="20"/>
      <c r="G758" s="20"/>
    </row>
    <row r="759" spans="6:7" x14ac:dyDescent="0.25">
      <c r="F759" s="20"/>
      <c r="G759" s="20"/>
    </row>
    <row r="760" spans="6:7" x14ac:dyDescent="0.25">
      <c r="F760" s="20"/>
      <c r="G760" s="20"/>
    </row>
    <row r="761" spans="6:7" x14ac:dyDescent="0.25">
      <c r="F761" s="20"/>
      <c r="G761" s="20"/>
    </row>
    <row r="762" spans="6:7" x14ac:dyDescent="0.25">
      <c r="F762" s="20"/>
      <c r="G762" s="20"/>
    </row>
    <row r="763" spans="6:7" x14ac:dyDescent="0.25">
      <c r="F763" s="20"/>
      <c r="G763" s="20"/>
    </row>
    <row r="764" spans="6:7" x14ac:dyDescent="0.25">
      <c r="F764" s="20"/>
      <c r="G764" s="20"/>
    </row>
    <row r="765" spans="6:7" x14ac:dyDescent="0.25">
      <c r="F765" s="20"/>
      <c r="G765" s="20"/>
    </row>
    <row r="766" spans="6:7" x14ac:dyDescent="0.25">
      <c r="F766" s="20"/>
      <c r="G766" s="20"/>
    </row>
    <row r="767" spans="6:7" x14ac:dyDescent="0.25">
      <c r="F767" s="20"/>
      <c r="G767" s="20"/>
    </row>
    <row r="768" spans="6:7" x14ac:dyDescent="0.25">
      <c r="F768" s="20"/>
      <c r="G768" s="20"/>
    </row>
    <row r="769" spans="6:7" x14ac:dyDescent="0.25">
      <c r="F769" s="20"/>
      <c r="G769" s="20"/>
    </row>
    <row r="770" spans="6:7" x14ac:dyDescent="0.25">
      <c r="F770" s="20"/>
      <c r="G770" s="20"/>
    </row>
    <row r="771" spans="6:7" x14ac:dyDescent="0.25">
      <c r="F771" s="20"/>
      <c r="G771" s="20"/>
    </row>
    <row r="772" spans="6:7" x14ac:dyDescent="0.25">
      <c r="F772" s="20"/>
      <c r="G772" s="20"/>
    </row>
    <row r="773" spans="6:7" x14ac:dyDescent="0.25">
      <c r="F773" s="20"/>
      <c r="G773" s="20"/>
    </row>
    <row r="774" spans="6:7" x14ac:dyDescent="0.25">
      <c r="F774" s="20"/>
      <c r="G774" s="20"/>
    </row>
    <row r="775" spans="6:7" x14ac:dyDescent="0.25">
      <c r="F775" s="20"/>
      <c r="G775" s="20"/>
    </row>
    <row r="776" spans="6:7" x14ac:dyDescent="0.25">
      <c r="F776" s="20"/>
      <c r="G776" s="20"/>
    </row>
    <row r="777" spans="6:7" x14ac:dyDescent="0.25">
      <c r="F777" s="20"/>
      <c r="G777" s="20"/>
    </row>
    <row r="778" spans="6:7" x14ac:dyDescent="0.25">
      <c r="F778" s="20"/>
      <c r="G778" s="20"/>
    </row>
    <row r="779" spans="6:7" x14ac:dyDescent="0.25">
      <c r="F779" s="20"/>
      <c r="G779" s="20"/>
    </row>
    <row r="780" spans="6:7" x14ac:dyDescent="0.25">
      <c r="F780" s="20"/>
      <c r="G780" s="20"/>
    </row>
    <row r="781" spans="6:7" x14ac:dyDescent="0.25">
      <c r="F781" s="20"/>
      <c r="G781" s="20"/>
    </row>
    <row r="782" spans="6:7" x14ac:dyDescent="0.25">
      <c r="F782" s="20"/>
      <c r="G782" s="20"/>
    </row>
    <row r="783" spans="6:7" x14ac:dyDescent="0.25">
      <c r="F783" s="20"/>
      <c r="G783" s="20"/>
    </row>
    <row r="784" spans="6:7" x14ac:dyDescent="0.25">
      <c r="F784" s="20"/>
      <c r="G784" s="20"/>
    </row>
    <row r="785" spans="6:7" x14ac:dyDescent="0.25">
      <c r="F785" s="20"/>
      <c r="G785" s="20"/>
    </row>
    <row r="786" spans="6:7" x14ac:dyDescent="0.25">
      <c r="F786" s="20"/>
      <c r="G786" s="20"/>
    </row>
    <row r="787" spans="6:7" x14ac:dyDescent="0.25">
      <c r="F787" s="20"/>
      <c r="G787" s="20"/>
    </row>
    <row r="788" spans="6:7" x14ac:dyDescent="0.25">
      <c r="F788" s="20"/>
      <c r="G788" s="20"/>
    </row>
    <row r="789" spans="6:7" x14ac:dyDescent="0.25">
      <c r="F789" s="20"/>
      <c r="G789" s="20"/>
    </row>
    <row r="790" spans="6:7" x14ac:dyDescent="0.25">
      <c r="F790" s="20"/>
      <c r="G790" s="20"/>
    </row>
    <row r="791" spans="6:7" x14ac:dyDescent="0.25">
      <c r="F791" s="20"/>
      <c r="G791" s="20"/>
    </row>
    <row r="792" spans="6:7" x14ac:dyDescent="0.25">
      <c r="F792" s="20"/>
      <c r="G792" s="20"/>
    </row>
    <row r="793" spans="6:7" x14ac:dyDescent="0.25">
      <c r="F793" s="20"/>
      <c r="G793" s="20"/>
    </row>
    <row r="794" spans="6:7" x14ac:dyDescent="0.25">
      <c r="F794" s="20"/>
      <c r="G794" s="20"/>
    </row>
    <row r="795" spans="6:7" x14ac:dyDescent="0.25">
      <c r="F795" s="20"/>
      <c r="G795" s="20"/>
    </row>
    <row r="796" spans="6:7" x14ac:dyDescent="0.25">
      <c r="F796" s="20"/>
      <c r="G796" s="20"/>
    </row>
    <row r="797" spans="6:7" x14ac:dyDescent="0.25">
      <c r="F797" s="20"/>
      <c r="G797" s="20"/>
    </row>
    <row r="798" spans="6:7" x14ac:dyDescent="0.25">
      <c r="F798" s="20"/>
      <c r="G798" s="20"/>
    </row>
    <row r="799" spans="6:7" x14ac:dyDescent="0.25">
      <c r="F799" s="20"/>
      <c r="G799" s="20"/>
    </row>
    <row r="800" spans="6:7" x14ac:dyDescent="0.25">
      <c r="F800" s="20"/>
      <c r="G800" s="20"/>
    </row>
    <row r="801" spans="6:7" x14ac:dyDescent="0.25">
      <c r="F801" s="20"/>
      <c r="G801" s="20"/>
    </row>
    <row r="802" spans="6:7" x14ac:dyDescent="0.25">
      <c r="F802" s="20"/>
      <c r="G802" s="20"/>
    </row>
    <row r="803" spans="6:7" x14ac:dyDescent="0.25">
      <c r="F803" s="20"/>
      <c r="G803" s="20"/>
    </row>
    <row r="804" spans="6:7" x14ac:dyDescent="0.25">
      <c r="F804" s="20"/>
      <c r="G804" s="20"/>
    </row>
    <row r="805" spans="6:7" x14ac:dyDescent="0.25">
      <c r="F805" s="20"/>
      <c r="G805" s="20"/>
    </row>
    <row r="806" spans="6:7" x14ac:dyDescent="0.25">
      <c r="F806" s="20"/>
      <c r="G806" s="20"/>
    </row>
    <row r="807" spans="6:7" x14ac:dyDescent="0.25">
      <c r="F807" s="20"/>
      <c r="G807" s="20"/>
    </row>
    <row r="808" spans="6:7" x14ac:dyDescent="0.25">
      <c r="F808" s="20"/>
      <c r="G808" s="20"/>
    </row>
    <row r="809" spans="6:7" x14ac:dyDescent="0.25">
      <c r="F809" s="20"/>
      <c r="G809" s="20"/>
    </row>
    <row r="810" spans="6:7" x14ac:dyDescent="0.25">
      <c r="F810" s="20"/>
      <c r="G810" s="20"/>
    </row>
    <row r="811" spans="6:7" x14ac:dyDescent="0.25">
      <c r="F811" s="20"/>
      <c r="G811" s="20"/>
    </row>
    <row r="812" spans="6:7" x14ac:dyDescent="0.25">
      <c r="F812" s="20"/>
      <c r="G812" s="20"/>
    </row>
    <row r="813" spans="6:7" x14ac:dyDescent="0.25">
      <c r="F813" s="20"/>
      <c r="G813" s="20"/>
    </row>
    <row r="814" spans="6:7" x14ac:dyDescent="0.25">
      <c r="F814" s="20"/>
      <c r="G814" s="20"/>
    </row>
    <row r="815" spans="6:7" x14ac:dyDescent="0.25">
      <c r="F815" s="20"/>
      <c r="G815" s="20"/>
    </row>
    <row r="816" spans="6:7" x14ac:dyDescent="0.25">
      <c r="F816" s="20"/>
      <c r="G816" s="20"/>
    </row>
    <row r="817" spans="6:7" x14ac:dyDescent="0.25">
      <c r="F817" s="20"/>
      <c r="G817" s="20"/>
    </row>
    <row r="818" spans="6:7" x14ac:dyDescent="0.25">
      <c r="F818" s="20"/>
      <c r="G818" s="20"/>
    </row>
    <row r="819" spans="6:7" x14ac:dyDescent="0.25">
      <c r="F819" s="20"/>
      <c r="G819" s="20"/>
    </row>
    <row r="820" spans="6:7" x14ac:dyDescent="0.25">
      <c r="F820" s="20"/>
      <c r="G820" s="20"/>
    </row>
    <row r="821" spans="6:7" x14ac:dyDescent="0.25">
      <c r="F821" s="20"/>
      <c r="G821" s="20"/>
    </row>
    <row r="822" spans="6:7" x14ac:dyDescent="0.25">
      <c r="F822" s="20"/>
      <c r="G822" s="20"/>
    </row>
    <row r="823" spans="6:7" x14ac:dyDescent="0.25">
      <c r="F823" s="20"/>
      <c r="G823" s="20"/>
    </row>
    <row r="824" spans="6:7" x14ac:dyDescent="0.25">
      <c r="F824" s="20"/>
      <c r="G824" s="20"/>
    </row>
    <row r="825" spans="6:7" x14ac:dyDescent="0.25">
      <c r="F825" s="20"/>
      <c r="G825" s="20"/>
    </row>
    <row r="826" spans="6:7" x14ac:dyDescent="0.25">
      <c r="F826" s="20"/>
      <c r="G826" s="20"/>
    </row>
    <row r="827" spans="6:7" x14ac:dyDescent="0.25">
      <c r="F827" s="20"/>
      <c r="G827" s="20"/>
    </row>
    <row r="828" spans="6:7" x14ac:dyDescent="0.25">
      <c r="F828" s="20"/>
      <c r="G828" s="20"/>
    </row>
    <row r="829" spans="6:7" x14ac:dyDescent="0.25">
      <c r="F829" s="20"/>
      <c r="G829" s="20"/>
    </row>
    <row r="830" spans="6:7" x14ac:dyDescent="0.25">
      <c r="F830" s="20"/>
      <c r="G830" s="20"/>
    </row>
    <row r="831" spans="6:7" x14ac:dyDescent="0.25">
      <c r="F831" s="20"/>
      <c r="G831" s="20"/>
    </row>
    <row r="832" spans="6:7" x14ac:dyDescent="0.25">
      <c r="F832" s="20"/>
      <c r="G832" s="20"/>
    </row>
    <row r="833" spans="6:7" x14ac:dyDescent="0.25">
      <c r="F833" s="20"/>
      <c r="G833" s="20"/>
    </row>
    <row r="834" spans="6:7" x14ac:dyDescent="0.25">
      <c r="F834" s="20"/>
      <c r="G834" s="20"/>
    </row>
    <row r="835" spans="6:7" x14ac:dyDescent="0.25">
      <c r="F835" s="20"/>
      <c r="G835" s="20"/>
    </row>
    <row r="836" spans="6:7" x14ac:dyDescent="0.25">
      <c r="F836" s="20"/>
      <c r="G836" s="20"/>
    </row>
    <row r="837" spans="6:7" x14ac:dyDescent="0.25">
      <c r="F837" s="20"/>
      <c r="G837" s="20"/>
    </row>
    <row r="838" spans="6:7" x14ac:dyDescent="0.25">
      <c r="F838" s="20"/>
      <c r="G838" s="20"/>
    </row>
    <row r="839" spans="6:7" x14ac:dyDescent="0.25">
      <c r="F839" s="20"/>
      <c r="G839" s="20"/>
    </row>
    <row r="840" spans="6:7" x14ac:dyDescent="0.25">
      <c r="F840" s="20"/>
      <c r="G840" s="20"/>
    </row>
    <row r="841" spans="6:7" x14ac:dyDescent="0.25">
      <c r="F841" s="20"/>
      <c r="G841" s="20"/>
    </row>
    <row r="842" spans="6:7" x14ac:dyDescent="0.25">
      <c r="F842" s="20"/>
      <c r="G842" s="20"/>
    </row>
    <row r="843" spans="6:7" x14ac:dyDescent="0.25">
      <c r="F843" s="20"/>
      <c r="G843" s="20"/>
    </row>
    <row r="844" spans="6:7" x14ac:dyDescent="0.25">
      <c r="F844" s="20"/>
      <c r="G844" s="20"/>
    </row>
    <row r="845" spans="6:7" x14ac:dyDescent="0.25">
      <c r="F845" s="20"/>
      <c r="G845" s="20"/>
    </row>
    <row r="846" spans="6:7" x14ac:dyDescent="0.25">
      <c r="F846" s="20"/>
      <c r="G846" s="20"/>
    </row>
    <row r="847" spans="6:7" x14ac:dyDescent="0.25">
      <c r="F847" s="20"/>
      <c r="G847" s="20"/>
    </row>
    <row r="848" spans="6:7" x14ac:dyDescent="0.25">
      <c r="F848" s="20"/>
      <c r="G848" s="20"/>
    </row>
    <row r="849" spans="6:7" x14ac:dyDescent="0.25">
      <c r="F849" s="20"/>
      <c r="G849" s="20"/>
    </row>
    <row r="850" spans="6:7" x14ac:dyDescent="0.25">
      <c r="F850" s="20"/>
      <c r="G850" s="20"/>
    </row>
    <row r="851" spans="6:7" x14ac:dyDescent="0.25">
      <c r="F851" s="20"/>
      <c r="G851" s="20"/>
    </row>
    <row r="852" spans="6:7" x14ac:dyDescent="0.25">
      <c r="F852" s="20"/>
      <c r="G852" s="20"/>
    </row>
    <row r="853" spans="6:7" x14ac:dyDescent="0.25">
      <c r="F853" s="20"/>
      <c r="G853" s="20"/>
    </row>
    <row r="854" spans="6:7" x14ac:dyDescent="0.25">
      <c r="F854" s="20"/>
      <c r="G854" s="20"/>
    </row>
    <row r="855" spans="6:7" x14ac:dyDescent="0.25">
      <c r="F855" s="20"/>
      <c r="G855" s="20"/>
    </row>
    <row r="856" spans="6:7" x14ac:dyDescent="0.25">
      <c r="F856" s="20"/>
      <c r="G856" s="20"/>
    </row>
    <row r="857" spans="6:7" x14ac:dyDescent="0.25">
      <c r="F857" s="20"/>
      <c r="G857" s="20"/>
    </row>
    <row r="858" spans="6:7" x14ac:dyDescent="0.25">
      <c r="F858" s="20"/>
      <c r="G858" s="20"/>
    </row>
    <row r="859" spans="6:7" x14ac:dyDescent="0.25">
      <c r="F859" s="20"/>
      <c r="G859" s="20"/>
    </row>
    <row r="860" spans="6:7" x14ac:dyDescent="0.25">
      <c r="F860" s="20"/>
      <c r="G860" s="20"/>
    </row>
    <row r="861" spans="6:7" x14ac:dyDescent="0.25">
      <c r="F861" s="20"/>
      <c r="G861" s="20"/>
    </row>
    <row r="862" spans="6:7" x14ac:dyDescent="0.25">
      <c r="F862" s="20"/>
      <c r="G862" s="20"/>
    </row>
    <row r="863" spans="6:7" x14ac:dyDescent="0.25">
      <c r="F863" s="20"/>
      <c r="G863" s="20"/>
    </row>
    <row r="864" spans="6:7" x14ac:dyDescent="0.25">
      <c r="F864" s="20"/>
      <c r="G864" s="20"/>
    </row>
    <row r="865" spans="6:7" x14ac:dyDescent="0.25">
      <c r="F865" s="20"/>
      <c r="G865" s="20"/>
    </row>
    <row r="866" spans="6:7" x14ac:dyDescent="0.25">
      <c r="F866" s="20"/>
      <c r="G866" s="20"/>
    </row>
    <row r="867" spans="6:7" x14ac:dyDescent="0.25">
      <c r="F867" s="20"/>
      <c r="G867" s="20"/>
    </row>
    <row r="868" spans="6:7" x14ac:dyDescent="0.25">
      <c r="F868" s="20"/>
      <c r="G868" s="20"/>
    </row>
    <row r="869" spans="6:7" x14ac:dyDescent="0.25">
      <c r="F869" s="20"/>
      <c r="G869" s="20"/>
    </row>
    <row r="870" spans="6:7" x14ac:dyDescent="0.25">
      <c r="F870" s="20"/>
      <c r="G870" s="20"/>
    </row>
    <row r="871" spans="6:7" x14ac:dyDescent="0.25">
      <c r="F871" s="20"/>
      <c r="G871" s="20"/>
    </row>
    <row r="872" spans="6:7" x14ac:dyDescent="0.25">
      <c r="F872" s="20"/>
      <c r="G872" s="20"/>
    </row>
    <row r="873" spans="6:7" x14ac:dyDescent="0.25">
      <c r="F873" s="20"/>
      <c r="G873" s="20"/>
    </row>
    <row r="874" spans="6:7" x14ac:dyDescent="0.25">
      <c r="F874" s="20"/>
      <c r="G874" s="20"/>
    </row>
    <row r="875" spans="6:7" x14ac:dyDescent="0.25">
      <c r="F875" s="20"/>
      <c r="G875" s="20"/>
    </row>
    <row r="876" spans="6:7" x14ac:dyDescent="0.25">
      <c r="F876" s="20"/>
      <c r="G876" s="20"/>
    </row>
    <row r="877" spans="6:7" x14ac:dyDescent="0.25">
      <c r="F877" s="20"/>
      <c r="G877" s="20"/>
    </row>
    <row r="878" spans="6:7" x14ac:dyDescent="0.25">
      <c r="F878" s="20"/>
      <c r="G878" s="20"/>
    </row>
    <row r="879" spans="6:7" x14ac:dyDescent="0.25">
      <c r="F879" s="20"/>
      <c r="G879" s="20"/>
    </row>
    <row r="880" spans="6:7" x14ac:dyDescent="0.25">
      <c r="F880" s="20"/>
      <c r="G880" s="20"/>
    </row>
    <row r="881" spans="6:7" x14ac:dyDescent="0.25">
      <c r="F881" s="20"/>
      <c r="G881" s="20"/>
    </row>
    <row r="882" spans="6:7" x14ac:dyDescent="0.25">
      <c r="F882" s="20"/>
      <c r="G882" s="20"/>
    </row>
    <row r="883" spans="6:7" x14ac:dyDescent="0.25">
      <c r="F883" s="20"/>
      <c r="G883" s="20"/>
    </row>
    <row r="884" spans="6:7" x14ac:dyDescent="0.25">
      <c r="F884" s="20"/>
      <c r="G884" s="20"/>
    </row>
    <row r="885" spans="6:7" x14ac:dyDescent="0.25">
      <c r="F885" s="20"/>
      <c r="G885" s="20"/>
    </row>
    <row r="886" spans="6:7" x14ac:dyDescent="0.25">
      <c r="F886" s="20"/>
      <c r="G886" s="20"/>
    </row>
    <row r="887" spans="6:7" x14ac:dyDescent="0.25">
      <c r="F887" s="20"/>
      <c r="G887" s="20"/>
    </row>
    <row r="888" spans="6:7" x14ac:dyDescent="0.25">
      <c r="F888" s="20"/>
      <c r="G888" s="20"/>
    </row>
    <row r="889" spans="6:7" x14ac:dyDescent="0.25">
      <c r="F889" s="20"/>
      <c r="G889" s="20"/>
    </row>
    <row r="890" spans="6:7" x14ac:dyDescent="0.25">
      <c r="F890" s="20"/>
      <c r="G890" s="20"/>
    </row>
    <row r="891" spans="6:7" x14ac:dyDescent="0.25">
      <c r="F891" s="20"/>
      <c r="G891" s="20"/>
    </row>
    <row r="892" spans="6:7" x14ac:dyDescent="0.25">
      <c r="F892" s="20"/>
      <c r="G892" s="20"/>
    </row>
    <row r="893" spans="6:7" x14ac:dyDescent="0.25">
      <c r="F893" s="20"/>
      <c r="G893" s="20"/>
    </row>
    <row r="894" spans="6:7" x14ac:dyDescent="0.25">
      <c r="F894" s="20"/>
      <c r="G894" s="20"/>
    </row>
    <row r="895" spans="6:7" x14ac:dyDescent="0.25">
      <c r="F895" s="20"/>
      <c r="G895" s="20"/>
    </row>
    <row r="896" spans="6:7" x14ac:dyDescent="0.25">
      <c r="F896" s="20"/>
      <c r="G896" s="20"/>
    </row>
    <row r="897" spans="6:7" x14ac:dyDescent="0.25">
      <c r="F897" s="20"/>
      <c r="G897" s="20"/>
    </row>
    <row r="898" spans="6:7" x14ac:dyDescent="0.25">
      <c r="F898" s="20"/>
      <c r="G898" s="20"/>
    </row>
    <row r="899" spans="6:7" x14ac:dyDescent="0.25">
      <c r="F899" s="20"/>
      <c r="G899" s="20"/>
    </row>
    <row r="900" spans="6:7" x14ac:dyDescent="0.25">
      <c r="F900" s="20"/>
      <c r="G900" s="20"/>
    </row>
    <row r="901" spans="6:7" x14ac:dyDescent="0.25">
      <c r="F901" s="20"/>
      <c r="G901" s="20"/>
    </row>
    <row r="902" spans="6:7" x14ac:dyDescent="0.25">
      <c r="F902" s="20"/>
      <c r="G902" s="20"/>
    </row>
    <row r="903" spans="6:7" x14ac:dyDescent="0.25">
      <c r="F903" s="20"/>
      <c r="G903" s="20"/>
    </row>
    <row r="904" spans="6:7" x14ac:dyDescent="0.25">
      <c r="F904" s="20"/>
      <c r="G904" s="20"/>
    </row>
    <row r="905" spans="6:7" x14ac:dyDescent="0.25">
      <c r="F905" s="20"/>
      <c r="G905" s="20"/>
    </row>
    <row r="906" spans="6:7" x14ac:dyDescent="0.25">
      <c r="F906" s="20"/>
      <c r="G906" s="20"/>
    </row>
    <row r="907" spans="6:7" x14ac:dyDescent="0.25">
      <c r="F907" s="20"/>
      <c r="G907" s="20"/>
    </row>
    <row r="908" spans="6:7" x14ac:dyDescent="0.25">
      <c r="F908" s="20"/>
      <c r="G908" s="20"/>
    </row>
    <row r="909" spans="6:7" x14ac:dyDescent="0.25">
      <c r="F909" s="20"/>
      <c r="G909" s="20"/>
    </row>
    <row r="910" spans="6:7" x14ac:dyDescent="0.25">
      <c r="F910" s="20"/>
      <c r="G910" s="20"/>
    </row>
    <row r="911" spans="6:7" x14ac:dyDescent="0.25">
      <c r="F911" s="20"/>
      <c r="G911" s="20"/>
    </row>
    <row r="912" spans="6:7" x14ac:dyDescent="0.25">
      <c r="F912" s="20"/>
      <c r="G912" s="20"/>
    </row>
    <row r="913" spans="6:7" x14ac:dyDescent="0.25">
      <c r="F913" s="20"/>
      <c r="G913" s="20"/>
    </row>
    <row r="914" spans="6:7" x14ac:dyDescent="0.25">
      <c r="F914" s="20"/>
      <c r="G914" s="20"/>
    </row>
    <row r="915" spans="6:7" x14ac:dyDescent="0.25">
      <c r="F915" s="20"/>
      <c r="G915" s="20"/>
    </row>
    <row r="916" spans="6:7" x14ac:dyDescent="0.25">
      <c r="F916" s="20"/>
      <c r="G916" s="20"/>
    </row>
    <row r="917" spans="6:7" x14ac:dyDescent="0.25">
      <c r="F917" s="20"/>
      <c r="G917" s="20"/>
    </row>
    <row r="918" spans="6:7" x14ac:dyDescent="0.25">
      <c r="F918" s="20"/>
      <c r="G918" s="20"/>
    </row>
    <row r="919" spans="6:7" x14ac:dyDescent="0.25">
      <c r="F919" s="20"/>
      <c r="G919" s="20"/>
    </row>
    <row r="920" spans="6:7" x14ac:dyDescent="0.25">
      <c r="F920" s="20"/>
      <c r="G920" s="20"/>
    </row>
    <row r="921" spans="6:7" x14ac:dyDescent="0.25">
      <c r="F921" s="20"/>
      <c r="G921" s="20"/>
    </row>
    <row r="922" spans="6:7" x14ac:dyDescent="0.25">
      <c r="F922" s="20"/>
      <c r="G922" s="20"/>
    </row>
    <row r="923" spans="6:7" x14ac:dyDescent="0.25">
      <c r="F923" s="20"/>
      <c r="G923" s="20"/>
    </row>
    <row r="924" spans="6:7" x14ac:dyDescent="0.25">
      <c r="F924" s="20"/>
      <c r="G924" s="20"/>
    </row>
    <row r="925" spans="6:7" x14ac:dyDescent="0.25">
      <c r="F925" s="20"/>
      <c r="G925" s="20"/>
    </row>
    <row r="926" spans="6:7" x14ac:dyDescent="0.25">
      <c r="F926" s="20"/>
      <c r="G926" s="20"/>
    </row>
    <row r="927" spans="6:7" x14ac:dyDescent="0.25">
      <c r="F927" s="20"/>
      <c r="G927" s="20"/>
    </row>
    <row r="928" spans="6:7" x14ac:dyDescent="0.25">
      <c r="F928" s="20"/>
      <c r="G928" s="20"/>
    </row>
    <row r="929" spans="6:7" x14ac:dyDescent="0.25">
      <c r="F929" s="20"/>
      <c r="G929" s="20"/>
    </row>
    <row r="930" spans="6:7" x14ac:dyDescent="0.25">
      <c r="F930" s="20"/>
      <c r="G930" s="20"/>
    </row>
    <row r="931" spans="6:7" x14ac:dyDescent="0.25">
      <c r="F931" s="20"/>
      <c r="G931" s="20"/>
    </row>
    <row r="932" spans="6:7" x14ac:dyDescent="0.25">
      <c r="F932" s="20"/>
      <c r="G932" s="20"/>
    </row>
    <row r="933" spans="6:7" x14ac:dyDescent="0.25">
      <c r="F933" s="20"/>
      <c r="G933" s="20"/>
    </row>
    <row r="934" spans="6:7" x14ac:dyDescent="0.25">
      <c r="F934" s="20"/>
      <c r="G934" s="20"/>
    </row>
    <row r="935" spans="6:7" x14ac:dyDescent="0.25">
      <c r="F935" s="20"/>
      <c r="G935" s="20"/>
    </row>
    <row r="936" spans="6:7" x14ac:dyDescent="0.25">
      <c r="F936" s="20"/>
      <c r="G936" s="20"/>
    </row>
    <row r="937" spans="6:7" x14ac:dyDescent="0.25">
      <c r="F937" s="20"/>
      <c r="G937" s="20"/>
    </row>
    <row r="938" spans="6:7" x14ac:dyDescent="0.25">
      <c r="F938" s="20"/>
      <c r="G938" s="20"/>
    </row>
    <row r="939" spans="6:7" x14ac:dyDescent="0.25">
      <c r="F939" s="20"/>
      <c r="G939" s="20"/>
    </row>
    <row r="940" spans="6:7" x14ac:dyDescent="0.25">
      <c r="F940" s="20"/>
      <c r="G940" s="20"/>
    </row>
    <row r="941" spans="6:7" x14ac:dyDescent="0.25">
      <c r="F941" s="20"/>
      <c r="G941" s="20"/>
    </row>
    <row r="942" spans="6:7" x14ac:dyDescent="0.25">
      <c r="F942" s="20"/>
      <c r="G942" s="20"/>
    </row>
    <row r="943" spans="6:7" x14ac:dyDescent="0.25">
      <c r="F943" s="20"/>
      <c r="G943" s="20"/>
    </row>
    <row r="944" spans="6:7" x14ac:dyDescent="0.25">
      <c r="F944" s="20"/>
      <c r="G944" s="20"/>
    </row>
    <row r="945" spans="6:7" x14ac:dyDescent="0.25">
      <c r="F945" s="20"/>
      <c r="G945" s="20"/>
    </row>
    <row r="946" spans="6:7" x14ac:dyDescent="0.25">
      <c r="F946" s="20"/>
      <c r="G946" s="20"/>
    </row>
    <row r="947" spans="6:7" x14ac:dyDescent="0.25">
      <c r="F947" s="20"/>
      <c r="G947" s="20"/>
    </row>
    <row r="948" spans="6:7" x14ac:dyDescent="0.25">
      <c r="F948" s="20"/>
      <c r="G948" s="20"/>
    </row>
    <row r="949" spans="6:7" x14ac:dyDescent="0.25">
      <c r="F949" s="20"/>
      <c r="G949" s="20"/>
    </row>
    <row r="950" spans="6:7" x14ac:dyDescent="0.25">
      <c r="F950" s="20"/>
      <c r="G950" s="20"/>
    </row>
    <row r="951" spans="6:7" x14ac:dyDescent="0.25">
      <c r="F951" s="20"/>
      <c r="G951" s="20"/>
    </row>
    <row r="952" spans="6:7" x14ac:dyDescent="0.25">
      <c r="F952" s="20"/>
      <c r="G952" s="20"/>
    </row>
    <row r="953" spans="6:7" x14ac:dyDescent="0.25">
      <c r="F953" s="20"/>
      <c r="G953" s="20"/>
    </row>
    <row r="954" spans="6:7" x14ac:dyDescent="0.25">
      <c r="F954" s="20"/>
      <c r="G954" s="20"/>
    </row>
    <row r="955" spans="6:7" x14ac:dyDescent="0.25">
      <c r="F955" s="20"/>
      <c r="G955" s="20"/>
    </row>
    <row r="956" spans="6:7" x14ac:dyDescent="0.25">
      <c r="F956" s="20"/>
      <c r="G956" s="20"/>
    </row>
    <row r="957" spans="6:7" x14ac:dyDescent="0.25">
      <c r="F957" s="20"/>
      <c r="G957" s="20"/>
    </row>
    <row r="958" spans="6:7" x14ac:dyDescent="0.25">
      <c r="F958" s="20"/>
      <c r="G958" s="20"/>
    </row>
    <row r="959" spans="6:7" x14ac:dyDescent="0.25">
      <c r="F959" s="20"/>
      <c r="G959" s="20"/>
    </row>
    <row r="960" spans="6:7" x14ac:dyDescent="0.25">
      <c r="F960" s="20"/>
      <c r="G960" s="20"/>
    </row>
    <row r="961" spans="6:7" x14ac:dyDescent="0.25">
      <c r="F961" s="20"/>
      <c r="G961" s="20"/>
    </row>
    <row r="962" spans="6:7" x14ac:dyDescent="0.25">
      <c r="F962" s="20"/>
      <c r="G962" s="20"/>
    </row>
    <row r="963" spans="6:7" x14ac:dyDescent="0.25">
      <c r="F963" s="20"/>
      <c r="G963" s="20"/>
    </row>
    <row r="964" spans="6:7" x14ac:dyDescent="0.25">
      <c r="F964" s="20"/>
      <c r="G964" s="20"/>
    </row>
    <row r="965" spans="6:7" x14ac:dyDescent="0.25">
      <c r="F965" s="20"/>
      <c r="G965" s="20"/>
    </row>
    <row r="966" spans="6:7" x14ac:dyDescent="0.25">
      <c r="F966" s="20"/>
      <c r="G966" s="20"/>
    </row>
    <row r="967" spans="6:7" x14ac:dyDescent="0.25">
      <c r="F967" s="20"/>
      <c r="G967" s="20"/>
    </row>
    <row r="968" spans="6:7" x14ac:dyDescent="0.25">
      <c r="F968" s="20"/>
      <c r="G968" s="20"/>
    </row>
    <row r="969" spans="6:7" x14ac:dyDescent="0.25">
      <c r="F969" s="20"/>
      <c r="G969" s="20"/>
    </row>
    <row r="970" spans="6:7" x14ac:dyDescent="0.25">
      <c r="F970" s="20"/>
      <c r="G970" s="20"/>
    </row>
    <row r="971" spans="6:7" x14ac:dyDescent="0.25">
      <c r="F971" s="20"/>
      <c r="G971" s="20"/>
    </row>
    <row r="972" spans="6:7" x14ac:dyDescent="0.25">
      <c r="F972" s="20"/>
      <c r="G972" s="20"/>
    </row>
    <row r="973" spans="6:7" x14ac:dyDescent="0.25">
      <c r="F973" s="20"/>
      <c r="G973" s="20"/>
    </row>
    <row r="974" spans="6:7" x14ac:dyDescent="0.25">
      <c r="F974" s="20"/>
      <c r="G974" s="20"/>
    </row>
    <row r="975" spans="6:7" x14ac:dyDescent="0.25">
      <c r="F975" s="20"/>
      <c r="G975" s="20"/>
    </row>
    <row r="976" spans="6:7" x14ac:dyDescent="0.25">
      <c r="F976" s="20"/>
      <c r="G976" s="20"/>
    </row>
    <row r="977" spans="6:7" x14ac:dyDescent="0.25">
      <c r="F977" s="20"/>
      <c r="G977" s="20"/>
    </row>
    <row r="978" spans="6:7" x14ac:dyDescent="0.25">
      <c r="F978" s="20"/>
      <c r="G978" s="20"/>
    </row>
    <row r="979" spans="6:7" x14ac:dyDescent="0.25">
      <c r="F979" s="20"/>
      <c r="G979" s="20"/>
    </row>
    <row r="980" spans="6:7" x14ac:dyDescent="0.25">
      <c r="F980" s="20"/>
      <c r="G980" s="20"/>
    </row>
    <row r="981" spans="6:7" x14ac:dyDescent="0.25">
      <c r="F981" s="20"/>
      <c r="G981" s="20"/>
    </row>
    <row r="982" spans="6:7" x14ac:dyDescent="0.25">
      <c r="F982" s="20"/>
      <c r="G982" s="20"/>
    </row>
    <row r="983" spans="6:7" x14ac:dyDescent="0.25">
      <c r="F983" s="20"/>
      <c r="G983" s="20"/>
    </row>
    <row r="984" spans="6:7" x14ac:dyDescent="0.25">
      <c r="F984" s="20"/>
      <c r="G984" s="20"/>
    </row>
    <row r="985" spans="6:7" x14ac:dyDescent="0.25">
      <c r="F985" s="20"/>
      <c r="G985" s="20"/>
    </row>
    <row r="986" spans="6:7" x14ac:dyDescent="0.25">
      <c r="F986" s="20"/>
      <c r="G986" s="20"/>
    </row>
    <row r="987" spans="6:7" x14ac:dyDescent="0.25">
      <c r="F987" s="20"/>
      <c r="G987" s="20"/>
    </row>
    <row r="988" spans="6:7" x14ac:dyDescent="0.25">
      <c r="F988" s="20"/>
      <c r="G988" s="20"/>
    </row>
    <row r="989" spans="6:7" x14ac:dyDescent="0.25">
      <c r="F989" s="20"/>
      <c r="G989" s="20"/>
    </row>
    <row r="990" spans="6:7" x14ac:dyDescent="0.25">
      <c r="F990" s="20"/>
      <c r="G990" s="20"/>
    </row>
    <row r="991" spans="6:7" x14ac:dyDescent="0.25">
      <c r="F991" s="20"/>
      <c r="G991" s="20"/>
    </row>
    <row r="992" spans="6:7" x14ac:dyDescent="0.25">
      <c r="F992" s="20"/>
      <c r="G992" s="20"/>
    </row>
    <row r="993" spans="6:7" x14ac:dyDescent="0.25">
      <c r="F993" s="20"/>
      <c r="G993" s="20"/>
    </row>
    <row r="994" spans="6:7" x14ac:dyDescent="0.25">
      <c r="F994" s="20"/>
      <c r="G994" s="20"/>
    </row>
    <row r="995" spans="6:7" x14ac:dyDescent="0.25">
      <c r="F995" s="20"/>
      <c r="G995" s="20"/>
    </row>
    <row r="996" spans="6:7" x14ac:dyDescent="0.25">
      <c r="F996" s="20"/>
      <c r="G996" s="20"/>
    </row>
    <row r="997" spans="6:7" x14ac:dyDescent="0.25">
      <c r="F997" s="20"/>
      <c r="G997" s="20"/>
    </row>
    <row r="998" spans="6:7" x14ac:dyDescent="0.25">
      <c r="F998" s="20"/>
      <c r="G998" s="20"/>
    </row>
    <row r="999" spans="6:7" x14ac:dyDescent="0.25">
      <c r="F999" s="20"/>
      <c r="G999" s="20"/>
    </row>
    <row r="1000" spans="6:7" x14ac:dyDescent="0.25">
      <c r="F1000" s="20"/>
      <c r="G1000" s="20"/>
    </row>
    <row r="1001" spans="6:7" x14ac:dyDescent="0.25">
      <c r="F1001" s="20"/>
      <c r="G1001" s="20"/>
    </row>
    <row r="1002" spans="6:7" x14ac:dyDescent="0.25">
      <c r="F1002" s="20"/>
      <c r="G1002" s="20"/>
    </row>
    <row r="1003" spans="6:7" x14ac:dyDescent="0.25">
      <c r="F1003" s="20"/>
      <c r="G1003" s="20"/>
    </row>
    <row r="1004" spans="6:7" x14ac:dyDescent="0.25">
      <c r="F1004" s="20"/>
      <c r="G1004" s="20"/>
    </row>
    <row r="1005" spans="6:7" x14ac:dyDescent="0.25">
      <c r="F1005" s="20"/>
      <c r="G1005" s="20"/>
    </row>
    <row r="1006" spans="6:7" x14ac:dyDescent="0.25">
      <c r="F1006" s="20"/>
      <c r="G1006" s="20"/>
    </row>
    <row r="1007" spans="6:7" x14ac:dyDescent="0.25">
      <c r="F1007" s="20"/>
      <c r="G1007" s="20"/>
    </row>
    <row r="1008" spans="6:7" x14ac:dyDescent="0.25">
      <c r="F1008" s="20"/>
      <c r="G1008" s="20"/>
    </row>
    <row r="1009" spans="6:7" x14ac:dyDescent="0.25">
      <c r="F1009" s="20"/>
      <c r="G1009" s="20"/>
    </row>
    <row r="1010" spans="6:7" x14ac:dyDescent="0.25">
      <c r="F1010" s="20"/>
      <c r="G1010" s="20"/>
    </row>
    <row r="1011" spans="6:7" x14ac:dyDescent="0.25">
      <c r="F1011" s="20"/>
      <c r="G1011" s="20"/>
    </row>
    <row r="1012" spans="6:7" x14ac:dyDescent="0.25">
      <c r="F1012" s="20"/>
      <c r="G1012" s="20"/>
    </row>
    <row r="1013" spans="6:7" x14ac:dyDescent="0.25">
      <c r="F1013" s="20"/>
      <c r="G1013" s="20"/>
    </row>
    <row r="1014" spans="6:7" x14ac:dyDescent="0.25">
      <c r="F1014" s="20"/>
      <c r="G1014" s="20"/>
    </row>
    <row r="1015" spans="6:7" x14ac:dyDescent="0.25">
      <c r="F1015" s="20"/>
      <c r="G1015" s="20"/>
    </row>
    <row r="1016" spans="6:7" x14ac:dyDescent="0.25">
      <c r="F1016" s="20"/>
      <c r="G1016" s="20"/>
    </row>
    <row r="1017" spans="6:7" x14ac:dyDescent="0.25">
      <c r="F1017" s="20"/>
      <c r="G1017" s="20"/>
    </row>
    <row r="1018" spans="6:7" x14ac:dyDescent="0.25">
      <c r="F1018" s="20"/>
      <c r="G1018" s="20"/>
    </row>
    <row r="1019" spans="6:7" x14ac:dyDescent="0.25">
      <c r="F1019" s="20"/>
      <c r="G1019" s="20"/>
    </row>
    <row r="1020" spans="6:7" x14ac:dyDescent="0.25">
      <c r="F1020" s="20"/>
      <c r="G1020" s="20"/>
    </row>
    <row r="1021" spans="6:7" x14ac:dyDescent="0.25">
      <c r="F1021" s="20"/>
      <c r="G1021" s="20"/>
    </row>
    <row r="1022" spans="6:7" x14ac:dyDescent="0.25">
      <c r="F1022" s="20"/>
      <c r="G1022" s="20"/>
    </row>
    <row r="1023" spans="6:7" x14ac:dyDescent="0.25">
      <c r="F1023" s="20"/>
      <c r="G1023" s="20"/>
    </row>
    <row r="1024" spans="6:7" x14ac:dyDescent="0.25">
      <c r="F1024" s="20"/>
      <c r="G1024" s="20"/>
    </row>
    <row r="1025" spans="6:7" x14ac:dyDescent="0.25">
      <c r="F1025" s="20"/>
      <c r="G1025" s="20"/>
    </row>
    <row r="1026" spans="6:7" x14ac:dyDescent="0.25">
      <c r="F1026" s="20"/>
      <c r="G1026" s="20"/>
    </row>
    <row r="1027" spans="6:7" x14ac:dyDescent="0.25">
      <c r="F1027" s="20"/>
      <c r="G1027" s="20"/>
    </row>
    <row r="1028" spans="6:7" x14ac:dyDescent="0.25">
      <c r="F1028" s="20"/>
      <c r="G1028" s="20"/>
    </row>
    <row r="1029" spans="6:7" x14ac:dyDescent="0.25">
      <c r="F1029" s="20"/>
      <c r="G1029" s="20"/>
    </row>
    <row r="1030" spans="6:7" x14ac:dyDescent="0.25">
      <c r="F1030" s="20"/>
      <c r="G1030" s="20"/>
    </row>
    <row r="1031" spans="6:7" x14ac:dyDescent="0.25">
      <c r="F1031" s="20"/>
      <c r="G1031" s="20"/>
    </row>
    <row r="1032" spans="6:7" x14ac:dyDescent="0.25">
      <c r="F1032" s="20"/>
      <c r="G1032" s="20"/>
    </row>
    <row r="1033" spans="6:7" x14ac:dyDescent="0.25">
      <c r="F1033" s="20"/>
      <c r="G1033" s="20"/>
    </row>
    <row r="1034" spans="6:7" x14ac:dyDescent="0.25">
      <c r="F1034" s="20"/>
      <c r="G1034" s="20"/>
    </row>
    <row r="1035" spans="6:7" x14ac:dyDescent="0.25">
      <c r="F1035" s="20"/>
      <c r="G1035" s="20"/>
    </row>
    <row r="1036" spans="6:7" x14ac:dyDescent="0.25">
      <c r="F1036" s="20"/>
      <c r="G1036" s="20"/>
    </row>
    <row r="1037" spans="6:7" x14ac:dyDescent="0.25">
      <c r="F1037" s="20"/>
      <c r="G1037" s="20"/>
    </row>
    <row r="1038" spans="6:7" x14ac:dyDescent="0.25">
      <c r="F1038" s="20"/>
      <c r="G1038" s="20"/>
    </row>
    <row r="1039" spans="6:7" x14ac:dyDescent="0.25">
      <c r="F1039" s="20"/>
      <c r="G1039" s="20"/>
    </row>
    <row r="1040" spans="6:7" x14ac:dyDescent="0.25">
      <c r="F1040" s="20"/>
      <c r="G1040" s="20"/>
    </row>
    <row r="1041" spans="6:7" x14ac:dyDescent="0.25">
      <c r="F1041" s="20"/>
      <c r="G1041" s="20"/>
    </row>
    <row r="1042" spans="6:7" x14ac:dyDescent="0.25">
      <c r="F1042" s="20"/>
      <c r="G1042" s="20"/>
    </row>
    <row r="1043" spans="6:7" x14ac:dyDescent="0.25">
      <c r="F1043" s="20"/>
      <c r="G1043" s="20"/>
    </row>
    <row r="1044" spans="6:7" x14ac:dyDescent="0.25">
      <c r="F1044" s="20"/>
      <c r="G1044" s="20"/>
    </row>
    <row r="1045" spans="6:7" x14ac:dyDescent="0.25">
      <c r="F1045" s="20"/>
      <c r="G1045" s="20"/>
    </row>
    <row r="1046" spans="6:7" x14ac:dyDescent="0.25">
      <c r="F1046" s="20"/>
      <c r="G1046" s="20"/>
    </row>
    <row r="1047" spans="6:7" x14ac:dyDescent="0.25">
      <c r="F1047" s="20"/>
      <c r="G1047" s="20"/>
    </row>
    <row r="1048" spans="6:7" x14ac:dyDescent="0.25">
      <c r="F1048" s="20"/>
      <c r="G1048" s="20"/>
    </row>
    <row r="1049" spans="6:7" x14ac:dyDescent="0.25">
      <c r="F1049" s="20"/>
      <c r="G1049" s="20"/>
    </row>
    <row r="1050" spans="6:7" x14ac:dyDescent="0.25">
      <c r="F1050" s="20"/>
      <c r="G1050" s="20"/>
    </row>
    <row r="1051" spans="6:7" x14ac:dyDescent="0.25">
      <c r="F1051" s="20"/>
      <c r="G1051" s="20"/>
    </row>
    <row r="1052" spans="6:7" x14ac:dyDescent="0.25">
      <c r="F1052" s="20"/>
      <c r="G1052" s="20"/>
    </row>
    <row r="1053" spans="6:7" x14ac:dyDescent="0.25">
      <c r="F1053" s="20"/>
      <c r="G1053" s="20"/>
    </row>
    <row r="1054" spans="6:7" x14ac:dyDescent="0.25">
      <c r="F1054" s="20"/>
      <c r="G1054" s="20"/>
    </row>
    <row r="1055" spans="6:7" x14ac:dyDescent="0.25">
      <c r="F1055" s="20"/>
      <c r="G1055" s="20"/>
    </row>
    <row r="1056" spans="6:7" x14ac:dyDescent="0.25">
      <c r="F1056" s="20"/>
      <c r="G1056" s="20"/>
    </row>
    <row r="1057" spans="6:7" x14ac:dyDescent="0.25">
      <c r="F1057" s="20"/>
      <c r="G1057" s="20"/>
    </row>
    <row r="1058" spans="6:7" x14ac:dyDescent="0.25">
      <c r="F1058" s="20"/>
      <c r="G1058" s="20"/>
    </row>
    <row r="1059" spans="6:7" x14ac:dyDescent="0.25">
      <c r="F1059" s="20"/>
      <c r="G1059" s="20"/>
    </row>
    <row r="1060" spans="6:7" x14ac:dyDescent="0.25">
      <c r="F1060" s="20"/>
      <c r="G1060" s="20"/>
    </row>
    <row r="1061" spans="6:7" x14ac:dyDescent="0.25">
      <c r="F1061" s="20"/>
      <c r="G1061" s="20"/>
    </row>
    <row r="1062" spans="6:7" x14ac:dyDescent="0.25">
      <c r="F1062" s="20"/>
      <c r="G1062" s="20"/>
    </row>
    <row r="1063" spans="6:7" x14ac:dyDescent="0.25">
      <c r="F1063" s="20"/>
      <c r="G1063" s="20"/>
    </row>
    <row r="1064" spans="6:7" x14ac:dyDescent="0.25">
      <c r="F1064" s="20"/>
      <c r="G1064" s="20"/>
    </row>
    <row r="1065" spans="6:7" x14ac:dyDescent="0.25">
      <c r="F1065" s="20"/>
      <c r="G1065" s="20"/>
    </row>
    <row r="1066" spans="6:7" x14ac:dyDescent="0.25">
      <c r="F1066" s="20"/>
      <c r="G1066" s="20"/>
    </row>
    <row r="1067" spans="6:7" x14ac:dyDescent="0.25">
      <c r="F1067" s="20"/>
      <c r="G1067" s="20"/>
    </row>
    <row r="1068" spans="6:7" x14ac:dyDescent="0.25">
      <c r="F1068" s="20"/>
      <c r="G1068" s="20"/>
    </row>
    <row r="1069" spans="6:7" x14ac:dyDescent="0.25">
      <c r="F1069" s="20"/>
      <c r="G1069" s="20"/>
    </row>
    <row r="1070" spans="6:7" x14ac:dyDescent="0.25">
      <c r="F1070" s="20"/>
      <c r="G1070" s="20"/>
    </row>
    <row r="1071" spans="6:7" x14ac:dyDescent="0.25">
      <c r="F1071" s="20"/>
      <c r="G1071" s="20"/>
    </row>
    <row r="1072" spans="6:7" x14ac:dyDescent="0.25">
      <c r="F1072" s="20"/>
      <c r="G1072" s="20"/>
    </row>
    <row r="1073" spans="6:7" x14ac:dyDescent="0.25">
      <c r="F1073" s="20"/>
      <c r="G1073" s="20"/>
    </row>
    <row r="1074" spans="6:7" x14ac:dyDescent="0.25">
      <c r="F1074" s="20"/>
      <c r="G1074" s="20"/>
    </row>
    <row r="1075" spans="6:7" x14ac:dyDescent="0.25">
      <c r="F1075" s="20"/>
      <c r="G1075" s="20"/>
    </row>
    <row r="1076" spans="6:7" x14ac:dyDescent="0.25">
      <c r="F1076" s="20"/>
      <c r="G1076" s="20"/>
    </row>
    <row r="1077" spans="6:7" x14ac:dyDescent="0.25">
      <c r="F1077" s="20"/>
      <c r="G1077" s="20"/>
    </row>
    <row r="1078" spans="6:7" x14ac:dyDescent="0.25">
      <c r="F1078" s="20"/>
      <c r="G1078" s="20"/>
    </row>
    <row r="1079" spans="6:7" x14ac:dyDescent="0.25">
      <c r="F1079" s="20"/>
      <c r="G1079" s="20"/>
    </row>
    <row r="1080" spans="6:7" x14ac:dyDescent="0.25">
      <c r="F1080" s="20"/>
      <c r="G1080" s="20"/>
    </row>
    <row r="1081" spans="6:7" x14ac:dyDescent="0.25">
      <c r="F1081" s="20"/>
      <c r="G1081" s="20"/>
    </row>
    <row r="1082" spans="6:7" x14ac:dyDescent="0.25">
      <c r="F1082" s="20"/>
      <c r="G1082" s="20"/>
    </row>
    <row r="1083" spans="6:7" x14ac:dyDescent="0.25">
      <c r="F1083" s="20"/>
      <c r="G1083" s="20"/>
    </row>
    <row r="1084" spans="6:7" x14ac:dyDescent="0.25">
      <c r="F1084" s="20"/>
      <c r="G1084" s="20"/>
    </row>
    <row r="1085" spans="6:7" x14ac:dyDescent="0.25">
      <c r="F1085" s="20"/>
      <c r="G1085" s="20"/>
    </row>
    <row r="1086" spans="6:7" x14ac:dyDescent="0.25">
      <c r="F1086" s="20"/>
      <c r="G1086" s="20"/>
    </row>
    <row r="1087" spans="6:7" x14ac:dyDescent="0.25">
      <c r="F1087" s="20"/>
      <c r="G1087" s="20"/>
    </row>
    <row r="1088" spans="6:7" x14ac:dyDescent="0.25">
      <c r="F1088" s="20"/>
      <c r="G1088" s="20"/>
    </row>
    <row r="1089" spans="6:7" x14ac:dyDescent="0.25">
      <c r="F1089" s="20"/>
      <c r="G1089" s="20"/>
    </row>
    <row r="1090" spans="6:7" x14ac:dyDescent="0.25">
      <c r="F1090" s="20"/>
      <c r="G1090" s="20"/>
    </row>
    <row r="1091" spans="6:7" x14ac:dyDescent="0.25">
      <c r="F1091" s="20"/>
      <c r="G1091" s="20"/>
    </row>
    <row r="1092" spans="6:7" x14ac:dyDescent="0.25">
      <c r="F1092" s="20"/>
      <c r="G1092" s="20"/>
    </row>
    <row r="1093" spans="6:7" x14ac:dyDescent="0.25">
      <c r="F1093" s="20"/>
      <c r="G1093" s="20"/>
    </row>
    <row r="1094" spans="6:7" x14ac:dyDescent="0.25">
      <c r="F1094" s="20"/>
      <c r="G1094" s="20"/>
    </row>
    <row r="1095" spans="6:7" x14ac:dyDescent="0.25">
      <c r="F1095" s="20"/>
      <c r="G1095" s="20"/>
    </row>
    <row r="1096" spans="6:7" x14ac:dyDescent="0.25">
      <c r="F1096" s="20"/>
      <c r="G1096" s="20"/>
    </row>
    <row r="1097" spans="6:7" x14ac:dyDescent="0.25">
      <c r="F1097" s="20"/>
      <c r="G1097" s="20"/>
    </row>
    <row r="1098" spans="6:7" x14ac:dyDescent="0.25">
      <c r="F1098" s="20"/>
      <c r="G1098" s="20"/>
    </row>
    <row r="1099" spans="6:7" x14ac:dyDescent="0.25">
      <c r="F1099" s="20"/>
      <c r="G1099" s="20"/>
    </row>
    <row r="1100" spans="6:7" x14ac:dyDescent="0.25">
      <c r="F1100" s="20"/>
      <c r="G1100" s="20"/>
    </row>
    <row r="1101" spans="6:7" x14ac:dyDescent="0.25">
      <c r="F1101" s="20"/>
      <c r="G1101" s="20"/>
    </row>
    <row r="1102" spans="6:7" x14ac:dyDescent="0.25">
      <c r="F1102" s="20"/>
      <c r="G1102" s="20"/>
    </row>
    <row r="1103" spans="6:7" x14ac:dyDescent="0.25">
      <c r="F1103" s="20"/>
      <c r="G1103" s="20"/>
    </row>
    <row r="1104" spans="6:7" x14ac:dyDescent="0.25">
      <c r="F1104" s="20"/>
      <c r="G1104" s="20"/>
    </row>
    <row r="1105" spans="6:7" x14ac:dyDescent="0.25">
      <c r="F1105" s="20"/>
      <c r="G1105" s="20"/>
    </row>
    <row r="1106" spans="6:7" x14ac:dyDescent="0.25">
      <c r="F1106" s="20"/>
      <c r="G1106" s="20"/>
    </row>
    <row r="1107" spans="6:7" x14ac:dyDescent="0.25">
      <c r="F1107" s="20"/>
      <c r="G1107" s="20"/>
    </row>
    <row r="1108" spans="6:7" x14ac:dyDescent="0.25">
      <c r="F1108" s="20"/>
      <c r="G1108" s="20"/>
    </row>
    <row r="1109" spans="6:7" x14ac:dyDescent="0.25">
      <c r="F1109" s="20"/>
      <c r="G1109" s="20"/>
    </row>
    <row r="1110" spans="6:7" x14ac:dyDescent="0.25">
      <c r="F1110" s="20"/>
      <c r="G1110" s="20"/>
    </row>
    <row r="1111" spans="6:7" x14ac:dyDescent="0.25">
      <c r="F1111" s="20"/>
      <c r="G1111" s="20"/>
    </row>
    <row r="1112" spans="6:7" x14ac:dyDescent="0.25">
      <c r="F1112" s="20"/>
      <c r="G1112" s="20"/>
    </row>
    <row r="1113" spans="6:7" x14ac:dyDescent="0.25">
      <c r="F1113" s="20"/>
      <c r="G1113" s="20"/>
    </row>
    <row r="1114" spans="6:7" x14ac:dyDescent="0.25">
      <c r="F1114" s="20"/>
      <c r="G1114" s="20"/>
    </row>
    <row r="1115" spans="6:7" x14ac:dyDescent="0.25">
      <c r="F1115" s="20"/>
      <c r="G1115" s="20"/>
    </row>
    <row r="1116" spans="6:7" x14ac:dyDescent="0.25">
      <c r="F1116" s="20"/>
      <c r="G1116" s="20"/>
    </row>
    <row r="1117" spans="6:7" x14ac:dyDescent="0.25">
      <c r="F1117" s="20"/>
      <c r="G1117" s="20"/>
    </row>
    <row r="1118" spans="6:7" x14ac:dyDescent="0.25">
      <c r="F1118" s="20"/>
      <c r="G1118" s="20"/>
    </row>
    <row r="1119" spans="6:7" x14ac:dyDescent="0.25">
      <c r="F1119" s="20"/>
      <c r="G1119" s="20"/>
    </row>
    <row r="1120" spans="6:7" x14ac:dyDescent="0.25">
      <c r="F1120" s="20"/>
      <c r="G1120" s="20"/>
    </row>
    <row r="1121" spans="6:7" x14ac:dyDescent="0.25">
      <c r="F1121" s="20"/>
      <c r="G1121" s="20"/>
    </row>
    <row r="1122" spans="6:7" x14ac:dyDescent="0.25">
      <c r="F1122" s="20"/>
      <c r="G1122" s="20"/>
    </row>
    <row r="1123" spans="6:7" x14ac:dyDescent="0.25">
      <c r="F1123" s="20"/>
      <c r="G1123" s="20"/>
    </row>
    <row r="1124" spans="6:7" x14ac:dyDescent="0.25">
      <c r="F1124" s="20"/>
      <c r="G1124" s="20"/>
    </row>
    <row r="1125" spans="6:7" x14ac:dyDescent="0.25">
      <c r="F1125" s="20"/>
      <c r="G1125" s="20"/>
    </row>
    <row r="1126" spans="6:7" x14ac:dyDescent="0.25">
      <c r="F1126" s="20"/>
      <c r="G1126" s="20"/>
    </row>
    <row r="1127" spans="6:7" x14ac:dyDescent="0.25">
      <c r="F1127" s="20"/>
      <c r="G1127" s="20"/>
    </row>
    <row r="1128" spans="6:7" x14ac:dyDescent="0.25">
      <c r="F1128" s="20"/>
      <c r="G1128" s="20"/>
    </row>
    <row r="1129" spans="6:7" x14ac:dyDescent="0.25">
      <c r="F1129" s="20"/>
      <c r="G1129" s="20"/>
    </row>
    <row r="1130" spans="6:7" x14ac:dyDescent="0.25">
      <c r="F1130" s="20"/>
      <c r="G1130" s="20"/>
    </row>
    <row r="1131" spans="6:7" x14ac:dyDescent="0.25">
      <c r="F1131" s="20"/>
      <c r="G1131" s="20"/>
    </row>
    <row r="1132" spans="6:7" x14ac:dyDescent="0.25">
      <c r="F1132" s="20"/>
      <c r="G1132" s="20"/>
    </row>
    <row r="1133" spans="6:7" x14ac:dyDescent="0.25">
      <c r="F1133" s="20"/>
      <c r="G1133" s="20"/>
    </row>
    <row r="1134" spans="6:7" x14ac:dyDescent="0.25">
      <c r="F1134" s="20"/>
      <c r="G1134" s="20"/>
    </row>
    <row r="1135" spans="6:7" x14ac:dyDescent="0.25">
      <c r="F1135" s="20"/>
      <c r="G1135" s="20"/>
    </row>
    <row r="1136" spans="6:7" x14ac:dyDescent="0.25">
      <c r="F1136" s="20"/>
      <c r="G1136" s="20"/>
    </row>
    <row r="1137" spans="6:7" x14ac:dyDescent="0.25">
      <c r="F1137" s="20"/>
      <c r="G1137" s="20"/>
    </row>
    <row r="1138" spans="6:7" x14ac:dyDescent="0.25">
      <c r="F1138" s="20"/>
      <c r="G1138" s="20"/>
    </row>
    <row r="1139" spans="6:7" x14ac:dyDescent="0.25">
      <c r="F1139" s="20"/>
      <c r="G1139" s="20"/>
    </row>
    <row r="1140" spans="6:7" x14ac:dyDescent="0.25">
      <c r="F1140" s="20"/>
      <c r="G1140" s="20"/>
    </row>
    <row r="1141" spans="6:7" x14ac:dyDescent="0.25">
      <c r="F1141" s="20"/>
      <c r="G1141" s="20"/>
    </row>
    <row r="1142" spans="6:7" x14ac:dyDescent="0.25">
      <c r="F1142" s="20"/>
      <c r="G1142" s="20"/>
    </row>
    <row r="1143" spans="6:7" x14ac:dyDescent="0.25">
      <c r="F1143" s="20"/>
      <c r="G1143" s="20"/>
    </row>
    <row r="1144" spans="6:7" x14ac:dyDescent="0.25">
      <c r="F1144" s="20"/>
      <c r="G1144" s="20"/>
    </row>
    <row r="1145" spans="6:7" x14ac:dyDescent="0.25">
      <c r="F1145" s="20"/>
      <c r="G1145" s="20"/>
    </row>
    <row r="1146" spans="6:7" x14ac:dyDescent="0.25">
      <c r="F1146" s="20"/>
      <c r="G1146" s="20"/>
    </row>
    <row r="1147" spans="6:7" x14ac:dyDescent="0.25">
      <c r="F1147" s="20"/>
      <c r="G1147" s="20"/>
    </row>
    <row r="1148" spans="6:7" x14ac:dyDescent="0.25">
      <c r="F1148" s="20"/>
      <c r="G1148" s="20"/>
    </row>
    <row r="1149" spans="6:7" x14ac:dyDescent="0.25">
      <c r="F1149" s="20"/>
      <c r="G1149" s="20"/>
    </row>
    <row r="1150" spans="6:7" x14ac:dyDescent="0.25">
      <c r="F1150" s="20"/>
      <c r="G1150" s="20"/>
    </row>
    <row r="1151" spans="6:7" x14ac:dyDescent="0.25">
      <c r="F1151" s="20"/>
      <c r="G1151" s="20"/>
    </row>
    <row r="1152" spans="6:7" x14ac:dyDescent="0.25">
      <c r="F1152" s="20"/>
      <c r="G1152" s="20"/>
    </row>
    <row r="1153" spans="6:7" x14ac:dyDescent="0.25">
      <c r="F1153" s="20"/>
      <c r="G1153" s="20"/>
    </row>
    <row r="1154" spans="6:7" x14ac:dyDescent="0.25">
      <c r="F1154" s="20"/>
      <c r="G1154" s="20"/>
    </row>
    <row r="1155" spans="6:7" x14ac:dyDescent="0.25">
      <c r="F1155" s="20"/>
      <c r="G1155" s="20"/>
    </row>
    <row r="1156" spans="6:7" x14ac:dyDescent="0.25">
      <c r="F1156" s="20"/>
      <c r="G1156" s="20"/>
    </row>
    <row r="1157" spans="6:7" x14ac:dyDescent="0.25">
      <c r="F1157" s="20"/>
      <c r="G1157" s="20"/>
    </row>
    <row r="1158" spans="6:7" x14ac:dyDescent="0.25">
      <c r="F1158" s="20"/>
      <c r="G1158" s="20"/>
    </row>
    <row r="1159" spans="6:7" x14ac:dyDescent="0.25">
      <c r="F1159" s="20"/>
      <c r="G1159" s="20"/>
    </row>
    <row r="1160" spans="6:7" x14ac:dyDescent="0.25">
      <c r="F1160" s="20"/>
      <c r="G1160" s="20"/>
    </row>
    <row r="1161" spans="6:7" x14ac:dyDescent="0.25">
      <c r="F1161" s="20"/>
      <c r="G1161" s="20"/>
    </row>
    <row r="1162" spans="6:7" x14ac:dyDescent="0.25">
      <c r="F1162" s="20"/>
      <c r="G1162" s="20"/>
    </row>
    <row r="1163" spans="6:7" x14ac:dyDescent="0.25">
      <c r="F1163" s="20"/>
      <c r="G1163" s="20"/>
    </row>
    <row r="1164" spans="6:7" x14ac:dyDescent="0.25">
      <c r="F1164" s="20"/>
      <c r="G1164" s="20"/>
    </row>
    <row r="1165" spans="6:7" x14ac:dyDescent="0.25">
      <c r="F1165" s="20"/>
      <c r="G1165" s="20"/>
    </row>
    <row r="1166" spans="6:7" x14ac:dyDescent="0.25">
      <c r="F1166" s="20"/>
      <c r="G1166" s="20"/>
    </row>
    <row r="1167" spans="6:7" x14ac:dyDescent="0.25">
      <c r="F1167" s="20"/>
      <c r="G1167" s="20"/>
    </row>
    <row r="1168" spans="6:7" x14ac:dyDescent="0.25">
      <c r="F1168" s="20"/>
      <c r="G1168" s="20"/>
    </row>
    <row r="1169" spans="6:7" x14ac:dyDescent="0.25">
      <c r="F1169" s="20"/>
      <c r="G1169" s="20"/>
    </row>
    <row r="1170" spans="6:7" x14ac:dyDescent="0.25">
      <c r="F1170" s="20"/>
      <c r="G1170" s="20"/>
    </row>
    <row r="1171" spans="6:7" x14ac:dyDescent="0.25">
      <c r="F1171" s="20"/>
      <c r="G1171" s="20"/>
    </row>
    <row r="1172" spans="6:7" x14ac:dyDescent="0.25">
      <c r="F1172" s="20"/>
      <c r="G1172" s="20"/>
    </row>
    <row r="1173" spans="6:7" x14ac:dyDescent="0.25">
      <c r="F1173" s="20"/>
      <c r="G1173" s="20"/>
    </row>
    <row r="1174" spans="6:7" x14ac:dyDescent="0.25">
      <c r="F1174" s="20"/>
      <c r="G1174" s="20"/>
    </row>
    <row r="1175" spans="6:7" x14ac:dyDescent="0.25">
      <c r="F1175" s="20"/>
      <c r="G1175" s="20"/>
    </row>
    <row r="1176" spans="6:7" x14ac:dyDescent="0.25">
      <c r="F1176" s="20"/>
      <c r="G1176" s="20"/>
    </row>
    <row r="1177" spans="6:7" x14ac:dyDescent="0.25">
      <c r="F1177" s="20"/>
      <c r="G1177" s="20"/>
    </row>
    <row r="1178" spans="6:7" x14ac:dyDescent="0.25">
      <c r="F1178" s="20"/>
      <c r="G1178" s="20"/>
    </row>
    <row r="1179" spans="6:7" x14ac:dyDescent="0.25">
      <c r="F1179" s="20"/>
      <c r="G1179" s="20"/>
    </row>
    <row r="1180" spans="6:7" x14ac:dyDescent="0.25">
      <c r="F1180" s="20"/>
      <c r="G1180" s="20"/>
    </row>
    <row r="1181" spans="6:7" x14ac:dyDescent="0.25">
      <c r="F1181" s="20"/>
      <c r="G1181" s="20"/>
    </row>
    <row r="1182" spans="6:7" x14ac:dyDescent="0.25">
      <c r="F1182" s="20"/>
      <c r="G1182" s="20"/>
    </row>
    <row r="1183" spans="6:7" x14ac:dyDescent="0.25">
      <c r="F1183" s="20"/>
      <c r="G1183" s="20"/>
    </row>
    <row r="1184" spans="6:7" x14ac:dyDescent="0.25">
      <c r="F1184" s="20"/>
      <c r="G1184" s="20"/>
    </row>
    <row r="1185" spans="6:7" x14ac:dyDescent="0.25">
      <c r="F1185" s="20"/>
      <c r="G1185" s="20"/>
    </row>
    <row r="1186" spans="6:7" x14ac:dyDescent="0.25">
      <c r="F1186" s="20"/>
      <c r="G1186" s="20"/>
    </row>
    <row r="1187" spans="6:7" x14ac:dyDescent="0.25">
      <c r="F1187" s="20"/>
      <c r="G1187" s="20"/>
    </row>
    <row r="1188" spans="6:7" x14ac:dyDescent="0.25">
      <c r="F1188" s="20"/>
      <c r="G1188" s="20"/>
    </row>
    <row r="1189" spans="6:7" x14ac:dyDescent="0.25">
      <c r="F1189" s="20"/>
      <c r="G1189" s="20"/>
    </row>
    <row r="1190" spans="6:7" x14ac:dyDescent="0.25">
      <c r="F1190" s="20"/>
      <c r="G1190" s="20"/>
    </row>
    <row r="1191" spans="6:7" x14ac:dyDescent="0.25">
      <c r="F1191" s="20"/>
      <c r="G1191" s="20"/>
    </row>
    <row r="1192" spans="6:7" x14ac:dyDescent="0.25">
      <c r="F1192" s="20"/>
      <c r="G1192" s="20"/>
    </row>
    <row r="1193" spans="6:7" x14ac:dyDescent="0.25">
      <c r="F1193" s="20"/>
      <c r="G1193" s="20"/>
    </row>
    <row r="1194" spans="6:7" x14ac:dyDescent="0.25">
      <c r="F1194" s="20"/>
      <c r="G1194" s="20"/>
    </row>
    <row r="1195" spans="6:7" x14ac:dyDescent="0.25">
      <c r="F1195" s="20"/>
      <c r="G1195" s="20"/>
    </row>
    <row r="1196" spans="6:7" x14ac:dyDescent="0.25">
      <c r="F1196" s="20"/>
      <c r="G1196" s="20"/>
    </row>
    <row r="1197" spans="6:7" x14ac:dyDescent="0.25">
      <c r="F1197" s="20"/>
      <c r="G1197" s="20"/>
    </row>
    <row r="1198" spans="6:7" x14ac:dyDescent="0.25">
      <c r="F1198" s="20"/>
      <c r="G1198" s="20"/>
    </row>
    <row r="1199" spans="6:7" x14ac:dyDescent="0.25">
      <c r="F1199" s="20"/>
      <c r="G1199" s="20"/>
    </row>
    <row r="1200" spans="6:7" x14ac:dyDescent="0.25">
      <c r="F1200" s="20"/>
      <c r="G1200" s="20"/>
    </row>
    <row r="1201" spans="6:7" x14ac:dyDescent="0.25">
      <c r="F1201" s="20"/>
      <c r="G1201" s="20"/>
    </row>
    <row r="1202" spans="6:7" x14ac:dyDescent="0.25">
      <c r="F1202" s="20"/>
      <c r="G1202" s="20"/>
    </row>
    <row r="1203" spans="6:7" x14ac:dyDescent="0.25">
      <c r="F1203" s="20"/>
      <c r="G1203" s="20"/>
    </row>
    <row r="1204" spans="6:7" x14ac:dyDescent="0.25">
      <c r="F1204" s="20"/>
      <c r="G1204" s="20"/>
    </row>
    <row r="1205" spans="6:7" x14ac:dyDescent="0.25">
      <c r="F1205" s="20"/>
      <c r="G1205" s="20"/>
    </row>
    <row r="1206" spans="6:7" x14ac:dyDescent="0.25">
      <c r="F1206" s="20"/>
      <c r="G1206" s="20"/>
    </row>
    <row r="1207" spans="6:7" x14ac:dyDescent="0.25">
      <c r="F1207" s="20"/>
      <c r="G1207" s="20"/>
    </row>
    <row r="1208" spans="6:7" x14ac:dyDescent="0.25">
      <c r="F1208" s="20"/>
      <c r="G1208" s="20"/>
    </row>
    <row r="1209" spans="6:7" x14ac:dyDescent="0.25">
      <c r="F1209" s="20"/>
      <c r="G1209" s="20"/>
    </row>
    <row r="1210" spans="6:7" x14ac:dyDescent="0.25">
      <c r="F1210" s="20"/>
      <c r="G1210" s="20"/>
    </row>
    <row r="1211" spans="6:7" x14ac:dyDescent="0.25">
      <c r="F1211" s="20"/>
      <c r="G1211" s="20"/>
    </row>
    <row r="1212" spans="6:7" x14ac:dyDescent="0.25">
      <c r="F1212" s="20"/>
      <c r="G1212" s="20"/>
    </row>
    <row r="1213" spans="6:7" x14ac:dyDescent="0.25">
      <c r="F1213" s="20"/>
      <c r="G1213" s="20"/>
    </row>
    <row r="1214" spans="6:7" x14ac:dyDescent="0.25">
      <c r="F1214" s="20"/>
      <c r="G1214" s="20"/>
    </row>
    <row r="1215" spans="6:7" x14ac:dyDescent="0.25">
      <c r="F1215" s="20"/>
      <c r="G1215" s="20"/>
    </row>
    <row r="1216" spans="6:7" x14ac:dyDescent="0.25">
      <c r="F1216" s="20"/>
      <c r="G1216" s="20"/>
    </row>
    <row r="1217" spans="6:7" x14ac:dyDescent="0.25">
      <c r="F1217" s="20"/>
      <c r="G1217" s="20"/>
    </row>
    <row r="1218" spans="6:7" x14ac:dyDescent="0.25">
      <c r="F1218" s="20"/>
      <c r="G1218" s="20"/>
    </row>
    <row r="1219" spans="6:7" x14ac:dyDescent="0.25">
      <c r="F1219" s="20"/>
      <c r="G1219" s="20"/>
    </row>
    <row r="1220" spans="6:7" x14ac:dyDescent="0.25">
      <c r="F1220" s="20"/>
      <c r="G1220" s="20"/>
    </row>
    <row r="1221" spans="6:7" x14ac:dyDescent="0.25">
      <c r="F1221" s="20"/>
      <c r="G1221" s="20"/>
    </row>
    <row r="1222" spans="6:7" x14ac:dyDescent="0.25">
      <c r="F1222" s="20"/>
      <c r="G1222" s="20"/>
    </row>
    <row r="1223" spans="6:7" x14ac:dyDescent="0.25">
      <c r="F1223" s="20"/>
      <c r="G1223" s="20"/>
    </row>
    <row r="1224" spans="6:7" x14ac:dyDescent="0.25">
      <c r="F1224" s="20"/>
      <c r="G1224" s="20"/>
    </row>
    <row r="1225" spans="6:7" x14ac:dyDescent="0.25">
      <c r="F1225" s="20"/>
      <c r="G1225" s="20"/>
    </row>
    <row r="1226" spans="6:7" x14ac:dyDescent="0.25">
      <c r="F1226" s="20"/>
      <c r="G1226" s="20"/>
    </row>
    <row r="1227" spans="6:7" x14ac:dyDescent="0.25">
      <c r="F1227" s="20"/>
      <c r="G1227" s="20"/>
    </row>
    <row r="1228" spans="6:7" x14ac:dyDescent="0.25">
      <c r="F1228" s="20"/>
      <c r="G1228" s="20"/>
    </row>
    <row r="1229" spans="6:7" x14ac:dyDescent="0.25">
      <c r="F1229" s="20"/>
      <c r="G1229" s="20"/>
    </row>
    <row r="1230" spans="6:7" x14ac:dyDescent="0.25">
      <c r="F1230" s="20"/>
      <c r="G1230" s="20"/>
    </row>
    <row r="1231" spans="6:7" x14ac:dyDescent="0.25">
      <c r="F1231" s="20"/>
      <c r="G1231" s="20"/>
    </row>
    <row r="1232" spans="6:7" x14ac:dyDescent="0.25">
      <c r="F1232" s="20"/>
      <c r="G1232" s="20"/>
    </row>
    <row r="1233" spans="6:7" x14ac:dyDescent="0.25">
      <c r="F1233" s="20"/>
      <c r="G1233" s="20"/>
    </row>
    <row r="1234" spans="6:7" x14ac:dyDescent="0.25">
      <c r="F1234" s="20"/>
      <c r="G1234" s="20"/>
    </row>
    <row r="1235" spans="6:7" x14ac:dyDescent="0.25">
      <c r="F1235" s="20"/>
      <c r="G1235" s="20"/>
    </row>
    <row r="1236" spans="6:7" x14ac:dyDescent="0.25">
      <c r="F1236" s="20"/>
      <c r="G1236" s="20"/>
    </row>
    <row r="1237" spans="6:7" x14ac:dyDescent="0.25">
      <c r="F1237" s="20"/>
      <c r="G1237" s="20"/>
    </row>
    <row r="1238" spans="6:7" x14ac:dyDescent="0.25">
      <c r="F1238" s="20"/>
      <c r="G1238" s="20"/>
    </row>
    <row r="1239" spans="6:7" x14ac:dyDescent="0.25">
      <c r="F1239" s="20"/>
      <c r="G1239" s="20"/>
    </row>
    <row r="1240" spans="6:7" x14ac:dyDescent="0.25">
      <c r="F1240" s="20"/>
      <c r="G1240" s="20"/>
    </row>
    <row r="1241" spans="6:7" x14ac:dyDescent="0.25">
      <c r="F1241" s="20"/>
      <c r="G1241" s="20"/>
    </row>
    <row r="1242" spans="6:7" x14ac:dyDescent="0.25">
      <c r="F1242" s="20"/>
      <c r="G1242" s="20"/>
    </row>
    <row r="1243" spans="6:7" x14ac:dyDescent="0.25">
      <c r="F1243" s="20"/>
      <c r="G1243" s="20"/>
    </row>
    <row r="1244" spans="6:7" x14ac:dyDescent="0.25">
      <c r="F1244" s="20"/>
      <c r="G1244" s="20"/>
    </row>
    <row r="1245" spans="6:7" x14ac:dyDescent="0.25">
      <c r="F1245" s="20"/>
      <c r="G1245" s="20"/>
    </row>
    <row r="1246" spans="6:7" x14ac:dyDescent="0.25">
      <c r="F1246" s="20"/>
      <c r="G1246" s="20"/>
    </row>
    <row r="1247" spans="6:7" x14ac:dyDescent="0.25">
      <c r="F1247" s="20"/>
      <c r="G1247" s="20"/>
    </row>
    <row r="1248" spans="6:7" x14ac:dyDescent="0.25">
      <c r="F1248" s="20"/>
      <c r="G1248" s="20"/>
    </row>
    <row r="1249" spans="6:7" x14ac:dyDescent="0.25">
      <c r="F1249" s="20"/>
      <c r="G1249" s="20"/>
    </row>
    <row r="1250" spans="6:7" x14ac:dyDescent="0.25">
      <c r="F1250" s="20"/>
      <c r="G1250" s="20"/>
    </row>
    <row r="1251" spans="6:7" x14ac:dyDescent="0.25">
      <c r="F1251" s="20"/>
      <c r="G1251" s="20"/>
    </row>
    <row r="1252" spans="6:7" x14ac:dyDescent="0.25">
      <c r="F1252" s="20"/>
      <c r="G1252" s="20"/>
    </row>
    <row r="1253" spans="6:7" x14ac:dyDescent="0.25">
      <c r="F1253" s="20"/>
      <c r="G1253" s="20"/>
    </row>
    <row r="1254" spans="6:7" x14ac:dyDescent="0.25">
      <c r="F1254" s="20"/>
      <c r="G1254" s="20"/>
    </row>
    <row r="1255" spans="6:7" x14ac:dyDescent="0.25">
      <c r="F1255" s="20"/>
      <c r="G1255" s="20"/>
    </row>
    <row r="1256" spans="6:7" x14ac:dyDescent="0.25">
      <c r="F1256" s="20"/>
      <c r="G1256" s="20"/>
    </row>
    <row r="1257" spans="6:7" x14ac:dyDescent="0.25">
      <c r="F1257" s="20"/>
      <c r="G1257" s="20"/>
    </row>
    <row r="1258" spans="6:7" x14ac:dyDescent="0.25">
      <c r="F1258" s="20"/>
      <c r="G1258" s="20"/>
    </row>
    <row r="1259" spans="6:7" x14ac:dyDescent="0.25">
      <c r="F1259" s="20"/>
      <c r="G1259" s="20"/>
    </row>
    <row r="1260" spans="6:7" x14ac:dyDescent="0.25">
      <c r="F1260" s="20"/>
      <c r="G1260" s="20"/>
    </row>
    <row r="1261" spans="6:7" x14ac:dyDescent="0.25">
      <c r="F1261" s="20"/>
      <c r="G1261" s="20"/>
    </row>
    <row r="1262" spans="6:7" x14ac:dyDescent="0.25">
      <c r="F1262" s="20"/>
      <c r="G1262" s="20"/>
    </row>
    <row r="1263" spans="6:7" x14ac:dyDescent="0.25">
      <c r="F1263" s="20"/>
      <c r="G1263" s="20"/>
    </row>
    <row r="1264" spans="6:7" x14ac:dyDescent="0.25">
      <c r="F1264" s="20"/>
      <c r="G1264" s="20"/>
    </row>
    <row r="1265" spans="6:7" x14ac:dyDescent="0.25">
      <c r="F1265" s="20"/>
      <c r="G1265" s="20"/>
    </row>
    <row r="1266" spans="6:7" x14ac:dyDescent="0.25">
      <c r="F1266" s="20"/>
      <c r="G1266" s="20"/>
    </row>
    <row r="1267" spans="6:7" x14ac:dyDescent="0.25">
      <c r="F1267" s="20"/>
      <c r="G1267" s="20"/>
    </row>
    <row r="1268" spans="6:7" x14ac:dyDescent="0.25">
      <c r="F1268" s="20"/>
      <c r="G1268" s="20"/>
    </row>
    <row r="1269" spans="6:7" x14ac:dyDescent="0.25">
      <c r="F1269" s="20"/>
      <c r="G1269" s="20"/>
    </row>
    <row r="1270" spans="6:7" x14ac:dyDescent="0.25">
      <c r="F1270" s="20"/>
      <c r="G1270" s="20"/>
    </row>
    <row r="1271" spans="6:7" x14ac:dyDescent="0.25">
      <c r="F1271" s="20"/>
      <c r="G1271" s="20"/>
    </row>
    <row r="1272" spans="6:7" x14ac:dyDescent="0.25">
      <c r="F1272" s="20"/>
      <c r="G1272" s="20"/>
    </row>
    <row r="1273" spans="6:7" x14ac:dyDescent="0.25">
      <c r="F1273" s="20"/>
      <c r="G1273" s="20"/>
    </row>
    <row r="1274" spans="6:7" x14ac:dyDescent="0.25">
      <c r="F1274" s="20"/>
      <c r="G1274" s="20"/>
    </row>
    <row r="1275" spans="6:7" x14ac:dyDescent="0.25">
      <c r="F1275" s="20"/>
      <c r="G1275" s="20"/>
    </row>
    <row r="1276" spans="6:7" x14ac:dyDescent="0.25">
      <c r="F1276" s="20"/>
      <c r="G1276" s="20"/>
    </row>
    <row r="1277" spans="6:7" x14ac:dyDescent="0.25">
      <c r="F1277" s="20"/>
      <c r="G1277" s="20"/>
    </row>
    <row r="1278" spans="6:7" x14ac:dyDescent="0.25">
      <c r="F1278" s="20"/>
      <c r="G1278" s="20"/>
    </row>
    <row r="1279" spans="6:7" x14ac:dyDescent="0.25">
      <c r="F1279" s="20"/>
      <c r="G1279" s="20"/>
    </row>
    <row r="1280" spans="6:7" x14ac:dyDescent="0.25">
      <c r="F1280" s="20"/>
      <c r="G1280" s="20"/>
    </row>
    <row r="1281" spans="6:7" x14ac:dyDescent="0.25">
      <c r="F1281" s="20"/>
      <c r="G1281" s="20"/>
    </row>
    <row r="1282" spans="6:7" x14ac:dyDescent="0.25">
      <c r="F1282" s="20"/>
      <c r="G1282" s="20"/>
    </row>
    <row r="1283" spans="6:7" x14ac:dyDescent="0.25">
      <c r="F1283" s="20"/>
      <c r="G1283" s="20"/>
    </row>
    <row r="1284" spans="6:7" x14ac:dyDescent="0.25">
      <c r="F1284" s="20"/>
      <c r="G1284" s="20"/>
    </row>
    <row r="1285" spans="6:7" x14ac:dyDescent="0.25">
      <c r="F1285" s="20"/>
      <c r="G1285" s="20"/>
    </row>
    <row r="1286" spans="6:7" x14ac:dyDescent="0.25">
      <c r="F1286" s="20"/>
      <c r="G1286" s="20"/>
    </row>
    <row r="1287" spans="6:7" x14ac:dyDescent="0.25">
      <c r="F1287" s="20"/>
      <c r="G1287" s="20"/>
    </row>
    <row r="1288" spans="6:7" x14ac:dyDescent="0.25">
      <c r="F1288" s="20"/>
      <c r="G1288" s="20"/>
    </row>
    <row r="1289" spans="6:7" x14ac:dyDescent="0.25">
      <c r="F1289" s="20"/>
      <c r="G1289" s="20"/>
    </row>
    <row r="1290" spans="6:7" x14ac:dyDescent="0.25">
      <c r="F1290" s="20"/>
      <c r="G1290" s="20"/>
    </row>
    <row r="1291" spans="6:7" x14ac:dyDescent="0.25">
      <c r="F1291" s="20"/>
      <c r="G1291" s="20"/>
    </row>
    <row r="1292" spans="6:7" x14ac:dyDescent="0.25">
      <c r="F1292" s="20"/>
      <c r="G1292" s="20"/>
    </row>
    <row r="1293" spans="6:7" x14ac:dyDescent="0.25">
      <c r="F1293" s="20"/>
      <c r="G1293" s="20"/>
    </row>
    <row r="1294" spans="6:7" x14ac:dyDescent="0.25">
      <c r="F1294" s="20"/>
      <c r="G1294" s="20"/>
    </row>
    <row r="1295" spans="6:7" x14ac:dyDescent="0.25">
      <c r="F1295" s="20"/>
      <c r="G1295" s="20"/>
    </row>
    <row r="1296" spans="6:7" x14ac:dyDescent="0.25">
      <c r="F1296" s="20"/>
      <c r="G1296" s="20"/>
    </row>
    <row r="1297" spans="6:7" x14ac:dyDescent="0.25">
      <c r="F1297" s="20"/>
      <c r="G1297" s="20"/>
    </row>
    <row r="1298" spans="6:7" x14ac:dyDescent="0.25">
      <c r="F1298" s="20"/>
      <c r="G1298" s="20"/>
    </row>
    <row r="1299" spans="6:7" x14ac:dyDescent="0.25">
      <c r="F1299" s="20"/>
      <c r="G1299" s="20"/>
    </row>
    <row r="1300" spans="6:7" x14ac:dyDescent="0.25">
      <c r="F1300" s="20"/>
      <c r="G1300" s="20"/>
    </row>
    <row r="1301" spans="6:7" x14ac:dyDescent="0.25">
      <c r="F1301" s="20"/>
      <c r="G1301" s="20"/>
    </row>
    <row r="1302" spans="6:7" x14ac:dyDescent="0.25">
      <c r="F1302" s="20"/>
      <c r="G1302" s="20"/>
    </row>
    <row r="1303" spans="6:7" x14ac:dyDescent="0.25">
      <c r="F1303" s="20"/>
      <c r="G1303" s="20"/>
    </row>
    <row r="1304" spans="6:7" x14ac:dyDescent="0.25">
      <c r="F1304" s="20"/>
      <c r="G1304" s="20"/>
    </row>
    <row r="1305" spans="6:7" x14ac:dyDescent="0.25">
      <c r="F1305" s="20"/>
      <c r="G1305" s="20"/>
    </row>
    <row r="1306" spans="6:7" x14ac:dyDescent="0.25">
      <c r="F1306" s="20"/>
      <c r="G1306" s="20"/>
    </row>
    <row r="1307" spans="6:7" x14ac:dyDescent="0.25">
      <c r="F1307" s="20"/>
      <c r="G1307" s="20"/>
    </row>
    <row r="1308" spans="6:7" x14ac:dyDescent="0.25">
      <c r="F1308" s="20"/>
      <c r="G1308" s="20"/>
    </row>
    <row r="1309" spans="6:7" x14ac:dyDescent="0.25">
      <c r="F1309" s="20"/>
      <c r="G1309" s="20"/>
    </row>
    <row r="1310" spans="6:7" x14ac:dyDescent="0.25">
      <c r="F1310" s="20"/>
      <c r="G1310" s="20"/>
    </row>
    <row r="1311" spans="6:7" x14ac:dyDescent="0.25">
      <c r="F1311" s="20"/>
      <c r="G1311" s="20"/>
    </row>
    <row r="1312" spans="6:7" x14ac:dyDescent="0.25">
      <c r="F1312" s="20"/>
      <c r="G1312" s="20"/>
    </row>
    <row r="1313" spans="6:7" x14ac:dyDescent="0.25">
      <c r="F1313" s="20"/>
      <c r="G1313" s="20"/>
    </row>
    <row r="1314" spans="6:7" x14ac:dyDescent="0.25">
      <c r="F1314" s="20"/>
      <c r="G1314" s="20"/>
    </row>
    <row r="1315" spans="6:7" x14ac:dyDescent="0.25">
      <c r="F1315" s="20"/>
      <c r="G1315" s="20"/>
    </row>
    <row r="1316" spans="6:7" x14ac:dyDescent="0.25">
      <c r="F1316" s="20"/>
      <c r="G1316" s="20"/>
    </row>
    <row r="1317" spans="6:7" x14ac:dyDescent="0.25">
      <c r="F1317" s="20"/>
      <c r="G1317" s="20"/>
    </row>
    <row r="1318" spans="6:7" x14ac:dyDescent="0.25">
      <c r="F1318" s="20"/>
      <c r="G1318" s="20"/>
    </row>
    <row r="1319" spans="6:7" x14ac:dyDescent="0.25">
      <c r="F1319" s="20"/>
      <c r="G1319" s="20"/>
    </row>
    <row r="1320" spans="6:7" x14ac:dyDescent="0.25">
      <c r="F1320" s="20"/>
      <c r="G1320" s="20"/>
    </row>
    <row r="1321" spans="6:7" x14ac:dyDescent="0.25">
      <c r="F1321" s="20"/>
      <c r="G1321" s="20"/>
    </row>
    <row r="1322" spans="6:7" x14ac:dyDescent="0.25">
      <c r="F1322" s="20"/>
      <c r="G1322" s="20"/>
    </row>
    <row r="1323" spans="6:7" x14ac:dyDescent="0.25">
      <c r="F1323" s="20"/>
      <c r="G1323" s="20"/>
    </row>
    <row r="1324" spans="6:7" x14ac:dyDescent="0.25">
      <c r="F1324" s="20"/>
      <c r="G1324" s="20"/>
    </row>
    <row r="1325" spans="6:7" x14ac:dyDescent="0.25">
      <c r="F1325" s="20"/>
      <c r="G1325" s="20"/>
    </row>
    <row r="1326" spans="6:7" x14ac:dyDescent="0.25">
      <c r="F1326" s="20"/>
      <c r="G1326" s="20"/>
    </row>
    <row r="1327" spans="6:7" x14ac:dyDescent="0.25">
      <c r="F1327" s="20"/>
      <c r="G1327" s="20"/>
    </row>
    <row r="1328" spans="6:7" x14ac:dyDescent="0.25">
      <c r="F1328" s="20"/>
      <c r="G1328" s="20"/>
    </row>
    <row r="1329" spans="6:7" x14ac:dyDescent="0.25">
      <c r="F1329" s="20"/>
      <c r="G1329" s="20"/>
    </row>
    <row r="1330" spans="6:7" x14ac:dyDescent="0.25">
      <c r="F1330" s="20"/>
      <c r="G1330" s="20"/>
    </row>
    <row r="1331" spans="6:7" x14ac:dyDescent="0.25">
      <c r="F1331" s="20"/>
      <c r="G1331" s="20"/>
    </row>
    <row r="1332" spans="6:7" x14ac:dyDescent="0.25">
      <c r="F1332" s="20"/>
      <c r="G1332" s="20"/>
    </row>
    <row r="1333" spans="6:7" x14ac:dyDescent="0.25">
      <c r="F1333" s="20"/>
      <c r="G1333" s="20"/>
    </row>
    <row r="1334" spans="6:7" x14ac:dyDescent="0.25">
      <c r="F1334" s="20"/>
      <c r="G1334" s="20"/>
    </row>
    <row r="1335" spans="6:7" x14ac:dyDescent="0.25">
      <c r="F1335" s="20"/>
      <c r="G1335" s="20"/>
    </row>
    <row r="1336" spans="6:7" x14ac:dyDescent="0.25">
      <c r="F1336" s="20"/>
      <c r="G1336" s="20"/>
    </row>
    <row r="1337" spans="6:7" x14ac:dyDescent="0.25">
      <c r="F1337" s="20"/>
      <c r="G1337" s="20"/>
    </row>
    <row r="1338" spans="6:7" x14ac:dyDescent="0.25">
      <c r="F1338" s="20"/>
      <c r="G1338" s="20"/>
    </row>
    <row r="1339" spans="6:7" x14ac:dyDescent="0.25">
      <c r="F1339" s="20"/>
      <c r="G1339" s="20"/>
    </row>
    <row r="1340" spans="6:7" x14ac:dyDescent="0.25">
      <c r="F1340" s="20"/>
      <c r="G1340" s="20"/>
    </row>
    <row r="1341" spans="6:7" x14ac:dyDescent="0.25">
      <c r="F1341" s="20"/>
      <c r="G1341" s="20"/>
    </row>
    <row r="1342" spans="6:7" x14ac:dyDescent="0.25">
      <c r="F1342" s="20"/>
      <c r="G1342" s="20"/>
    </row>
    <row r="1343" spans="6:7" x14ac:dyDescent="0.25">
      <c r="F1343" s="20"/>
      <c r="G1343" s="20"/>
    </row>
    <row r="1344" spans="6:7" x14ac:dyDescent="0.25">
      <c r="F1344" s="20"/>
      <c r="G1344" s="20"/>
    </row>
    <row r="1345" spans="6:7" x14ac:dyDescent="0.25">
      <c r="F1345" s="20"/>
      <c r="G1345" s="20"/>
    </row>
    <row r="1346" spans="6:7" x14ac:dyDescent="0.25">
      <c r="F1346" s="20"/>
      <c r="G1346" s="20"/>
    </row>
    <row r="1347" spans="6:7" x14ac:dyDescent="0.25">
      <c r="F1347" s="20"/>
      <c r="G1347" s="20"/>
    </row>
    <row r="1348" spans="6:7" x14ac:dyDescent="0.25">
      <c r="F1348" s="20"/>
      <c r="G1348" s="20"/>
    </row>
    <row r="1349" spans="6:7" x14ac:dyDescent="0.25">
      <c r="F1349" s="20"/>
      <c r="G1349" s="20"/>
    </row>
    <row r="1350" spans="6:7" x14ac:dyDescent="0.25">
      <c r="F1350" s="20"/>
      <c r="G1350" s="20"/>
    </row>
    <row r="1351" spans="6:7" x14ac:dyDescent="0.25">
      <c r="F1351" s="20"/>
      <c r="G1351" s="20"/>
    </row>
    <row r="1352" spans="6:7" x14ac:dyDescent="0.25">
      <c r="F1352" s="20"/>
      <c r="G1352" s="20"/>
    </row>
    <row r="1353" spans="6:7" x14ac:dyDescent="0.25">
      <c r="F1353" s="20"/>
      <c r="G1353" s="20"/>
    </row>
    <row r="1354" spans="6:7" x14ac:dyDescent="0.25">
      <c r="F1354" s="20"/>
      <c r="G1354" s="20"/>
    </row>
    <row r="1355" spans="6:7" x14ac:dyDescent="0.25">
      <c r="F1355" s="20"/>
      <c r="G1355" s="20"/>
    </row>
    <row r="1356" spans="6:7" x14ac:dyDescent="0.25">
      <c r="F1356" s="20"/>
      <c r="G1356" s="20"/>
    </row>
    <row r="1357" spans="6:7" x14ac:dyDescent="0.25">
      <c r="F1357" s="20"/>
      <c r="G1357" s="20"/>
    </row>
    <row r="1358" spans="6:7" x14ac:dyDescent="0.25">
      <c r="F1358" s="20"/>
      <c r="G1358" s="20"/>
    </row>
    <row r="1359" spans="6:7" x14ac:dyDescent="0.25">
      <c r="F1359" s="20"/>
      <c r="G1359" s="20"/>
    </row>
    <row r="1360" spans="6:7" x14ac:dyDescent="0.25">
      <c r="F1360" s="20"/>
      <c r="G1360" s="20"/>
    </row>
    <row r="1361" spans="6:7" x14ac:dyDescent="0.25">
      <c r="F1361" s="20"/>
      <c r="G1361" s="20"/>
    </row>
    <row r="1362" spans="6:7" x14ac:dyDescent="0.25">
      <c r="F1362" s="20"/>
      <c r="G1362" s="20"/>
    </row>
    <row r="1363" spans="6:7" x14ac:dyDescent="0.25">
      <c r="F1363" s="20"/>
      <c r="G1363" s="20"/>
    </row>
    <row r="1364" spans="6:7" x14ac:dyDescent="0.25">
      <c r="F1364" s="20"/>
      <c r="G1364" s="20"/>
    </row>
    <row r="1365" spans="6:7" x14ac:dyDescent="0.25">
      <c r="F1365" s="20"/>
      <c r="G1365" s="20"/>
    </row>
    <row r="1366" spans="6:7" x14ac:dyDescent="0.25">
      <c r="F1366" s="20"/>
      <c r="G1366" s="20"/>
    </row>
    <row r="1367" spans="6:7" x14ac:dyDescent="0.25">
      <c r="F1367" s="20"/>
      <c r="G1367" s="20"/>
    </row>
    <row r="1368" spans="6:7" x14ac:dyDescent="0.25">
      <c r="F1368" s="20"/>
      <c r="G1368" s="20"/>
    </row>
    <row r="1369" spans="6:7" x14ac:dyDescent="0.25">
      <c r="F1369" s="20"/>
      <c r="G1369" s="20"/>
    </row>
    <row r="1370" spans="6:7" x14ac:dyDescent="0.25">
      <c r="F1370" s="20"/>
      <c r="G1370" s="20"/>
    </row>
    <row r="1371" spans="6:7" x14ac:dyDescent="0.25">
      <c r="F1371" s="20"/>
      <c r="G1371" s="20"/>
    </row>
    <row r="1372" spans="6:7" x14ac:dyDescent="0.25">
      <c r="F1372" s="20"/>
      <c r="G1372" s="20"/>
    </row>
    <row r="1373" spans="6:7" x14ac:dyDescent="0.25">
      <c r="F1373" s="20"/>
      <c r="G1373" s="20"/>
    </row>
    <row r="1374" spans="6:7" x14ac:dyDescent="0.25">
      <c r="F1374" s="20"/>
      <c r="G1374" s="20"/>
    </row>
    <row r="1375" spans="6:7" x14ac:dyDescent="0.25">
      <c r="F1375" s="20"/>
      <c r="G1375" s="20"/>
    </row>
    <row r="1376" spans="6:7" x14ac:dyDescent="0.25">
      <c r="F1376" s="20"/>
      <c r="G1376" s="20"/>
    </row>
    <row r="1377" spans="6:7" x14ac:dyDescent="0.25">
      <c r="F1377" s="20"/>
      <c r="G1377" s="20"/>
    </row>
    <row r="1378" spans="6:7" x14ac:dyDescent="0.25">
      <c r="F1378" s="20"/>
      <c r="G1378" s="20"/>
    </row>
    <row r="1379" spans="6:7" x14ac:dyDescent="0.25">
      <c r="F1379" s="20"/>
      <c r="G1379" s="20"/>
    </row>
    <row r="1380" spans="6:7" x14ac:dyDescent="0.25">
      <c r="F1380" s="20"/>
      <c r="G1380" s="20"/>
    </row>
    <row r="1381" spans="6:7" x14ac:dyDescent="0.25">
      <c r="F1381" s="20"/>
      <c r="G1381" s="20"/>
    </row>
    <row r="1382" spans="6:7" x14ac:dyDescent="0.25">
      <c r="F1382" s="20"/>
      <c r="G1382" s="20"/>
    </row>
    <row r="1383" spans="6:7" x14ac:dyDescent="0.25">
      <c r="F1383" s="20"/>
      <c r="G1383" s="20"/>
    </row>
    <row r="1384" spans="6:7" x14ac:dyDescent="0.25">
      <c r="F1384" s="20"/>
      <c r="G1384" s="20"/>
    </row>
    <row r="1385" spans="6:7" x14ac:dyDescent="0.25">
      <c r="F1385" s="20"/>
      <c r="G1385" s="20"/>
    </row>
    <row r="1386" spans="6:7" x14ac:dyDescent="0.25">
      <c r="F1386" s="20"/>
      <c r="G1386" s="20"/>
    </row>
    <row r="1387" spans="6:7" x14ac:dyDescent="0.25">
      <c r="F1387" s="20"/>
      <c r="G1387" s="20"/>
    </row>
    <row r="1388" spans="6:7" x14ac:dyDescent="0.25">
      <c r="F1388" s="20"/>
      <c r="G1388" s="20"/>
    </row>
    <row r="1389" spans="6:7" x14ac:dyDescent="0.25">
      <c r="F1389" s="20"/>
      <c r="G1389" s="20"/>
    </row>
    <row r="1390" spans="6:7" x14ac:dyDescent="0.25">
      <c r="F1390" s="20"/>
      <c r="G1390" s="20"/>
    </row>
    <row r="1391" spans="6:7" x14ac:dyDescent="0.25">
      <c r="F1391" s="20"/>
      <c r="G1391" s="20"/>
    </row>
    <row r="1392" spans="6:7" x14ac:dyDescent="0.25">
      <c r="F1392" s="20"/>
      <c r="G1392" s="20"/>
    </row>
    <row r="1393" spans="6:7" x14ac:dyDescent="0.25">
      <c r="F1393" s="20"/>
      <c r="G1393" s="20"/>
    </row>
    <row r="1394" spans="6:7" x14ac:dyDescent="0.25">
      <c r="F1394" s="20"/>
      <c r="G1394" s="20"/>
    </row>
    <row r="1395" spans="6:7" x14ac:dyDescent="0.25">
      <c r="F1395" s="20"/>
      <c r="G1395" s="20"/>
    </row>
    <row r="1396" spans="6:7" x14ac:dyDescent="0.25">
      <c r="F1396" s="20"/>
      <c r="G1396" s="20"/>
    </row>
    <row r="1397" spans="6:7" x14ac:dyDescent="0.25">
      <c r="F1397" s="20"/>
      <c r="G1397" s="20"/>
    </row>
    <row r="1398" spans="6:7" x14ac:dyDescent="0.25">
      <c r="F1398" s="20"/>
      <c r="G1398" s="20"/>
    </row>
    <row r="1399" spans="6:7" x14ac:dyDescent="0.25">
      <c r="F1399" s="20"/>
      <c r="G1399" s="20"/>
    </row>
    <row r="1400" spans="6:7" x14ac:dyDescent="0.25">
      <c r="F1400" s="20"/>
      <c r="G1400" s="20"/>
    </row>
    <row r="1401" spans="6:7" x14ac:dyDescent="0.25">
      <c r="F1401" s="20"/>
      <c r="G1401" s="20"/>
    </row>
    <row r="1402" spans="6:7" x14ac:dyDescent="0.25">
      <c r="F1402" s="20"/>
      <c r="G1402" s="20"/>
    </row>
    <row r="1403" spans="6:7" x14ac:dyDescent="0.25">
      <c r="F1403" s="20"/>
      <c r="G1403" s="20"/>
    </row>
    <row r="1404" spans="6:7" x14ac:dyDescent="0.25">
      <c r="F1404" s="20"/>
      <c r="G1404" s="20"/>
    </row>
    <row r="1405" spans="6:7" x14ac:dyDescent="0.25">
      <c r="F1405" s="20"/>
      <c r="G1405" s="20"/>
    </row>
    <row r="1406" spans="6:7" x14ac:dyDescent="0.25">
      <c r="F1406" s="20"/>
      <c r="G1406" s="20"/>
    </row>
    <row r="1407" spans="6:7" x14ac:dyDescent="0.25">
      <c r="F1407" s="20"/>
      <c r="G1407" s="20"/>
    </row>
    <row r="1408" spans="6:7" x14ac:dyDescent="0.25">
      <c r="F1408" s="20"/>
      <c r="G1408" s="20"/>
    </row>
    <row r="1409" spans="6:7" x14ac:dyDescent="0.25">
      <c r="F1409" s="20"/>
      <c r="G1409" s="20"/>
    </row>
    <row r="1410" spans="6:7" x14ac:dyDescent="0.25">
      <c r="F1410" s="20"/>
      <c r="G1410" s="20"/>
    </row>
    <row r="1411" spans="6:7" x14ac:dyDescent="0.25">
      <c r="F1411" s="20"/>
      <c r="G1411" s="20"/>
    </row>
    <row r="1412" spans="6:7" x14ac:dyDescent="0.25">
      <c r="F1412" s="20"/>
      <c r="G1412" s="20"/>
    </row>
    <row r="1413" spans="6:7" x14ac:dyDescent="0.25">
      <c r="F1413" s="20"/>
      <c r="G1413" s="20"/>
    </row>
    <row r="1414" spans="6:7" x14ac:dyDescent="0.25">
      <c r="F1414" s="20"/>
      <c r="G1414" s="20"/>
    </row>
    <row r="1415" spans="6:7" x14ac:dyDescent="0.25">
      <c r="F1415" s="20"/>
      <c r="G1415" s="20"/>
    </row>
    <row r="1416" spans="6:7" x14ac:dyDescent="0.25">
      <c r="F1416" s="20"/>
      <c r="G1416" s="20"/>
    </row>
    <row r="1417" spans="6:7" x14ac:dyDescent="0.25">
      <c r="F1417" s="20"/>
      <c r="G1417" s="20"/>
    </row>
    <row r="1418" spans="6:7" x14ac:dyDescent="0.25">
      <c r="F1418" s="20"/>
      <c r="G1418" s="20"/>
    </row>
    <row r="1419" spans="6:7" x14ac:dyDescent="0.25">
      <c r="F1419" s="20"/>
      <c r="G1419" s="20"/>
    </row>
    <row r="1420" spans="6:7" x14ac:dyDescent="0.25">
      <c r="F1420" s="20"/>
      <c r="G1420" s="20"/>
    </row>
    <row r="1421" spans="6:7" x14ac:dyDescent="0.25">
      <c r="F1421" s="20"/>
      <c r="G1421" s="20"/>
    </row>
    <row r="1422" spans="6:7" x14ac:dyDescent="0.25">
      <c r="F1422" s="20"/>
      <c r="G1422" s="20"/>
    </row>
    <row r="1423" spans="6:7" x14ac:dyDescent="0.25">
      <c r="F1423" s="20"/>
      <c r="G1423" s="20"/>
    </row>
    <row r="1424" spans="6:7" x14ac:dyDescent="0.25">
      <c r="F1424" s="20"/>
      <c r="G1424" s="20"/>
    </row>
    <row r="1425" spans="6:7" x14ac:dyDescent="0.25">
      <c r="F1425" s="20"/>
      <c r="G1425" s="20"/>
    </row>
    <row r="1426" spans="6:7" x14ac:dyDescent="0.25">
      <c r="F1426" s="20"/>
      <c r="G1426" s="20"/>
    </row>
    <row r="1427" spans="6:7" x14ac:dyDescent="0.25">
      <c r="F1427" s="20"/>
      <c r="G1427" s="20"/>
    </row>
    <row r="1428" spans="6:7" x14ac:dyDescent="0.25">
      <c r="F1428" s="20"/>
      <c r="G1428" s="20"/>
    </row>
    <row r="1429" spans="6:7" x14ac:dyDescent="0.25">
      <c r="F1429" s="20"/>
      <c r="G1429" s="20"/>
    </row>
    <row r="1430" spans="6:7" x14ac:dyDescent="0.25">
      <c r="F1430" s="20"/>
      <c r="G1430" s="20"/>
    </row>
    <row r="1431" spans="6:7" x14ac:dyDescent="0.25">
      <c r="F1431" s="20"/>
      <c r="G1431" s="20"/>
    </row>
    <row r="1432" spans="6:7" x14ac:dyDescent="0.25">
      <c r="F1432" s="20"/>
      <c r="G1432" s="20"/>
    </row>
    <row r="1433" spans="6:7" x14ac:dyDescent="0.25">
      <c r="F1433" s="20"/>
      <c r="G1433" s="20"/>
    </row>
    <row r="1434" spans="6:7" x14ac:dyDescent="0.25">
      <c r="F1434" s="20"/>
      <c r="G1434" s="20"/>
    </row>
    <row r="1435" spans="6:7" x14ac:dyDescent="0.25">
      <c r="F1435" s="20"/>
      <c r="G1435" s="20"/>
    </row>
    <row r="1436" spans="6:7" x14ac:dyDescent="0.25">
      <c r="F1436" s="20"/>
      <c r="G1436" s="20"/>
    </row>
    <row r="1437" spans="6:7" x14ac:dyDescent="0.25">
      <c r="F1437" s="20"/>
      <c r="G1437" s="20"/>
    </row>
    <row r="1438" spans="6:7" x14ac:dyDescent="0.25">
      <c r="F1438" s="20"/>
      <c r="G1438" s="20"/>
    </row>
    <row r="1439" spans="6:7" x14ac:dyDescent="0.25">
      <c r="F1439" s="20"/>
      <c r="G1439" s="20"/>
    </row>
    <row r="1440" spans="6:7" x14ac:dyDescent="0.25">
      <c r="F1440" s="20"/>
      <c r="G1440" s="20"/>
    </row>
    <row r="1441" spans="6:7" x14ac:dyDescent="0.25">
      <c r="F1441" s="20"/>
      <c r="G1441" s="20"/>
    </row>
    <row r="1442" spans="6:7" x14ac:dyDescent="0.25">
      <c r="F1442" s="20"/>
      <c r="G1442" s="20"/>
    </row>
    <row r="1443" spans="6:7" x14ac:dyDescent="0.25">
      <c r="F1443" s="20"/>
      <c r="G1443" s="20"/>
    </row>
    <row r="1444" spans="6:7" x14ac:dyDescent="0.25">
      <c r="F1444" s="20"/>
      <c r="G1444" s="20"/>
    </row>
    <row r="1445" spans="6:7" x14ac:dyDescent="0.25">
      <c r="F1445" s="20"/>
      <c r="G1445" s="20"/>
    </row>
    <row r="1446" spans="6:7" x14ac:dyDescent="0.25">
      <c r="F1446" s="20"/>
      <c r="G1446" s="20"/>
    </row>
    <row r="1447" spans="6:7" x14ac:dyDescent="0.25">
      <c r="F1447" s="20"/>
      <c r="G1447" s="20"/>
    </row>
    <row r="1448" spans="6:7" x14ac:dyDescent="0.25">
      <c r="F1448" s="20"/>
      <c r="G1448" s="20"/>
    </row>
    <row r="1449" spans="6:7" x14ac:dyDescent="0.25">
      <c r="F1449" s="20"/>
      <c r="G1449" s="20"/>
    </row>
    <row r="1450" spans="6:7" x14ac:dyDescent="0.25">
      <c r="F1450" s="20"/>
      <c r="G1450" s="20"/>
    </row>
    <row r="1451" spans="6:7" x14ac:dyDescent="0.25">
      <c r="F1451" s="20"/>
      <c r="G1451" s="20"/>
    </row>
    <row r="1452" spans="6:7" x14ac:dyDescent="0.25">
      <c r="F1452" s="20"/>
      <c r="G1452" s="20"/>
    </row>
    <row r="1453" spans="6:7" x14ac:dyDescent="0.25">
      <c r="F1453" s="20"/>
      <c r="G1453" s="20"/>
    </row>
    <row r="1454" spans="6:7" x14ac:dyDescent="0.25">
      <c r="F1454" s="20"/>
      <c r="G1454" s="20"/>
    </row>
    <row r="1455" spans="6:7" x14ac:dyDescent="0.25">
      <c r="F1455" s="20"/>
      <c r="G1455" s="20"/>
    </row>
    <row r="1456" spans="6:7" x14ac:dyDescent="0.25">
      <c r="F1456" s="20"/>
      <c r="G1456" s="20"/>
    </row>
    <row r="1457" spans="6:7" x14ac:dyDescent="0.25">
      <c r="F1457" s="20"/>
      <c r="G1457" s="20"/>
    </row>
    <row r="1458" spans="6:7" x14ac:dyDescent="0.25">
      <c r="F1458" s="20"/>
      <c r="G1458" s="20"/>
    </row>
    <row r="1459" spans="6:7" x14ac:dyDescent="0.25">
      <c r="F1459" s="20"/>
      <c r="G1459" s="20"/>
    </row>
    <row r="1460" spans="6:7" x14ac:dyDescent="0.25">
      <c r="F1460" s="20"/>
      <c r="G1460" s="20"/>
    </row>
    <row r="1461" spans="6:7" x14ac:dyDescent="0.25">
      <c r="F1461" s="20"/>
      <c r="G1461" s="20"/>
    </row>
    <row r="1462" spans="6:7" x14ac:dyDescent="0.25">
      <c r="F1462" s="20"/>
      <c r="G1462" s="20"/>
    </row>
    <row r="1463" spans="6:7" x14ac:dyDescent="0.25">
      <c r="F1463" s="20"/>
      <c r="G1463" s="20"/>
    </row>
    <row r="1464" spans="6:7" x14ac:dyDescent="0.25">
      <c r="F1464" s="20"/>
      <c r="G1464" s="20"/>
    </row>
    <row r="1465" spans="6:7" x14ac:dyDescent="0.25">
      <c r="F1465" s="20"/>
      <c r="G1465" s="20"/>
    </row>
    <row r="1466" spans="6:7" x14ac:dyDescent="0.25">
      <c r="F1466" s="20"/>
      <c r="G1466" s="20"/>
    </row>
    <row r="1467" spans="6:7" x14ac:dyDescent="0.25">
      <c r="F1467" s="20"/>
      <c r="G1467" s="20"/>
    </row>
    <row r="1468" spans="6:7" x14ac:dyDescent="0.25">
      <c r="F1468" s="20"/>
      <c r="G1468" s="20"/>
    </row>
    <row r="1469" spans="6:7" x14ac:dyDescent="0.25">
      <c r="F1469" s="20"/>
      <c r="G1469" s="20"/>
    </row>
    <row r="1470" spans="6:7" x14ac:dyDescent="0.25">
      <c r="F1470" s="20"/>
      <c r="G1470" s="20"/>
    </row>
    <row r="1471" spans="6:7" x14ac:dyDescent="0.25">
      <c r="F1471" s="20"/>
      <c r="G1471" s="20"/>
    </row>
    <row r="1472" spans="6:7" x14ac:dyDescent="0.25">
      <c r="F1472" s="20"/>
      <c r="G1472" s="20"/>
    </row>
    <row r="1473" spans="6:7" x14ac:dyDescent="0.25">
      <c r="F1473" s="20"/>
      <c r="G1473" s="20"/>
    </row>
    <row r="1474" spans="6:7" x14ac:dyDescent="0.25">
      <c r="F1474" s="20"/>
      <c r="G1474" s="20"/>
    </row>
    <row r="1475" spans="6:7" x14ac:dyDescent="0.25">
      <c r="F1475" s="20"/>
      <c r="G1475" s="20"/>
    </row>
    <row r="1476" spans="6:7" x14ac:dyDescent="0.25">
      <c r="F1476" s="20"/>
      <c r="G1476" s="20"/>
    </row>
    <row r="1477" spans="6:7" x14ac:dyDescent="0.25">
      <c r="F1477" s="20"/>
      <c r="G1477" s="20"/>
    </row>
    <row r="1478" spans="6:7" x14ac:dyDescent="0.25">
      <c r="F1478" s="20"/>
      <c r="G1478" s="20"/>
    </row>
    <row r="1479" spans="6:7" x14ac:dyDescent="0.25">
      <c r="F1479" s="20"/>
      <c r="G1479" s="20"/>
    </row>
    <row r="1480" spans="6:7" x14ac:dyDescent="0.25">
      <c r="F1480" s="20"/>
      <c r="G1480" s="20"/>
    </row>
    <row r="1481" spans="6:7" x14ac:dyDescent="0.25">
      <c r="F1481" s="20"/>
      <c r="G1481" s="20"/>
    </row>
    <row r="1482" spans="6:7" x14ac:dyDescent="0.25">
      <c r="F1482" s="20"/>
      <c r="G1482" s="20"/>
    </row>
    <row r="1483" spans="6:7" x14ac:dyDescent="0.25">
      <c r="F1483" s="20"/>
      <c r="G1483" s="20"/>
    </row>
    <row r="1484" spans="6:7" x14ac:dyDescent="0.25">
      <c r="F1484" s="20"/>
      <c r="G1484" s="20"/>
    </row>
    <row r="1485" spans="6:7" x14ac:dyDescent="0.25">
      <c r="F1485" s="20"/>
      <c r="G1485" s="20"/>
    </row>
    <row r="1486" spans="6:7" x14ac:dyDescent="0.25">
      <c r="F1486" s="20"/>
      <c r="G1486" s="20"/>
    </row>
    <row r="1487" spans="6:7" x14ac:dyDescent="0.25">
      <c r="F1487" s="20"/>
      <c r="G1487" s="20"/>
    </row>
    <row r="1488" spans="6:7" x14ac:dyDescent="0.25">
      <c r="F1488" s="20"/>
      <c r="G1488" s="20"/>
    </row>
    <row r="1489" spans="6:7" x14ac:dyDescent="0.25">
      <c r="F1489" s="20"/>
      <c r="G1489" s="20"/>
    </row>
    <row r="1490" spans="6:7" x14ac:dyDescent="0.25">
      <c r="F1490" s="20"/>
      <c r="G1490" s="20"/>
    </row>
    <row r="1491" spans="6:7" x14ac:dyDescent="0.25">
      <c r="F1491" s="20"/>
      <c r="G1491" s="20"/>
    </row>
    <row r="1492" spans="6:7" x14ac:dyDescent="0.25">
      <c r="F1492" s="20"/>
      <c r="G1492" s="20"/>
    </row>
    <row r="1493" spans="6:7" x14ac:dyDescent="0.25">
      <c r="F1493" s="20"/>
      <c r="G1493" s="20"/>
    </row>
    <row r="1494" spans="6:7" x14ac:dyDescent="0.25">
      <c r="F1494" s="20"/>
      <c r="G1494" s="20"/>
    </row>
    <row r="1495" spans="6:7" x14ac:dyDescent="0.25">
      <c r="F1495" s="20"/>
      <c r="G1495" s="20"/>
    </row>
    <row r="1496" spans="6:7" x14ac:dyDescent="0.25">
      <c r="F1496" s="20"/>
      <c r="G1496" s="20"/>
    </row>
    <row r="1497" spans="6:7" x14ac:dyDescent="0.25">
      <c r="F1497" s="20"/>
      <c r="G1497" s="20"/>
    </row>
    <row r="1498" spans="6:7" x14ac:dyDescent="0.25">
      <c r="F1498" s="20"/>
      <c r="G1498" s="20"/>
    </row>
    <row r="1499" spans="6:7" x14ac:dyDescent="0.25">
      <c r="F1499" s="20"/>
      <c r="G1499" s="20"/>
    </row>
    <row r="1500" spans="6:7" x14ac:dyDescent="0.25">
      <c r="F1500" s="20"/>
      <c r="G1500" s="20"/>
    </row>
    <row r="1501" spans="6:7" x14ac:dyDescent="0.25">
      <c r="F1501" s="20"/>
      <c r="G1501" s="20"/>
    </row>
    <row r="1502" spans="6:7" x14ac:dyDescent="0.25">
      <c r="F1502" s="20"/>
      <c r="G1502" s="20"/>
    </row>
    <row r="1503" spans="6:7" x14ac:dyDescent="0.25">
      <c r="F1503" s="20"/>
      <c r="G1503" s="20"/>
    </row>
    <row r="1504" spans="6:7" x14ac:dyDescent="0.25">
      <c r="F1504" s="20"/>
      <c r="G1504" s="20"/>
    </row>
    <row r="1505" spans="6:7" x14ac:dyDescent="0.25">
      <c r="F1505" s="20"/>
      <c r="G1505" s="20"/>
    </row>
    <row r="1506" spans="6:7" x14ac:dyDescent="0.25">
      <c r="F1506" s="20"/>
      <c r="G1506" s="20"/>
    </row>
    <row r="1507" spans="6:7" x14ac:dyDescent="0.25">
      <c r="F1507" s="20"/>
      <c r="G1507" s="20"/>
    </row>
    <row r="1508" spans="6:7" x14ac:dyDescent="0.25">
      <c r="F1508" s="20"/>
      <c r="G1508" s="20"/>
    </row>
    <row r="1509" spans="6:7" x14ac:dyDescent="0.25">
      <c r="F1509" s="20"/>
      <c r="G1509" s="20"/>
    </row>
    <row r="1510" spans="6:7" x14ac:dyDescent="0.25">
      <c r="F1510" s="20"/>
      <c r="G1510" s="20"/>
    </row>
    <row r="1511" spans="6:7" x14ac:dyDescent="0.25">
      <c r="F1511" s="20"/>
      <c r="G1511" s="20"/>
    </row>
    <row r="1512" spans="6:7" x14ac:dyDescent="0.25">
      <c r="F1512" s="20"/>
      <c r="G1512" s="20"/>
    </row>
    <row r="1513" spans="6:7" x14ac:dyDescent="0.25">
      <c r="F1513" s="20"/>
      <c r="G1513" s="20"/>
    </row>
    <row r="1514" spans="6:7" x14ac:dyDescent="0.25">
      <c r="F1514" s="20"/>
      <c r="G1514" s="20"/>
    </row>
    <row r="1515" spans="6:7" x14ac:dyDescent="0.25">
      <c r="F1515" s="20"/>
      <c r="G1515" s="20"/>
    </row>
    <row r="1516" spans="6:7" x14ac:dyDescent="0.25">
      <c r="F1516" s="20"/>
      <c r="G1516" s="20"/>
    </row>
    <row r="1517" spans="6:7" x14ac:dyDescent="0.25">
      <c r="F1517" s="20"/>
      <c r="G1517" s="20"/>
    </row>
    <row r="1518" spans="6:7" x14ac:dyDescent="0.25">
      <c r="F1518" s="20"/>
      <c r="G1518" s="20"/>
    </row>
    <row r="1519" spans="6:7" x14ac:dyDescent="0.25">
      <c r="F1519" s="20"/>
      <c r="G1519" s="20"/>
    </row>
    <row r="1520" spans="6:7" x14ac:dyDescent="0.25">
      <c r="F1520" s="20"/>
      <c r="G1520" s="20"/>
    </row>
    <row r="1521" spans="6:7" x14ac:dyDescent="0.25">
      <c r="F1521" s="20"/>
      <c r="G1521" s="20"/>
    </row>
    <row r="1522" spans="6:7" x14ac:dyDescent="0.25">
      <c r="F1522" s="20"/>
      <c r="G1522" s="20"/>
    </row>
    <row r="1523" spans="6:7" x14ac:dyDescent="0.25">
      <c r="F1523" s="20"/>
      <c r="G1523" s="20"/>
    </row>
    <row r="1524" spans="6:7" x14ac:dyDescent="0.25">
      <c r="F1524" s="20"/>
      <c r="G1524" s="20"/>
    </row>
    <row r="1525" spans="6:7" x14ac:dyDescent="0.25">
      <c r="F1525" s="20"/>
      <c r="G1525" s="20"/>
    </row>
    <row r="1526" spans="6:7" x14ac:dyDescent="0.25">
      <c r="F1526" s="20"/>
      <c r="G1526" s="20"/>
    </row>
    <row r="1527" spans="6:7" x14ac:dyDescent="0.25">
      <c r="F1527" s="20"/>
      <c r="G1527" s="20"/>
    </row>
    <row r="1528" spans="6:7" x14ac:dyDescent="0.25">
      <c r="F1528" s="20"/>
      <c r="G1528" s="20"/>
    </row>
    <row r="1529" spans="6:7" x14ac:dyDescent="0.25">
      <c r="F1529" s="20"/>
      <c r="G1529" s="20"/>
    </row>
    <row r="1530" spans="6:7" x14ac:dyDescent="0.25">
      <c r="F1530" s="20"/>
      <c r="G1530" s="20"/>
    </row>
    <row r="1531" spans="6:7" x14ac:dyDescent="0.25">
      <c r="F1531" s="20"/>
      <c r="G1531" s="20"/>
    </row>
    <row r="1532" spans="6:7" x14ac:dyDescent="0.25">
      <c r="F1532" s="20"/>
      <c r="G1532" s="20"/>
    </row>
    <row r="1533" spans="6:7" x14ac:dyDescent="0.25">
      <c r="F1533" s="20"/>
      <c r="G1533" s="20"/>
    </row>
    <row r="1534" spans="6:7" x14ac:dyDescent="0.25">
      <c r="F1534" s="20"/>
      <c r="G1534" s="20"/>
    </row>
    <row r="1535" spans="6:7" x14ac:dyDescent="0.25">
      <c r="F1535" s="20"/>
      <c r="G1535" s="20"/>
    </row>
    <row r="1536" spans="6:7" x14ac:dyDescent="0.25">
      <c r="F1536" s="20"/>
      <c r="G1536" s="20"/>
    </row>
    <row r="1537" spans="6:7" x14ac:dyDescent="0.25">
      <c r="F1537" s="20"/>
      <c r="G1537" s="20"/>
    </row>
    <row r="1538" spans="6:7" x14ac:dyDescent="0.25">
      <c r="F1538" s="20"/>
      <c r="G1538" s="20"/>
    </row>
    <row r="1539" spans="6:7" x14ac:dyDescent="0.25">
      <c r="F1539" s="20"/>
      <c r="G1539" s="20"/>
    </row>
    <row r="1540" spans="6:7" x14ac:dyDescent="0.25">
      <c r="F1540" s="20"/>
      <c r="G1540" s="20"/>
    </row>
    <row r="1541" spans="6:7" x14ac:dyDescent="0.25">
      <c r="F1541" s="20"/>
      <c r="G1541" s="20"/>
    </row>
    <row r="1542" spans="6:7" x14ac:dyDescent="0.25">
      <c r="F1542" s="20"/>
      <c r="G1542" s="20"/>
    </row>
    <row r="1543" spans="6:7" x14ac:dyDescent="0.25">
      <c r="F1543" s="20"/>
      <c r="G1543" s="20"/>
    </row>
    <row r="1544" spans="6:7" x14ac:dyDescent="0.25">
      <c r="F1544" s="20"/>
      <c r="G1544" s="20"/>
    </row>
    <row r="1545" spans="6:7" x14ac:dyDescent="0.25">
      <c r="F1545" s="20"/>
      <c r="G1545" s="20"/>
    </row>
    <row r="1546" spans="6:7" x14ac:dyDescent="0.25">
      <c r="F1546" s="20"/>
      <c r="G1546" s="20"/>
    </row>
    <row r="1547" spans="6:7" x14ac:dyDescent="0.25">
      <c r="F1547" s="20"/>
      <c r="G1547" s="20"/>
    </row>
    <row r="1548" spans="6:7" x14ac:dyDescent="0.25">
      <c r="F1548" s="20"/>
      <c r="G1548" s="20"/>
    </row>
    <row r="1549" spans="6:7" x14ac:dyDescent="0.25">
      <c r="F1549" s="20"/>
      <c r="G1549" s="20"/>
    </row>
    <row r="1550" spans="6:7" x14ac:dyDescent="0.25">
      <c r="F1550" s="20"/>
      <c r="G1550" s="20"/>
    </row>
    <row r="1551" spans="6:7" x14ac:dyDescent="0.25">
      <c r="F1551" s="20"/>
      <c r="G1551" s="20"/>
    </row>
    <row r="1552" spans="6:7" x14ac:dyDescent="0.25">
      <c r="F1552" s="20"/>
      <c r="G1552" s="20"/>
    </row>
    <row r="1553" spans="6:7" x14ac:dyDescent="0.25">
      <c r="F1553" s="20"/>
      <c r="G1553" s="20"/>
    </row>
    <row r="1554" spans="6:7" x14ac:dyDescent="0.25">
      <c r="F1554" s="20"/>
      <c r="G1554" s="20"/>
    </row>
    <row r="1555" spans="6:7" x14ac:dyDescent="0.25">
      <c r="F1555" s="20"/>
      <c r="G1555" s="20"/>
    </row>
    <row r="1556" spans="6:7" x14ac:dyDescent="0.25">
      <c r="F1556" s="20"/>
      <c r="G1556" s="20"/>
    </row>
    <row r="1557" spans="6:7" x14ac:dyDescent="0.25">
      <c r="F1557" s="20"/>
      <c r="G1557" s="20"/>
    </row>
    <row r="1558" spans="6:7" x14ac:dyDescent="0.25">
      <c r="F1558" s="20"/>
      <c r="G1558" s="20"/>
    </row>
    <row r="1559" spans="6:7" x14ac:dyDescent="0.25">
      <c r="F1559" s="20"/>
      <c r="G1559" s="20"/>
    </row>
    <row r="1560" spans="6:7" x14ac:dyDescent="0.25">
      <c r="F1560" s="20"/>
      <c r="G1560" s="20"/>
    </row>
    <row r="1561" spans="6:7" x14ac:dyDescent="0.25">
      <c r="F1561" s="20"/>
      <c r="G1561" s="20"/>
    </row>
    <row r="1562" spans="6:7" x14ac:dyDescent="0.25">
      <c r="F1562" s="20"/>
      <c r="G1562" s="20"/>
    </row>
    <row r="1563" spans="6:7" x14ac:dyDescent="0.25">
      <c r="F1563" s="20"/>
      <c r="G1563" s="20"/>
    </row>
    <row r="1564" spans="6:7" x14ac:dyDescent="0.25">
      <c r="F1564" s="20"/>
      <c r="G1564" s="20"/>
    </row>
    <row r="1565" spans="6:7" x14ac:dyDescent="0.25">
      <c r="F1565" s="20"/>
      <c r="G1565" s="20"/>
    </row>
    <row r="1566" spans="6:7" x14ac:dyDescent="0.25">
      <c r="F1566" s="20"/>
      <c r="G1566" s="20"/>
    </row>
    <row r="1567" spans="6:7" x14ac:dyDescent="0.25">
      <c r="F1567" s="20"/>
      <c r="G1567" s="20"/>
    </row>
    <row r="1568" spans="6:7" x14ac:dyDescent="0.25">
      <c r="F1568" s="20"/>
      <c r="G1568" s="20"/>
    </row>
    <row r="1569" spans="6:7" x14ac:dyDescent="0.25">
      <c r="F1569" s="20"/>
      <c r="G1569" s="20"/>
    </row>
    <row r="1570" spans="6:7" x14ac:dyDescent="0.25">
      <c r="F1570" s="20"/>
      <c r="G1570" s="20"/>
    </row>
    <row r="1571" spans="6:7" x14ac:dyDescent="0.25">
      <c r="F1571" s="20"/>
      <c r="G1571" s="20"/>
    </row>
    <row r="1572" spans="6:7" x14ac:dyDescent="0.25">
      <c r="F1572" s="20"/>
      <c r="G1572" s="20"/>
    </row>
    <row r="1573" spans="6:7" x14ac:dyDescent="0.25">
      <c r="F1573" s="20"/>
      <c r="G1573" s="20"/>
    </row>
    <row r="1574" spans="6:7" x14ac:dyDescent="0.25">
      <c r="F1574" s="20"/>
      <c r="G1574" s="20"/>
    </row>
    <row r="1575" spans="6:7" x14ac:dyDescent="0.25">
      <c r="F1575" s="20"/>
      <c r="G1575" s="20"/>
    </row>
    <row r="1576" spans="6:7" x14ac:dyDescent="0.25">
      <c r="F1576" s="20"/>
      <c r="G1576" s="20"/>
    </row>
    <row r="1577" spans="6:7" x14ac:dyDescent="0.25">
      <c r="F1577" s="20"/>
      <c r="G1577" s="20"/>
    </row>
    <row r="1578" spans="6:7" x14ac:dyDescent="0.25">
      <c r="F1578" s="20"/>
      <c r="G1578" s="20"/>
    </row>
    <row r="1579" spans="6:7" x14ac:dyDescent="0.25">
      <c r="F1579" s="20"/>
      <c r="G1579" s="20"/>
    </row>
    <row r="1580" spans="6:7" x14ac:dyDescent="0.25">
      <c r="F1580" s="20"/>
      <c r="G1580" s="20"/>
    </row>
    <row r="1581" spans="6:7" x14ac:dyDescent="0.25">
      <c r="F1581" s="20"/>
      <c r="G1581" s="20"/>
    </row>
    <row r="1582" spans="6:7" x14ac:dyDescent="0.25">
      <c r="F1582" s="20"/>
      <c r="G1582" s="20"/>
    </row>
    <row r="1583" spans="6:7" x14ac:dyDescent="0.25">
      <c r="F1583" s="20"/>
      <c r="G1583" s="20"/>
    </row>
    <row r="1584" spans="6:7" x14ac:dyDescent="0.25">
      <c r="F1584" s="20"/>
      <c r="G1584" s="20"/>
    </row>
    <row r="1585" spans="6:7" x14ac:dyDescent="0.25">
      <c r="F1585" s="20"/>
      <c r="G1585" s="20"/>
    </row>
    <row r="1586" spans="6:7" x14ac:dyDescent="0.25">
      <c r="F1586" s="20"/>
      <c r="G1586" s="20"/>
    </row>
    <row r="1587" spans="6:7" x14ac:dyDescent="0.25">
      <c r="F1587" s="20"/>
      <c r="G1587" s="20"/>
    </row>
    <row r="1588" spans="6:7" x14ac:dyDescent="0.25">
      <c r="F1588" s="20"/>
      <c r="G1588" s="20"/>
    </row>
    <row r="1589" spans="6:7" x14ac:dyDescent="0.25">
      <c r="F1589" s="20"/>
      <c r="G1589" s="20"/>
    </row>
    <row r="1590" spans="6:7" x14ac:dyDescent="0.25">
      <c r="F1590" s="20"/>
      <c r="G1590" s="20"/>
    </row>
    <row r="1591" spans="6:7" x14ac:dyDescent="0.25">
      <c r="F1591" s="20"/>
      <c r="G1591" s="20"/>
    </row>
    <row r="1592" spans="6:7" x14ac:dyDescent="0.25">
      <c r="F1592" s="20"/>
      <c r="G1592" s="20"/>
    </row>
    <row r="1593" spans="6:7" x14ac:dyDescent="0.25">
      <c r="F1593" s="20"/>
      <c r="G1593" s="20"/>
    </row>
    <row r="1594" spans="6:7" x14ac:dyDescent="0.25">
      <c r="F1594" s="20"/>
      <c r="G1594" s="20"/>
    </row>
    <row r="1595" spans="6:7" x14ac:dyDescent="0.25">
      <c r="F1595" s="20"/>
      <c r="G1595" s="20"/>
    </row>
    <row r="1596" spans="6:7" x14ac:dyDescent="0.25">
      <c r="F1596" s="20"/>
      <c r="G1596" s="20"/>
    </row>
    <row r="1597" spans="6:7" x14ac:dyDescent="0.25">
      <c r="F1597" s="20"/>
      <c r="G1597" s="20"/>
    </row>
    <row r="1598" spans="6:7" x14ac:dyDescent="0.25">
      <c r="F1598" s="20"/>
      <c r="G1598" s="20"/>
    </row>
    <row r="1599" spans="6:7" x14ac:dyDescent="0.25">
      <c r="F1599" s="20"/>
      <c r="G1599" s="20"/>
    </row>
    <row r="1600" spans="6:7" x14ac:dyDescent="0.25">
      <c r="F1600" s="20"/>
      <c r="G1600" s="20"/>
    </row>
    <row r="1601" spans="6:7" x14ac:dyDescent="0.25">
      <c r="F1601" s="20"/>
      <c r="G1601" s="20"/>
    </row>
    <row r="1602" spans="6:7" x14ac:dyDescent="0.25">
      <c r="F1602" s="20"/>
      <c r="G1602" s="20"/>
    </row>
    <row r="1603" spans="6:7" x14ac:dyDescent="0.25">
      <c r="F1603" s="20"/>
      <c r="G1603" s="20"/>
    </row>
    <row r="1604" spans="6:7" x14ac:dyDescent="0.25">
      <c r="F1604" s="20"/>
      <c r="G1604" s="20"/>
    </row>
    <row r="1605" spans="6:7" x14ac:dyDescent="0.25">
      <c r="F1605" s="20"/>
      <c r="G1605" s="20"/>
    </row>
    <row r="1606" spans="6:7" x14ac:dyDescent="0.25">
      <c r="F1606" s="20"/>
      <c r="G1606" s="20"/>
    </row>
    <row r="1607" spans="6:7" x14ac:dyDescent="0.25">
      <c r="F1607" s="20"/>
      <c r="G1607" s="20"/>
    </row>
    <row r="1608" spans="6:7" x14ac:dyDescent="0.25">
      <c r="F1608" s="20"/>
      <c r="G1608" s="20"/>
    </row>
    <row r="1609" spans="6:7" x14ac:dyDescent="0.25">
      <c r="F1609" s="20"/>
      <c r="G1609" s="20"/>
    </row>
    <row r="1610" spans="6:7" x14ac:dyDescent="0.25">
      <c r="F1610" s="20"/>
      <c r="G1610" s="20"/>
    </row>
    <row r="1611" spans="6:7" x14ac:dyDescent="0.25">
      <c r="F1611" s="20"/>
      <c r="G1611" s="20"/>
    </row>
    <row r="1612" spans="6:7" x14ac:dyDescent="0.25">
      <c r="F1612" s="20"/>
      <c r="G1612" s="20"/>
    </row>
    <row r="1613" spans="6:7" x14ac:dyDescent="0.25">
      <c r="F1613" s="20"/>
      <c r="G1613" s="20"/>
    </row>
    <row r="1614" spans="6:7" x14ac:dyDescent="0.25">
      <c r="F1614" s="20"/>
      <c r="G1614" s="20"/>
    </row>
    <row r="1615" spans="6:7" x14ac:dyDescent="0.25">
      <c r="F1615" s="20"/>
      <c r="G1615" s="20"/>
    </row>
    <row r="1616" spans="6:7" x14ac:dyDescent="0.25">
      <c r="F1616" s="20"/>
      <c r="G1616" s="20"/>
    </row>
    <row r="1617" spans="6:7" x14ac:dyDescent="0.25">
      <c r="F1617" s="20"/>
      <c r="G1617" s="20"/>
    </row>
    <row r="1618" spans="6:7" x14ac:dyDescent="0.25">
      <c r="F1618" s="20"/>
      <c r="G1618" s="20"/>
    </row>
    <row r="1619" spans="6:7" x14ac:dyDescent="0.25">
      <c r="F1619" s="20"/>
      <c r="G1619" s="20"/>
    </row>
    <row r="1620" spans="6:7" x14ac:dyDescent="0.25">
      <c r="F1620" s="20"/>
      <c r="G1620" s="20"/>
    </row>
    <row r="1621" spans="6:7" x14ac:dyDescent="0.25">
      <c r="F1621" s="20"/>
      <c r="G1621" s="20"/>
    </row>
    <row r="1622" spans="6:7" x14ac:dyDescent="0.25">
      <c r="F1622" s="20"/>
      <c r="G1622" s="20"/>
    </row>
    <row r="1623" spans="6:7" x14ac:dyDescent="0.25">
      <c r="F1623" s="20"/>
      <c r="G1623" s="20"/>
    </row>
    <row r="1624" spans="6:7" x14ac:dyDescent="0.25">
      <c r="F1624" s="20"/>
      <c r="G1624" s="20"/>
    </row>
    <row r="1625" spans="6:7" x14ac:dyDescent="0.25">
      <c r="F1625" s="20"/>
      <c r="G1625" s="20"/>
    </row>
    <row r="1626" spans="6:7" x14ac:dyDescent="0.25">
      <c r="F1626" s="20"/>
      <c r="G1626" s="20"/>
    </row>
    <row r="1627" spans="6:7" x14ac:dyDescent="0.25">
      <c r="F1627" s="20"/>
      <c r="G1627" s="20"/>
    </row>
    <row r="1628" spans="6:7" x14ac:dyDescent="0.25">
      <c r="F1628" s="20"/>
      <c r="G1628" s="20"/>
    </row>
    <row r="1629" spans="6:7" x14ac:dyDescent="0.25">
      <c r="F1629" s="20"/>
      <c r="G1629" s="20"/>
    </row>
    <row r="1630" spans="6:7" x14ac:dyDescent="0.25">
      <c r="F1630" s="20"/>
      <c r="G1630" s="20"/>
    </row>
    <row r="1631" spans="6:7" x14ac:dyDescent="0.25">
      <c r="F1631" s="20"/>
      <c r="G1631" s="20"/>
    </row>
    <row r="1632" spans="6:7" x14ac:dyDescent="0.25">
      <c r="F1632" s="20"/>
      <c r="G1632" s="20"/>
    </row>
    <row r="1633" spans="6:7" x14ac:dyDescent="0.25">
      <c r="F1633" s="20"/>
      <c r="G1633" s="20"/>
    </row>
    <row r="1634" spans="6:7" x14ac:dyDescent="0.25">
      <c r="F1634" s="20"/>
      <c r="G1634" s="20"/>
    </row>
    <row r="1635" spans="6:7" x14ac:dyDescent="0.25">
      <c r="F1635" s="20"/>
      <c r="G1635" s="20"/>
    </row>
    <row r="1636" spans="6:7" x14ac:dyDescent="0.25">
      <c r="F1636" s="20"/>
      <c r="G1636" s="20"/>
    </row>
    <row r="1637" spans="6:7" x14ac:dyDescent="0.25">
      <c r="F1637" s="20"/>
      <c r="G1637" s="20"/>
    </row>
    <row r="1638" spans="6:7" x14ac:dyDescent="0.25">
      <c r="F1638" s="20"/>
      <c r="G1638" s="20"/>
    </row>
    <row r="1639" spans="6:7" x14ac:dyDescent="0.25">
      <c r="F1639" s="20"/>
      <c r="G1639" s="20"/>
    </row>
    <row r="1640" spans="6:7" x14ac:dyDescent="0.25">
      <c r="F1640" s="20"/>
      <c r="G1640" s="20"/>
    </row>
    <row r="1641" spans="6:7" x14ac:dyDescent="0.25">
      <c r="F1641" s="20"/>
      <c r="G1641" s="20"/>
    </row>
    <row r="1642" spans="6:7" x14ac:dyDescent="0.25">
      <c r="F1642" s="20"/>
      <c r="G1642" s="20"/>
    </row>
    <row r="1643" spans="6:7" x14ac:dyDescent="0.25">
      <c r="F1643" s="20"/>
      <c r="G1643" s="20"/>
    </row>
    <row r="1644" spans="6:7" x14ac:dyDescent="0.25">
      <c r="F1644" s="20"/>
      <c r="G1644" s="20"/>
    </row>
    <row r="1645" spans="6:7" x14ac:dyDescent="0.25">
      <c r="F1645" s="20"/>
      <c r="G1645" s="20"/>
    </row>
    <row r="1646" spans="6:7" x14ac:dyDescent="0.25">
      <c r="F1646" s="20"/>
      <c r="G1646" s="20"/>
    </row>
    <row r="1647" spans="6:7" x14ac:dyDescent="0.25">
      <c r="F1647" s="20"/>
      <c r="G1647" s="20"/>
    </row>
    <row r="1648" spans="6:7" x14ac:dyDescent="0.25">
      <c r="F1648" s="20"/>
      <c r="G1648" s="20"/>
    </row>
    <row r="1649" spans="6:7" x14ac:dyDescent="0.25">
      <c r="F1649" s="20"/>
      <c r="G1649" s="20"/>
    </row>
    <row r="1650" spans="6:7" x14ac:dyDescent="0.25">
      <c r="F1650" s="20"/>
      <c r="G1650" s="20"/>
    </row>
    <row r="1651" spans="6:7" x14ac:dyDescent="0.25">
      <c r="F1651" s="20"/>
      <c r="G1651" s="20"/>
    </row>
    <row r="1652" spans="6:7" x14ac:dyDescent="0.25">
      <c r="F1652" s="20"/>
      <c r="G1652" s="20"/>
    </row>
    <row r="1653" spans="6:7" x14ac:dyDescent="0.25">
      <c r="F1653" s="20"/>
      <c r="G1653" s="20"/>
    </row>
    <row r="1654" spans="6:7" x14ac:dyDescent="0.25">
      <c r="F1654" s="20"/>
      <c r="G1654" s="20"/>
    </row>
    <row r="1655" spans="6:7" x14ac:dyDescent="0.25">
      <c r="F1655" s="20"/>
      <c r="G1655" s="20"/>
    </row>
    <row r="1656" spans="6:7" x14ac:dyDescent="0.25">
      <c r="F1656" s="20"/>
      <c r="G1656" s="20"/>
    </row>
    <row r="1657" spans="6:7" x14ac:dyDescent="0.25">
      <c r="F1657" s="20"/>
      <c r="G1657" s="20"/>
    </row>
    <row r="1658" spans="6:7" x14ac:dyDescent="0.25">
      <c r="F1658" s="20"/>
      <c r="G1658" s="20"/>
    </row>
    <row r="1659" spans="6:7" x14ac:dyDescent="0.25">
      <c r="F1659" s="20"/>
      <c r="G1659" s="20"/>
    </row>
    <row r="1660" spans="6:7" x14ac:dyDescent="0.25">
      <c r="F1660" s="20"/>
      <c r="G1660" s="20"/>
    </row>
    <row r="1661" spans="6:7" x14ac:dyDescent="0.25">
      <c r="F1661" s="20"/>
      <c r="G1661" s="20"/>
    </row>
    <row r="1662" spans="6:7" x14ac:dyDescent="0.25">
      <c r="F1662" s="20"/>
      <c r="G1662" s="20"/>
    </row>
    <row r="1663" spans="6:7" x14ac:dyDescent="0.25">
      <c r="F1663" s="20"/>
      <c r="G1663" s="20"/>
    </row>
    <row r="1664" spans="6:7" x14ac:dyDescent="0.25">
      <c r="F1664" s="20"/>
      <c r="G1664" s="20"/>
    </row>
    <row r="1665" spans="6:7" x14ac:dyDescent="0.25">
      <c r="F1665" s="20"/>
      <c r="G1665" s="20"/>
    </row>
    <row r="1666" spans="6:7" x14ac:dyDescent="0.25">
      <c r="F1666" s="20"/>
      <c r="G1666" s="20"/>
    </row>
    <row r="1667" spans="6:7" x14ac:dyDescent="0.25">
      <c r="F1667" s="20"/>
      <c r="G1667" s="20"/>
    </row>
    <row r="1668" spans="6:7" x14ac:dyDescent="0.25">
      <c r="F1668" s="20"/>
      <c r="G1668" s="20"/>
    </row>
    <row r="1669" spans="6:7" x14ac:dyDescent="0.25">
      <c r="F1669" s="20"/>
      <c r="G1669" s="20"/>
    </row>
    <row r="1670" spans="6:7" x14ac:dyDescent="0.25">
      <c r="F1670" s="20"/>
      <c r="G1670" s="20"/>
    </row>
    <row r="1671" spans="6:7" x14ac:dyDescent="0.25">
      <c r="F1671" s="20"/>
      <c r="G1671" s="20"/>
    </row>
    <row r="1672" spans="6:7" x14ac:dyDescent="0.25">
      <c r="F1672" s="20"/>
      <c r="G1672" s="20"/>
    </row>
    <row r="1673" spans="6:7" x14ac:dyDescent="0.25">
      <c r="F1673" s="20"/>
      <c r="G1673" s="20"/>
    </row>
    <row r="1674" spans="6:7" x14ac:dyDescent="0.25">
      <c r="F1674" s="20"/>
      <c r="G1674" s="20"/>
    </row>
    <row r="1675" spans="6:7" x14ac:dyDescent="0.25">
      <c r="F1675" s="20"/>
      <c r="G1675" s="20"/>
    </row>
    <row r="1676" spans="6:7" x14ac:dyDescent="0.25">
      <c r="F1676" s="20"/>
      <c r="G1676" s="20"/>
    </row>
    <row r="1677" spans="6:7" x14ac:dyDescent="0.25">
      <c r="F1677" s="20"/>
      <c r="G1677" s="20"/>
    </row>
    <row r="1678" spans="6:7" x14ac:dyDescent="0.25">
      <c r="F1678" s="20"/>
      <c r="G1678" s="20"/>
    </row>
    <row r="1679" spans="6:7" x14ac:dyDescent="0.25">
      <c r="F1679" s="20"/>
      <c r="G1679" s="20"/>
    </row>
    <row r="1680" spans="6:7" x14ac:dyDescent="0.25">
      <c r="F1680" s="20"/>
      <c r="G1680" s="20"/>
    </row>
    <row r="1681" spans="6:7" x14ac:dyDescent="0.25">
      <c r="F1681" s="20"/>
      <c r="G1681" s="20"/>
    </row>
    <row r="1682" spans="6:7" x14ac:dyDescent="0.25">
      <c r="F1682" s="20"/>
      <c r="G1682" s="20"/>
    </row>
    <row r="1683" spans="6:7" x14ac:dyDescent="0.25">
      <c r="F1683" s="20"/>
      <c r="G1683" s="20"/>
    </row>
    <row r="1684" spans="6:7" x14ac:dyDescent="0.25">
      <c r="F1684" s="20"/>
      <c r="G1684" s="20"/>
    </row>
    <row r="1685" spans="6:7" x14ac:dyDescent="0.25">
      <c r="F1685" s="20"/>
      <c r="G1685" s="20"/>
    </row>
    <row r="1686" spans="6:7" x14ac:dyDescent="0.25">
      <c r="F1686" s="20"/>
      <c r="G1686" s="20"/>
    </row>
    <row r="1687" spans="6:7" x14ac:dyDescent="0.25">
      <c r="F1687" s="20"/>
      <c r="G1687" s="20"/>
    </row>
    <row r="1688" spans="6:7" x14ac:dyDescent="0.25">
      <c r="F1688" s="20"/>
      <c r="G1688" s="20"/>
    </row>
    <row r="1689" spans="6:7" x14ac:dyDescent="0.25">
      <c r="F1689" s="20"/>
      <c r="G1689" s="20"/>
    </row>
    <row r="1690" spans="6:7" x14ac:dyDescent="0.25">
      <c r="F1690" s="20"/>
      <c r="G1690" s="20"/>
    </row>
    <row r="1691" spans="6:7" x14ac:dyDescent="0.25">
      <c r="F1691" s="20"/>
      <c r="G1691" s="20"/>
    </row>
    <row r="1692" spans="6:7" x14ac:dyDescent="0.25">
      <c r="F1692" s="20"/>
      <c r="G1692" s="20"/>
    </row>
    <row r="1693" spans="6:7" x14ac:dyDescent="0.25">
      <c r="F1693" s="20"/>
      <c r="G1693" s="20"/>
    </row>
    <row r="1694" spans="6:7" x14ac:dyDescent="0.25">
      <c r="F1694" s="20"/>
      <c r="G1694" s="20"/>
    </row>
    <row r="1695" spans="6:7" x14ac:dyDescent="0.25">
      <c r="F1695" s="20"/>
      <c r="G1695" s="20"/>
    </row>
    <row r="1696" spans="6:7" x14ac:dyDescent="0.25">
      <c r="F1696" s="20"/>
      <c r="G1696" s="20"/>
    </row>
    <row r="1697" spans="6:7" x14ac:dyDescent="0.25">
      <c r="F1697" s="20"/>
      <c r="G1697" s="20"/>
    </row>
    <row r="1698" spans="6:7" x14ac:dyDescent="0.25">
      <c r="F1698" s="20"/>
      <c r="G1698" s="20"/>
    </row>
    <row r="1699" spans="6:7" x14ac:dyDescent="0.25">
      <c r="F1699" s="20"/>
      <c r="G1699" s="20"/>
    </row>
    <row r="1700" spans="6:7" x14ac:dyDescent="0.25">
      <c r="F1700" s="20"/>
      <c r="G1700" s="20"/>
    </row>
    <row r="1701" spans="6:7" x14ac:dyDescent="0.25">
      <c r="F1701" s="20"/>
      <c r="G1701" s="20"/>
    </row>
    <row r="1702" spans="6:7" x14ac:dyDescent="0.25">
      <c r="F1702" s="20"/>
      <c r="G1702" s="20"/>
    </row>
    <row r="1703" spans="6:7" x14ac:dyDescent="0.25">
      <c r="F1703" s="20"/>
      <c r="G1703" s="20"/>
    </row>
    <row r="1704" spans="6:7" x14ac:dyDescent="0.25">
      <c r="F1704" s="20"/>
      <c r="G1704" s="20"/>
    </row>
    <row r="1705" spans="6:7" x14ac:dyDescent="0.25">
      <c r="F1705" s="20"/>
      <c r="G1705" s="20"/>
    </row>
    <row r="1706" spans="6:7" x14ac:dyDescent="0.25">
      <c r="F1706" s="20"/>
      <c r="G1706" s="20"/>
    </row>
    <row r="1707" spans="6:7" x14ac:dyDescent="0.25">
      <c r="F1707" s="20"/>
      <c r="G1707" s="20"/>
    </row>
    <row r="1708" spans="6:7" x14ac:dyDescent="0.25">
      <c r="F1708" s="20"/>
      <c r="G1708" s="20"/>
    </row>
    <row r="1709" spans="6:7" x14ac:dyDescent="0.25">
      <c r="F1709" s="20"/>
      <c r="G1709" s="20"/>
    </row>
    <row r="1710" spans="6:7" x14ac:dyDescent="0.25">
      <c r="F1710" s="20"/>
      <c r="G1710" s="20"/>
    </row>
    <row r="1711" spans="6:7" x14ac:dyDescent="0.25">
      <c r="F1711" s="20"/>
      <c r="G1711" s="20"/>
    </row>
    <row r="1712" spans="6:7" x14ac:dyDescent="0.25">
      <c r="F1712" s="20"/>
      <c r="G1712" s="20"/>
    </row>
    <row r="1713" spans="6:7" x14ac:dyDescent="0.25">
      <c r="F1713" s="20"/>
      <c r="G1713" s="20"/>
    </row>
    <row r="1714" spans="6:7" x14ac:dyDescent="0.25">
      <c r="F1714" s="20"/>
      <c r="G1714" s="20"/>
    </row>
    <row r="1715" spans="6:7" x14ac:dyDescent="0.25">
      <c r="F1715" s="20"/>
      <c r="G1715" s="20"/>
    </row>
    <row r="1716" spans="6:7" x14ac:dyDescent="0.25">
      <c r="F1716" s="20"/>
      <c r="G1716" s="20"/>
    </row>
    <row r="1717" spans="6:7" x14ac:dyDescent="0.25">
      <c r="F1717" s="20"/>
      <c r="G1717" s="20"/>
    </row>
    <row r="1718" spans="6:7" x14ac:dyDescent="0.25">
      <c r="F1718" s="20"/>
      <c r="G1718" s="20"/>
    </row>
    <row r="1719" spans="6:7" x14ac:dyDescent="0.25">
      <c r="F1719" s="20"/>
      <c r="G1719" s="20"/>
    </row>
    <row r="1720" spans="6:7" x14ac:dyDescent="0.25">
      <c r="F1720" s="20"/>
      <c r="G1720" s="20"/>
    </row>
    <row r="1721" spans="6:7" x14ac:dyDescent="0.25">
      <c r="F1721" s="20"/>
      <c r="G1721" s="20"/>
    </row>
    <row r="1722" spans="6:7" x14ac:dyDescent="0.25">
      <c r="F1722" s="20"/>
      <c r="G1722" s="20"/>
    </row>
    <row r="1723" spans="6:7" x14ac:dyDescent="0.25">
      <c r="F1723" s="20"/>
      <c r="G1723" s="20"/>
    </row>
    <row r="1724" spans="6:7" x14ac:dyDescent="0.25">
      <c r="F1724" s="20"/>
      <c r="G1724" s="20"/>
    </row>
    <row r="1725" spans="6:7" x14ac:dyDescent="0.25">
      <c r="F1725" s="20"/>
      <c r="G1725" s="20"/>
    </row>
    <row r="1726" spans="6:7" x14ac:dyDescent="0.25">
      <c r="F1726" s="20"/>
      <c r="G1726" s="20"/>
    </row>
    <row r="1727" spans="6:7" x14ac:dyDescent="0.25">
      <c r="F1727" s="20"/>
      <c r="G1727" s="20"/>
    </row>
    <row r="1728" spans="6:7" x14ac:dyDescent="0.25">
      <c r="F1728" s="20"/>
      <c r="G1728" s="20"/>
    </row>
    <row r="1729" spans="6:7" x14ac:dyDescent="0.25">
      <c r="F1729" s="20"/>
      <c r="G1729" s="20"/>
    </row>
    <row r="1730" spans="6:7" x14ac:dyDescent="0.25">
      <c r="F1730" s="20"/>
      <c r="G1730" s="20"/>
    </row>
    <row r="1731" spans="6:7" x14ac:dyDescent="0.25">
      <c r="F1731" s="20"/>
      <c r="G1731" s="20"/>
    </row>
    <row r="1732" spans="6:7" x14ac:dyDescent="0.25">
      <c r="F1732" s="20"/>
      <c r="G1732" s="20"/>
    </row>
    <row r="1733" spans="6:7" x14ac:dyDescent="0.25">
      <c r="F1733" s="20"/>
      <c r="G1733" s="20"/>
    </row>
    <row r="1734" spans="6:7" x14ac:dyDescent="0.25">
      <c r="F1734" s="20"/>
      <c r="G1734" s="20"/>
    </row>
    <row r="1735" spans="6:7" x14ac:dyDescent="0.25">
      <c r="F1735" s="20"/>
      <c r="G1735" s="20"/>
    </row>
    <row r="1736" spans="6:7" x14ac:dyDescent="0.25">
      <c r="F1736" s="20"/>
      <c r="G1736" s="20"/>
    </row>
    <row r="1737" spans="6:7" x14ac:dyDescent="0.25">
      <c r="F1737" s="20"/>
      <c r="G1737" s="20"/>
    </row>
    <row r="1738" spans="6:7" x14ac:dyDescent="0.25">
      <c r="F1738" s="20"/>
      <c r="G1738" s="20"/>
    </row>
    <row r="1739" spans="6:7" x14ac:dyDescent="0.25">
      <c r="F1739" s="20"/>
      <c r="G1739" s="20"/>
    </row>
    <row r="1740" spans="6:7" x14ac:dyDescent="0.25">
      <c r="F1740" s="20"/>
      <c r="G1740" s="20"/>
    </row>
    <row r="1741" spans="6:7" x14ac:dyDescent="0.25">
      <c r="F1741" s="20"/>
      <c r="G1741" s="20"/>
    </row>
    <row r="1742" spans="6:7" x14ac:dyDescent="0.25">
      <c r="F1742" s="20"/>
      <c r="G1742" s="20"/>
    </row>
    <row r="1743" spans="6:7" x14ac:dyDescent="0.25">
      <c r="F1743" s="20"/>
      <c r="G1743" s="20"/>
    </row>
    <row r="1744" spans="6:7" x14ac:dyDescent="0.25">
      <c r="F1744" s="20"/>
      <c r="G1744" s="20"/>
    </row>
    <row r="1745" spans="6:7" x14ac:dyDescent="0.25">
      <c r="F1745" s="20"/>
      <c r="G1745" s="20"/>
    </row>
    <row r="1746" spans="6:7" x14ac:dyDescent="0.25">
      <c r="F1746" s="20"/>
      <c r="G1746" s="20"/>
    </row>
    <row r="1747" spans="6:7" x14ac:dyDescent="0.25">
      <c r="F1747" s="20"/>
      <c r="G1747" s="20"/>
    </row>
    <row r="1748" spans="6:7" x14ac:dyDescent="0.25">
      <c r="F1748" s="20"/>
      <c r="G1748" s="20"/>
    </row>
    <row r="1749" spans="6:7" x14ac:dyDescent="0.25">
      <c r="F1749" s="20"/>
      <c r="G1749" s="20"/>
    </row>
    <row r="1750" spans="6:7" x14ac:dyDescent="0.25">
      <c r="F1750" s="20"/>
      <c r="G1750" s="20"/>
    </row>
    <row r="1751" spans="6:7" x14ac:dyDescent="0.25">
      <c r="F1751" s="20"/>
      <c r="G1751" s="20"/>
    </row>
    <row r="1752" spans="6:7" x14ac:dyDescent="0.25">
      <c r="F1752" s="20"/>
      <c r="G1752" s="20"/>
    </row>
    <row r="1753" spans="6:7" x14ac:dyDescent="0.25">
      <c r="F1753" s="20"/>
      <c r="G1753" s="20"/>
    </row>
    <row r="1754" spans="6:7" x14ac:dyDescent="0.25">
      <c r="F1754" s="20"/>
      <c r="G1754" s="20"/>
    </row>
    <row r="1755" spans="6:7" x14ac:dyDescent="0.25">
      <c r="F1755" s="20"/>
      <c r="G1755" s="20"/>
    </row>
    <row r="1756" spans="6:7" x14ac:dyDescent="0.25">
      <c r="F1756" s="20"/>
      <c r="G1756" s="20"/>
    </row>
    <row r="1757" spans="6:7" x14ac:dyDescent="0.25">
      <c r="F1757" s="20"/>
      <c r="G1757" s="20"/>
    </row>
    <row r="1758" spans="6:7" x14ac:dyDescent="0.25">
      <c r="F1758" s="20"/>
      <c r="G1758" s="20"/>
    </row>
    <row r="1759" spans="6:7" x14ac:dyDescent="0.25">
      <c r="F1759" s="20"/>
      <c r="G1759" s="20"/>
    </row>
    <row r="1760" spans="6:7" x14ac:dyDescent="0.25">
      <c r="F1760" s="20"/>
      <c r="G1760" s="20"/>
    </row>
    <row r="1761" spans="6:7" x14ac:dyDescent="0.25">
      <c r="F1761" s="20"/>
      <c r="G1761" s="20"/>
    </row>
    <row r="1762" spans="6:7" x14ac:dyDescent="0.25">
      <c r="F1762" s="20"/>
      <c r="G1762" s="20"/>
    </row>
    <row r="1763" spans="6:7" x14ac:dyDescent="0.25">
      <c r="F1763" s="20"/>
      <c r="G1763" s="20"/>
    </row>
    <row r="1764" spans="6:7" x14ac:dyDescent="0.25">
      <c r="F1764" s="20"/>
      <c r="G1764" s="20"/>
    </row>
    <row r="1765" spans="6:7" x14ac:dyDescent="0.25">
      <c r="F1765" s="20"/>
      <c r="G1765" s="20"/>
    </row>
    <row r="1766" spans="6:7" x14ac:dyDescent="0.25">
      <c r="F1766" s="20"/>
      <c r="G1766" s="20"/>
    </row>
    <row r="1767" spans="6:7" x14ac:dyDescent="0.25">
      <c r="F1767" s="20"/>
      <c r="G1767" s="20"/>
    </row>
    <row r="1768" spans="6:7" x14ac:dyDescent="0.25">
      <c r="F1768" s="20"/>
      <c r="G1768" s="20"/>
    </row>
    <row r="1769" spans="6:7" x14ac:dyDescent="0.25">
      <c r="F1769" s="20"/>
      <c r="G1769" s="20"/>
    </row>
    <row r="1770" spans="6:7" x14ac:dyDescent="0.25">
      <c r="F1770" s="20"/>
      <c r="G1770" s="20"/>
    </row>
    <row r="1771" spans="6:7" x14ac:dyDescent="0.25">
      <c r="F1771" s="20"/>
      <c r="G1771" s="20"/>
    </row>
    <row r="1772" spans="6:7" x14ac:dyDescent="0.25">
      <c r="F1772" s="20"/>
      <c r="G1772" s="20"/>
    </row>
    <row r="1773" spans="6:7" x14ac:dyDescent="0.25">
      <c r="F1773" s="20"/>
      <c r="G1773" s="20"/>
    </row>
    <row r="1774" spans="6:7" x14ac:dyDescent="0.25">
      <c r="F1774" s="20"/>
      <c r="G1774" s="20"/>
    </row>
    <row r="1775" spans="6:7" x14ac:dyDescent="0.25">
      <c r="F1775" s="20"/>
      <c r="G1775" s="20"/>
    </row>
    <row r="1776" spans="6:7" x14ac:dyDescent="0.25">
      <c r="F1776" s="20"/>
      <c r="G1776" s="20"/>
    </row>
    <row r="1777" spans="6:7" x14ac:dyDescent="0.25">
      <c r="F1777" s="20"/>
      <c r="G1777" s="20"/>
    </row>
    <row r="1778" spans="6:7" x14ac:dyDescent="0.25">
      <c r="F1778" s="20"/>
      <c r="G1778" s="20"/>
    </row>
    <row r="1779" spans="6:7" x14ac:dyDescent="0.25">
      <c r="F1779" s="20"/>
      <c r="G1779" s="20"/>
    </row>
    <row r="1780" spans="6:7" x14ac:dyDescent="0.25">
      <c r="F1780" s="20"/>
      <c r="G1780" s="20"/>
    </row>
    <row r="1781" spans="6:7" x14ac:dyDescent="0.25">
      <c r="F1781" s="20"/>
      <c r="G1781" s="20"/>
    </row>
    <row r="1782" spans="6:7" x14ac:dyDescent="0.25">
      <c r="F1782" s="20"/>
      <c r="G1782" s="20"/>
    </row>
    <row r="1783" spans="6:7" x14ac:dyDescent="0.25">
      <c r="F1783" s="20"/>
      <c r="G1783" s="20"/>
    </row>
    <row r="1784" spans="6:7" x14ac:dyDescent="0.25">
      <c r="F1784" s="20"/>
      <c r="G1784" s="20"/>
    </row>
    <row r="1785" spans="6:7" x14ac:dyDescent="0.25">
      <c r="F1785" s="20"/>
      <c r="G1785" s="20"/>
    </row>
    <row r="1786" spans="6:7" x14ac:dyDescent="0.25">
      <c r="F1786" s="20"/>
      <c r="G1786" s="20"/>
    </row>
    <row r="1787" spans="6:7" x14ac:dyDescent="0.25">
      <c r="F1787" s="20"/>
      <c r="G1787" s="20"/>
    </row>
    <row r="1788" spans="6:7" x14ac:dyDescent="0.25">
      <c r="F1788" s="20"/>
      <c r="G1788" s="20"/>
    </row>
    <row r="1789" spans="6:7" x14ac:dyDescent="0.25">
      <c r="F1789" s="20"/>
      <c r="G1789" s="20"/>
    </row>
    <row r="1790" spans="6:7" x14ac:dyDescent="0.25">
      <c r="F1790" s="20"/>
      <c r="G1790" s="20"/>
    </row>
    <row r="1791" spans="6:7" x14ac:dyDescent="0.25">
      <c r="F1791" s="20"/>
      <c r="G1791" s="20"/>
    </row>
    <row r="1792" spans="6:7" x14ac:dyDescent="0.25">
      <c r="F1792" s="20"/>
      <c r="G1792" s="20"/>
    </row>
    <row r="1793" spans="6:7" x14ac:dyDescent="0.25">
      <c r="F1793" s="20"/>
      <c r="G1793" s="20"/>
    </row>
    <row r="1794" spans="6:7" x14ac:dyDescent="0.25">
      <c r="F1794" s="20"/>
      <c r="G1794" s="20"/>
    </row>
    <row r="1795" spans="6:7" x14ac:dyDescent="0.25">
      <c r="F1795" s="20"/>
      <c r="G1795" s="20"/>
    </row>
    <row r="1796" spans="6:7" x14ac:dyDescent="0.25">
      <c r="F1796" s="20"/>
      <c r="G1796" s="20"/>
    </row>
    <row r="1797" spans="6:7" x14ac:dyDescent="0.25">
      <c r="F1797" s="20"/>
      <c r="G1797" s="20"/>
    </row>
    <row r="1798" spans="6:7" x14ac:dyDescent="0.25">
      <c r="F1798" s="20"/>
      <c r="G1798" s="20"/>
    </row>
    <row r="1799" spans="6:7" x14ac:dyDescent="0.25">
      <c r="F1799" s="20"/>
      <c r="G1799" s="20"/>
    </row>
    <row r="1800" spans="6:7" x14ac:dyDescent="0.25">
      <c r="F1800" s="20"/>
      <c r="G1800" s="20"/>
    </row>
    <row r="1801" spans="6:7" x14ac:dyDescent="0.25">
      <c r="F1801" s="20"/>
      <c r="G1801" s="20"/>
    </row>
    <row r="1802" spans="6:7" x14ac:dyDescent="0.25">
      <c r="F1802" s="20"/>
      <c r="G1802" s="20"/>
    </row>
    <row r="1803" spans="6:7" x14ac:dyDescent="0.25">
      <c r="F1803" s="20"/>
      <c r="G1803" s="20"/>
    </row>
    <row r="1804" spans="6:7" x14ac:dyDescent="0.25">
      <c r="F1804" s="20"/>
      <c r="G1804" s="20"/>
    </row>
    <row r="1805" spans="6:7" x14ac:dyDescent="0.25">
      <c r="F1805" s="20"/>
      <c r="G1805" s="20"/>
    </row>
    <row r="1806" spans="6:7" x14ac:dyDescent="0.25">
      <c r="F1806" s="20"/>
      <c r="G1806" s="20"/>
    </row>
    <row r="1807" spans="6:7" x14ac:dyDescent="0.25">
      <c r="F1807" s="20"/>
      <c r="G1807" s="20"/>
    </row>
    <row r="1808" spans="6:7" x14ac:dyDescent="0.25">
      <c r="F1808" s="20"/>
      <c r="G1808" s="20"/>
    </row>
    <row r="1809" spans="6:7" x14ac:dyDescent="0.25">
      <c r="F1809" s="20"/>
      <c r="G1809" s="20"/>
    </row>
    <row r="1810" spans="6:7" x14ac:dyDescent="0.25">
      <c r="F1810" s="20"/>
      <c r="G1810" s="20"/>
    </row>
    <row r="1811" spans="6:7" x14ac:dyDescent="0.25">
      <c r="F1811" s="20"/>
      <c r="G1811" s="20"/>
    </row>
    <row r="1812" spans="6:7" x14ac:dyDescent="0.25">
      <c r="F1812" s="20"/>
      <c r="G1812" s="20"/>
    </row>
    <row r="1813" spans="6:7" x14ac:dyDescent="0.25">
      <c r="F1813" s="20"/>
      <c r="G1813" s="20"/>
    </row>
    <row r="1814" spans="6:7" x14ac:dyDescent="0.25">
      <c r="F1814" s="20"/>
      <c r="G1814" s="20"/>
    </row>
    <row r="1815" spans="6:7" x14ac:dyDescent="0.25">
      <c r="F1815" s="20"/>
      <c r="G1815" s="20"/>
    </row>
    <row r="1816" spans="6:7" x14ac:dyDescent="0.25">
      <c r="F1816" s="20"/>
      <c r="G1816" s="20"/>
    </row>
    <row r="1817" spans="6:7" x14ac:dyDescent="0.25">
      <c r="F1817" s="20"/>
      <c r="G1817" s="20"/>
    </row>
    <row r="1818" spans="6:7" x14ac:dyDescent="0.25">
      <c r="F1818" s="20"/>
      <c r="G1818" s="20"/>
    </row>
    <row r="1819" spans="6:7" x14ac:dyDescent="0.25">
      <c r="F1819" s="20"/>
      <c r="G1819" s="20"/>
    </row>
    <row r="1820" spans="6:7" x14ac:dyDescent="0.25">
      <c r="F1820" s="20"/>
      <c r="G1820" s="20"/>
    </row>
    <row r="1821" spans="6:7" x14ac:dyDescent="0.25">
      <c r="F1821" s="20"/>
      <c r="G1821" s="20"/>
    </row>
    <row r="1822" spans="6:7" x14ac:dyDescent="0.25">
      <c r="F1822" s="20"/>
      <c r="G1822" s="20"/>
    </row>
    <row r="1823" spans="6:7" x14ac:dyDescent="0.25">
      <c r="F1823" s="20"/>
      <c r="G1823" s="20"/>
    </row>
    <row r="1824" spans="6:7" x14ac:dyDescent="0.25">
      <c r="F1824" s="20"/>
      <c r="G1824" s="20"/>
    </row>
    <row r="1825" spans="6:7" x14ac:dyDescent="0.25">
      <c r="F1825" s="20"/>
      <c r="G1825" s="20"/>
    </row>
    <row r="1826" spans="6:7" x14ac:dyDescent="0.25">
      <c r="F1826" s="20"/>
      <c r="G1826" s="20"/>
    </row>
    <row r="1827" spans="6:7" x14ac:dyDescent="0.25">
      <c r="F1827" s="20"/>
      <c r="G1827" s="20"/>
    </row>
    <row r="1828" spans="6:7" x14ac:dyDescent="0.25">
      <c r="F1828" s="20"/>
      <c r="G1828" s="20"/>
    </row>
    <row r="1829" spans="6:7" x14ac:dyDescent="0.25">
      <c r="F1829" s="20"/>
      <c r="G1829" s="20"/>
    </row>
    <row r="1830" spans="6:7" x14ac:dyDescent="0.25">
      <c r="F1830" s="20"/>
      <c r="G1830" s="20"/>
    </row>
    <row r="1831" spans="6:7" x14ac:dyDescent="0.25">
      <c r="F1831" s="20"/>
      <c r="G1831" s="20"/>
    </row>
    <row r="1832" spans="6:7" x14ac:dyDescent="0.25">
      <c r="F1832" s="20"/>
      <c r="G1832" s="20"/>
    </row>
    <row r="1833" spans="6:7" x14ac:dyDescent="0.25">
      <c r="F1833" s="20"/>
      <c r="G1833" s="20"/>
    </row>
    <row r="1834" spans="6:7" x14ac:dyDescent="0.25">
      <c r="F1834" s="20"/>
      <c r="G1834" s="20"/>
    </row>
    <row r="1835" spans="6:7" x14ac:dyDescent="0.25">
      <c r="F1835" s="20"/>
      <c r="G1835" s="20"/>
    </row>
    <row r="1836" spans="6:7" x14ac:dyDescent="0.25">
      <c r="F1836" s="20"/>
      <c r="G1836" s="20"/>
    </row>
    <row r="1837" spans="6:7" x14ac:dyDescent="0.25">
      <c r="F1837" s="20"/>
      <c r="G1837" s="20"/>
    </row>
    <row r="1838" spans="6:7" x14ac:dyDescent="0.25">
      <c r="F1838" s="20"/>
      <c r="G1838" s="20"/>
    </row>
    <row r="1839" spans="6:7" x14ac:dyDescent="0.25">
      <c r="F1839" s="20"/>
      <c r="G1839" s="20"/>
    </row>
    <row r="1840" spans="6:7" x14ac:dyDescent="0.25">
      <c r="F1840" s="20"/>
      <c r="G1840" s="20"/>
    </row>
    <row r="1841" spans="6:7" x14ac:dyDescent="0.25">
      <c r="F1841" s="20"/>
      <c r="G1841" s="20"/>
    </row>
    <row r="1842" spans="6:7" x14ac:dyDescent="0.25">
      <c r="F1842" s="20"/>
      <c r="G1842" s="20"/>
    </row>
    <row r="1843" spans="6:7" x14ac:dyDescent="0.25">
      <c r="F1843" s="20"/>
      <c r="G1843" s="20"/>
    </row>
    <row r="1844" spans="6:7" x14ac:dyDescent="0.25">
      <c r="F1844" s="20"/>
      <c r="G1844" s="20"/>
    </row>
    <row r="1845" spans="6:7" x14ac:dyDescent="0.25">
      <c r="F1845" s="20"/>
      <c r="G1845" s="20"/>
    </row>
    <row r="1846" spans="6:7" x14ac:dyDescent="0.25">
      <c r="F1846" s="20"/>
      <c r="G1846" s="20"/>
    </row>
    <row r="1847" spans="6:7" x14ac:dyDescent="0.25">
      <c r="F1847" s="20"/>
      <c r="G1847" s="20"/>
    </row>
    <row r="1848" spans="6:7" x14ac:dyDescent="0.25">
      <c r="F1848" s="20"/>
      <c r="G1848" s="20"/>
    </row>
    <row r="1849" spans="6:7" x14ac:dyDescent="0.25">
      <c r="F1849" s="20"/>
      <c r="G1849" s="20"/>
    </row>
    <row r="1850" spans="6:7" x14ac:dyDescent="0.25">
      <c r="F1850" s="20"/>
      <c r="G1850" s="20"/>
    </row>
    <row r="1851" spans="6:7" x14ac:dyDescent="0.25">
      <c r="F1851" s="20"/>
      <c r="G1851" s="20"/>
    </row>
    <row r="1852" spans="6:7" x14ac:dyDescent="0.25">
      <c r="F1852" s="20"/>
      <c r="G1852" s="20"/>
    </row>
    <row r="1853" spans="6:7" x14ac:dyDescent="0.25">
      <c r="F1853" s="20"/>
      <c r="G1853" s="20"/>
    </row>
    <row r="1854" spans="6:7" x14ac:dyDescent="0.25">
      <c r="F1854" s="20"/>
      <c r="G1854" s="20"/>
    </row>
    <row r="1855" spans="6:7" x14ac:dyDescent="0.25">
      <c r="F1855" s="20"/>
      <c r="G1855" s="20"/>
    </row>
    <row r="1856" spans="6:7" x14ac:dyDescent="0.25">
      <c r="F1856" s="20"/>
      <c r="G1856" s="20"/>
    </row>
    <row r="1857" spans="6:7" x14ac:dyDescent="0.25">
      <c r="F1857" s="20"/>
      <c r="G1857" s="20"/>
    </row>
    <row r="1858" spans="6:7" x14ac:dyDescent="0.25">
      <c r="F1858" s="20"/>
      <c r="G1858" s="20"/>
    </row>
    <row r="1859" spans="6:7" x14ac:dyDescent="0.25">
      <c r="F1859" s="20"/>
      <c r="G1859" s="20"/>
    </row>
    <row r="1860" spans="6:7" x14ac:dyDescent="0.25">
      <c r="F1860" s="20"/>
      <c r="G1860" s="20"/>
    </row>
    <row r="1861" spans="6:7" x14ac:dyDescent="0.25">
      <c r="F1861" s="20"/>
      <c r="G1861" s="20"/>
    </row>
    <row r="1862" spans="6:7" x14ac:dyDescent="0.25">
      <c r="F1862" s="20"/>
      <c r="G1862" s="20"/>
    </row>
    <row r="1863" spans="6:7" x14ac:dyDescent="0.25">
      <c r="F1863" s="20"/>
      <c r="G1863" s="20"/>
    </row>
    <row r="1864" spans="6:7" x14ac:dyDescent="0.25">
      <c r="F1864" s="20"/>
      <c r="G1864" s="20"/>
    </row>
    <row r="1865" spans="6:7" x14ac:dyDescent="0.25">
      <c r="F1865" s="20"/>
      <c r="G1865" s="20"/>
    </row>
    <row r="1866" spans="6:7" x14ac:dyDescent="0.25">
      <c r="F1866" s="20"/>
      <c r="G1866" s="20"/>
    </row>
    <row r="1867" spans="6:7" x14ac:dyDescent="0.25">
      <c r="F1867" s="20"/>
      <c r="G1867" s="20"/>
    </row>
    <row r="1868" spans="6:7" x14ac:dyDescent="0.25">
      <c r="F1868" s="20"/>
      <c r="G1868" s="20"/>
    </row>
    <row r="1869" spans="6:7" x14ac:dyDescent="0.25">
      <c r="F1869" s="20"/>
      <c r="G1869" s="20"/>
    </row>
    <row r="1870" spans="6:7" x14ac:dyDescent="0.25">
      <c r="F1870" s="20"/>
      <c r="G1870" s="20"/>
    </row>
    <row r="1871" spans="6:7" x14ac:dyDescent="0.25">
      <c r="F1871" s="20"/>
      <c r="G1871" s="20"/>
    </row>
    <row r="1872" spans="6:7" x14ac:dyDescent="0.25">
      <c r="F1872" s="20"/>
      <c r="G1872" s="20"/>
    </row>
    <row r="1873" spans="6:7" x14ac:dyDescent="0.25">
      <c r="F1873" s="20"/>
      <c r="G1873" s="20"/>
    </row>
    <row r="1874" spans="6:7" x14ac:dyDescent="0.25">
      <c r="F1874" s="20"/>
      <c r="G1874" s="20"/>
    </row>
    <row r="1875" spans="6:7" x14ac:dyDescent="0.25">
      <c r="F1875" s="20"/>
      <c r="G1875" s="20"/>
    </row>
    <row r="1876" spans="6:7" x14ac:dyDescent="0.25">
      <c r="F1876" s="20"/>
      <c r="G1876" s="20"/>
    </row>
    <row r="1877" spans="6:7" x14ac:dyDescent="0.25">
      <c r="F1877" s="20"/>
      <c r="G1877" s="20"/>
    </row>
    <row r="1878" spans="6:7" x14ac:dyDescent="0.25">
      <c r="F1878" s="20"/>
      <c r="G1878" s="20"/>
    </row>
    <row r="1879" spans="6:7" x14ac:dyDescent="0.25">
      <c r="F1879" s="20"/>
      <c r="G1879" s="20"/>
    </row>
    <row r="1880" spans="6:7" x14ac:dyDescent="0.25">
      <c r="F1880" s="20"/>
      <c r="G1880" s="20"/>
    </row>
    <row r="1881" spans="6:7" x14ac:dyDescent="0.25">
      <c r="F1881" s="20"/>
      <c r="G1881" s="20"/>
    </row>
    <row r="1882" spans="6:7" x14ac:dyDescent="0.25">
      <c r="F1882" s="20"/>
      <c r="G1882" s="20"/>
    </row>
    <row r="1883" spans="6:7" x14ac:dyDescent="0.25">
      <c r="F1883" s="20"/>
      <c r="G1883" s="20"/>
    </row>
    <row r="1884" spans="6:7" x14ac:dyDescent="0.25">
      <c r="F1884" s="20"/>
      <c r="G1884" s="20"/>
    </row>
    <row r="1885" spans="6:7" x14ac:dyDescent="0.25">
      <c r="F1885" s="20"/>
      <c r="G1885" s="20"/>
    </row>
    <row r="1886" spans="6:7" x14ac:dyDescent="0.25">
      <c r="F1886" s="20"/>
      <c r="G1886" s="20"/>
    </row>
    <row r="1887" spans="6:7" x14ac:dyDescent="0.25">
      <c r="F1887" s="20"/>
      <c r="G1887" s="20"/>
    </row>
    <row r="1888" spans="6:7" x14ac:dyDescent="0.25">
      <c r="F1888" s="20"/>
      <c r="G1888" s="20"/>
    </row>
    <row r="1889" spans="6:7" x14ac:dyDescent="0.25">
      <c r="F1889" s="20"/>
      <c r="G1889" s="20"/>
    </row>
    <row r="1890" spans="6:7" x14ac:dyDescent="0.25">
      <c r="F1890" s="20"/>
      <c r="G1890" s="20"/>
    </row>
    <row r="1891" spans="6:7" x14ac:dyDescent="0.25">
      <c r="F1891" s="20"/>
      <c r="G1891" s="20"/>
    </row>
    <row r="1892" spans="6:7" x14ac:dyDescent="0.25">
      <c r="F1892" s="20"/>
      <c r="G1892" s="20"/>
    </row>
    <row r="1893" spans="6:7" x14ac:dyDescent="0.25">
      <c r="F1893" s="20"/>
      <c r="G1893" s="20"/>
    </row>
    <row r="1894" spans="6:7" x14ac:dyDescent="0.25">
      <c r="F1894" s="20"/>
      <c r="G1894" s="20"/>
    </row>
    <row r="1895" spans="6:7" x14ac:dyDescent="0.25">
      <c r="F1895" s="20"/>
      <c r="G1895" s="20"/>
    </row>
    <row r="1896" spans="6:7" x14ac:dyDescent="0.25">
      <c r="F1896" s="20"/>
      <c r="G1896" s="20"/>
    </row>
    <row r="1897" spans="6:7" x14ac:dyDescent="0.25">
      <c r="F1897" s="20"/>
      <c r="G1897" s="20"/>
    </row>
    <row r="1898" spans="6:7" x14ac:dyDescent="0.25">
      <c r="F1898" s="20"/>
      <c r="G1898" s="20"/>
    </row>
    <row r="1899" spans="6:7" x14ac:dyDescent="0.25">
      <c r="F1899" s="20"/>
      <c r="G1899" s="20"/>
    </row>
    <row r="1900" spans="6:7" x14ac:dyDescent="0.25">
      <c r="F1900" s="20"/>
      <c r="G1900" s="20"/>
    </row>
    <row r="1901" spans="6:7" x14ac:dyDescent="0.25">
      <c r="F1901" s="20"/>
      <c r="G1901" s="20"/>
    </row>
    <row r="1902" spans="6:7" x14ac:dyDescent="0.25">
      <c r="F1902" s="20"/>
      <c r="G1902" s="20"/>
    </row>
    <row r="1903" spans="6:7" x14ac:dyDescent="0.25">
      <c r="F1903" s="20"/>
      <c r="G1903" s="20"/>
    </row>
    <row r="1904" spans="6:7" x14ac:dyDescent="0.25">
      <c r="F1904" s="20"/>
      <c r="G1904" s="20"/>
    </row>
    <row r="1905" spans="6:7" x14ac:dyDescent="0.25">
      <c r="F1905" s="20"/>
      <c r="G1905" s="20"/>
    </row>
    <row r="1906" spans="6:7" x14ac:dyDescent="0.25">
      <c r="F1906" s="20"/>
      <c r="G1906" s="20"/>
    </row>
    <row r="1907" spans="6:7" x14ac:dyDescent="0.25">
      <c r="F1907" s="20"/>
      <c r="G1907" s="20"/>
    </row>
    <row r="1908" spans="6:7" x14ac:dyDescent="0.25">
      <c r="F1908" s="20"/>
      <c r="G1908" s="20"/>
    </row>
    <row r="1909" spans="6:7" x14ac:dyDescent="0.25">
      <c r="F1909" s="20"/>
      <c r="G1909" s="20"/>
    </row>
    <row r="1910" spans="6:7" x14ac:dyDescent="0.25">
      <c r="F1910" s="20"/>
      <c r="G1910" s="20"/>
    </row>
    <row r="1911" spans="6:7" x14ac:dyDescent="0.25">
      <c r="F1911" s="20"/>
      <c r="G1911" s="20"/>
    </row>
    <row r="1912" spans="6:7" x14ac:dyDescent="0.25">
      <c r="F1912" s="20"/>
      <c r="G1912" s="20"/>
    </row>
    <row r="1913" spans="6:7" x14ac:dyDescent="0.25">
      <c r="F1913" s="20"/>
      <c r="G1913" s="20"/>
    </row>
    <row r="1914" spans="6:7" x14ac:dyDescent="0.25">
      <c r="F1914" s="20"/>
      <c r="G1914" s="20"/>
    </row>
    <row r="1915" spans="6:7" x14ac:dyDescent="0.25">
      <c r="F1915" s="20"/>
      <c r="G1915" s="20"/>
    </row>
    <row r="1916" spans="6:7" x14ac:dyDescent="0.25">
      <c r="F1916" s="20"/>
      <c r="G1916" s="20"/>
    </row>
    <row r="1917" spans="6:7" x14ac:dyDescent="0.25">
      <c r="F1917" s="20"/>
      <c r="G1917" s="20"/>
    </row>
    <row r="1918" spans="6:7" x14ac:dyDescent="0.25">
      <c r="F1918" s="20"/>
      <c r="G1918" s="20"/>
    </row>
    <row r="1919" spans="6:7" x14ac:dyDescent="0.25">
      <c r="F1919" s="20"/>
      <c r="G1919" s="20"/>
    </row>
    <row r="1920" spans="6:7" x14ac:dyDescent="0.25">
      <c r="F1920" s="20"/>
      <c r="G1920" s="20"/>
    </row>
    <row r="1921" spans="6:7" x14ac:dyDescent="0.25">
      <c r="F1921" s="20"/>
      <c r="G1921" s="20"/>
    </row>
    <row r="1922" spans="6:7" x14ac:dyDescent="0.25">
      <c r="F1922" s="20"/>
      <c r="G1922" s="20"/>
    </row>
    <row r="1923" spans="6:7" x14ac:dyDescent="0.25">
      <c r="F1923" s="20"/>
      <c r="G1923" s="20"/>
    </row>
    <row r="1924" spans="6:7" x14ac:dyDescent="0.25">
      <c r="F1924" s="20"/>
      <c r="G1924" s="20"/>
    </row>
    <row r="1925" spans="6:7" x14ac:dyDescent="0.25">
      <c r="F1925" s="20"/>
      <c r="G1925" s="20"/>
    </row>
    <row r="1926" spans="6:7" x14ac:dyDescent="0.25">
      <c r="F1926" s="20"/>
      <c r="G1926" s="20"/>
    </row>
    <row r="1927" spans="6:7" x14ac:dyDescent="0.25">
      <c r="F1927" s="20"/>
      <c r="G1927" s="20"/>
    </row>
    <row r="1928" spans="6:7" x14ac:dyDescent="0.25">
      <c r="F1928" s="20"/>
      <c r="G1928" s="20"/>
    </row>
    <row r="1929" spans="6:7" x14ac:dyDescent="0.25">
      <c r="F1929" s="20"/>
      <c r="G1929" s="20"/>
    </row>
    <row r="1930" spans="6:7" x14ac:dyDescent="0.25">
      <c r="F1930" s="20"/>
      <c r="G1930" s="20"/>
    </row>
    <row r="1931" spans="6:7" x14ac:dyDescent="0.25">
      <c r="F1931" s="20"/>
      <c r="G1931" s="20"/>
    </row>
    <row r="1932" spans="6:7" x14ac:dyDescent="0.25">
      <c r="F1932" s="20"/>
      <c r="G1932" s="20"/>
    </row>
    <row r="1933" spans="6:7" x14ac:dyDescent="0.25">
      <c r="F1933" s="20"/>
      <c r="G1933" s="20"/>
    </row>
    <row r="1934" spans="6:7" x14ac:dyDescent="0.25">
      <c r="F1934" s="20"/>
      <c r="G1934" s="20"/>
    </row>
    <row r="1935" spans="6:7" x14ac:dyDescent="0.25">
      <c r="F1935" s="20"/>
      <c r="G1935" s="20"/>
    </row>
    <row r="1936" spans="6:7" x14ac:dyDescent="0.25">
      <c r="F1936" s="20"/>
      <c r="G1936" s="20"/>
    </row>
    <row r="1937" spans="6:7" x14ac:dyDescent="0.25">
      <c r="F1937" s="20"/>
      <c r="G1937" s="20"/>
    </row>
    <row r="1938" spans="6:7" x14ac:dyDescent="0.25">
      <c r="F1938" s="20"/>
      <c r="G1938" s="20"/>
    </row>
    <row r="1939" spans="6:7" x14ac:dyDescent="0.25">
      <c r="F1939" s="20"/>
      <c r="G1939" s="20"/>
    </row>
    <row r="1940" spans="6:7" x14ac:dyDescent="0.25">
      <c r="F1940" s="20"/>
      <c r="G1940" s="20"/>
    </row>
    <row r="1941" spans="6:7" x14ac:dyDescent="0.25">
      <c r="F1941" s="20"/>
      <c r="G1941" s="20"/>
    </row>
    <row r="1942" spans="6:7" x14ac:dyDescent="0.25">
      <c r="F1942" s="20"/>
      <c r="G1942" s="20"/>
    </row>
    <row r="1943" spans="6:7" x14ac:dyDescent="0.25">
      <c r="F1943" s="20"/>
      <c r="G1943" s="20"/>
    </row>
    <row r="1944" spans="6:7" x14ac:dyDescent="0.25">
      <c r="F1944" s="20"/>
      <c r="G1944" s="20"/>
    </row>
    <row r="1945" spans="6:7" x14ac:dyDescent="0.25">
      <c r="F1945" s="20"/>
      <c r="G1945" s="20"/>
    </row>
    <row r="1946" spans="6:7" x14ac:dyDescent="0.25">
      <c r="F1946" s="20"/>
      <c r="G1946" s="20"/>
    </row>
    <row r="1947" spans="6:7" x14ac:dyDescent="0.25">
      <c r="F1947" s="20"/>
      <c r="G1947" s="20"/>
    </row>
    <row r="1948" spans="6:7" x14ac:dyDescent="0.25">
      <c r="F1948" s="20"/>
      <c r="G1948" s="20"/>
    </row>
    <row r="1949" spans="6:7" x14ac:dyDescent="0.25">
      <c r="F1949" s="20"/>
      <c r="G1949" s="20"/>
    </row>
    <row r="1950" spans="6:7" x14ac:dyDescent="0.25">
      <c r="F1950" s="20"/>
      <c r="G1950" s="20"/>
    </row>
    <row r="1951" spans="6:7" x14ac:dyDescent="0.25">
      <c r="F1951" s="20"/>
      <c r="G1951" s="20"/>
    </row>
    <row r="1952" spans="6:7" x14ac:dyDescent="0.25">
      <c r="F1952" s="20"/>
      <c r="G1952" s="20"/>
    </row>
    <row r="1953" spans="6:7" x14ac:dyDescent="0.25">
      <c r="F1953" s="20"/>
      <c r="G1953" s="20"/>
    </row>
    <row r="1954" spans="6:7" x14ac:dyDescent="0.25">
      <c r="F1954" s="20"/>
      <c r="G1954" s="20"/>
    </row>
    <row r="1955" spans="6:7" x14ac:dyDescent="0.25">
      <c r="F1955" s="20"/>
      <c r="G1955" s="20"/>
    </row>
    <row r="1956" spans="6:7" x14ac:dyDescent="0.25">
      <c r="F1956" s="20"/>
      <c r="G1956" s="20"/>
    </row>
    <row r="1957" spans="6:7" x14ac:dyDescent="0.25">
      <c r="F1957" s="20"/>
      <c r="G1957" s="20"/>
    </row>
    <row r="1958" spans="6:7" x14ac:dyDescent="0.25">
      <c r="F1958" s="20"/>
      <c r="G1958" s="20"/>
    </row>
    <row r="1959" spans="6:7" x14ac:dyDescent="0.25">
      <c r="F1959" s="20"/>
      <c r="G1959" s="20"/>
    </row>
    <row r="1960" spans="6:7" x14ac:dyDescent="0.25">
      <c r="F1960" s="20"/>
      <c r="G1960" s="20"/>
    </row>
    <row r="1961" spans="6:7" x14ac:dyDescent="0.25">
      <c r="F1961" s="20"/>
      <c r="G1961" s="20"/>
    </row>
    <row r="1962" spans="6:7" x14ac:dyDescent="0.25">
      <c r="F1962" s="20"/>
      <c r="G1962" s="20"/>
    </row>
    <row r="1963" spans="6:7" x14ac:dyDescent="0.25">
      <c r="F1963" s="20"/>
      <c r="G1963" s="20"/>
    </row>
    <row r="1964" spans="6:7" x14ac:dyDescent="0.25">
      <c r="F1964" s="20"/>
      <c r="G1964" s="20"/>
    </row>
    <row r="1965" spans="6:7" x14ac:dyDescent="0.25">
      <c r="F1965" s="20"/>
      <c r="G1965" s="20"/>
    </row>
    <row r="1966" spans="6:7" x14ac:dyDescent="0.25">
      <c r="F1966" s="20"/>
      <c r="G1966" s="20"/>
    </row>
    <row r="1967" spans="6:7" x14ac:dyDescent="0.25">
      <c r="F1967" s="20"/>
      <c r="G1967" s="20"/>
    </row>
    <row r="1968" spans="6:7" x14ac:dyDescent="0.25">
      <c r="F1968" s="20"/>
      <c r="G1968" s="20"/>
    </row>
    <row r="1969" spans="6:7" x14ac:dyDescent="0.25">
      <c r="F1969" s="20"/>
      <c r="G1969" s="20"/>
    </row>
    <row r="1970" spans="6:7" x14ac:dyDescent="0.25">
      <c r="F1970" s="20"/>
      <c r="G1970" s="20"/>
    </row>
    <row r="1971" spans="6:7" x14ac:dyDescent="0.25">
      <c r="F1971" s="20"/>
      <c r="G1971" s="20"/>
    </row>
    <row r="1972" spans="6:7" x14ac:dyDescent="0.25">
      <c r="F1972" s="20"/>
      <c r="G1972" s="20"/>
    </row>
    <row r="1973" spans="6:7" x14ac:dyDescent="0.25">
      <c r="F1973" s="20"/>
      <c r="G1973" s="20"/>
    </row>
    <row r="1974" spans="6:7" x14ac:dyDescent="0.25">
      <c r="F1974" s="20"/>
      <c r="G1974" s="20"/>
    </row>
    <row r="1975" spans="6:7" x14ac:dyDescent="0.25">
      <c r="F1975" s="20"/>
      <c r="G1975" s="20"/>
    </row>
    <row r="1976" spans="6:7" x14ac:dyDescent="0.25">
      <c r="F1976" s="20"/>
      <c r="G1976" s="20"/>
    </row>
    <row r="1977" spans="6:7" x14ac:dyDescent="0.25">
      <c r="F1977" s="20"/>
      <c r="G1977" s="20"/>
    </row>
    <row r="1978" spans="6:7" x14ac:dyDescent="0.25">
      <c r="F1978" s="20"/>
      <c r="G1978" s="20"/>
    </row>
    <row r="1979" spans="6:7" x14ac:dyDescent="0.25">
      <c r="F1979" s="20"/>
      <c r="G1979" s="20"/>
    </row>
    <row r="1980" spans="6:7" x14ac:dyDescent="0.25">
      <c r="F1980" s="20"/>
      <c r="G1980" s="20"/>
    </row>
    <row r="1981" spans="6:7" x14ac:dyDescent="0.25">
      <c r="F1981" s="20"/>
      <c r="G1981" s="20"/>
    </row>
    <row r="1982" spans="6:7" x14ac:dyDescent="0.25">
      <c r="F1982" s="20"/>
      <c r="G1982" s="20"/>
    </row>
    <row r="1983" spans="6:7" x14ac:dyDescent="0.25">
      <c r="F1983" s="20"/>
      <c r="G1983" s="20"/>
    </row>
    <row r="1984" spans="6:7" x14ac:dyDescent="0.25">
      <c r="F1984" s="20"/>
      <c r="G1984" s="20"/>
    </row>
    <row r="1985" spans="6:7" x14ac:dyDescent="0.25">
      <c r="F1985" s="20"/>
      <c r="G1985" s="20"/>
    </row>
  </sheetData>
  <conditionalFormatting sqref="H58:BT74">
    <cfRule type="colorScale" priority="1">
      <colorScale>
        <cfvo type="min"/>
        <cfvo type="max"/>
        <color theme="0" tint="-0.499984740745262"/>
        <color theme="0" tint="-4.9989318521683403E-2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033C5-51F2-4A01-A017-6A5A90FCAB8D}">
  <dimension ref="A1:CL1985"/>
  <sheetViews>
    <sheetView workbookViewId="0">
      <selection sqref="A1:CL1985"/>
    </sheetView>
  </sheetViews>
  <sheetFormatPr defaultRowHeight="15" x14ac:dyDescent="0.25"/>
  <sheetData>
    <row r="1" spans="1:90" ht="18" x14ac:dyDescent="0.25">
      <c r="A1" s="6"/>
      <c r="B1" s="81" t="s">
        <v>71</v>
      </c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  <c r="BY1" s="81"/>
      <c r="BZ1" s="81"/>
      <c r="CA1" s="81"/>
      <c r="CB1" s="81"/>
      <c r="CC1" s="81"/>
      <c r="CD1" s="81"/>
      <c r="CE1" s="81"/>
      <c r="CF1" s="81"/>
      <c r="CG1" s="81"/>
      <c r="CH1" s="81"/>
      <c r="CI1" s="81"/>
      <c r="CJ1" s="81"/>
      <c r="CK1" s="81"/>
      <c r="CL1" s="81"/>
    </row>
    <row r="2" spans="1:90" ht="15.75" x14ac:dyDescent="0.25">
      <c r="A2" s="80"/>
      <c r="B2" s="80" t="s">
        <v>223</v>
      </c>
      <c r="C2" s="80"/>
      <c r="D2" s="82" t="s">
        <v>72</v>
      </c>
      <c r="E2" s="82" t="s">
        <v>222</v>
      </c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</row>
    <row r="3" spans="1:90" ht="15.75" x14ac:dyDescent="0.25">
      <c r="A3" s="80"/>
      <c r="B3" s="80"/>
      <c r="C3" s="80"/>
      <c r="D3" s="83">
        <v>45518.70484953704</v>
      </c>
      <c r="E3" s="83">
        <v>45518.70484953704</v>
      </c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80"/>
      <c r="CF3" s="80"/>
      <c r="CG3" s="80"/>
      <c r="CH3" s="80"/>
      <c r="CI3" s="80"/>
      <c r="CJ3" s="80"/>
      <c r="CK3" s="80"/>
      <c r="CL3" s="80"/>
    </row>
    <row r="4" spans="1:90" x14ac:dyDescent="0.25">
      <c r="A4" s="84"/>
      <c r="B4" s="85"/>
      <c r="C4" s="86"/>
      <c r="D4" s="86"/>
      <c r="E4" s="87"/>
      <c r="F4" s="87"/>
      <c r="G4" s="89"/>
      <c r="H4" s="91" t="s">
        <v>113</v>
      </c>
      <c r="I4" s="91" t="s">
        <v>114</v>
      </c>
      <c r="J4" s="91" t="s">
        <v>115</v>
      </c>
      <c r="K4" s="91" t="s">
        <v>116</v>
      </c>
      <c r="L4" s="91" t="s">
        <v>117</v>
      </c>
      <c r="M4" s="91" t="s">
        <v>118</v>
      </c>
      <c r="N4" s="91" t="s">
        <v>119</v>
      </c>
      <c r="O4" s="91" t="s">
        <v>120</v>
      </c>
      <c r="P4" s="91" t="s">
        <v>121</v>
      </c>
      <c r="Q4" s="91" t="s">
        <v>122</v>
      </c>
      <c r="R4" s="91" t="s">
        <v>123</v>
      </c>
      <c r="S4" s="91" t="s">
        <v>124</v>
      </c>
      <c r="T4" s="91" t="s">
        <v>125</v>
      </c>
      <c r="U4" s="91" t="s">
        <v>126</v>
      </c>
      <c r="V4" s="91" t="s">
        <v>127</v>
      </c>
      <c r="W4" s="91" t="s">
        <v>128</v>
      </c>
      <c r="X4" s="91" t="s">
        <v>129</v>
      </c>
      <c r="Y4" s="91" t="s">
        <v>130</v>
      </c>
      <c r="Z4" s="91" t="s">
        <v>131</v>
      </c>
      <c r="AA4" s="91" t="s">
        <v>132</v>
      </c>
      <c r="AB4" s="91" t="s">
        <v>133</v>
      </c>
      <c r="AC4" s="91" t="s">
        <v>134</v>
      </c>
      <c r="AD4" s="91" t="s">
        <v>135</v>
      </c>
      <c r="AE4" s="91" t="s">
        <v>136</v>
      </c>
      <c r="AF4" s="91" t="s">
        <v>137</v>
      </c>
      <c r="AG4" s="91" t="s">
        <v>138</v>
      </c>
      <c r="AH4" s="91" t="s">
        <v>139</v>
      </c>
      <c r="AI4" s="91" t="s">
        <v>140</v>
      </c>
      <c r="AJ4" s="91" t="s">
        <v>141</v>
      </c>
      <c r="AK4" s="91" t="s">
        <v>142</v>
      </c>
      <c r="AL4" s="91" t="s">
        <v>143</v>
      </c>
      <c r="AM4" s="91" t="s">
        <v>144</v>
      </c>
      <c r="AN4" s="91" t="s">
        <v>103</v>
      </c>
      <c r="AO4" s="91" t="s">
        <v>104</v>
      </c>
      <c r="AP4" s="91" t="s">
        <v>105</v>
      </c>
      <c r="AQ4" s="91" t="s">
        <v>106</v>
      </c>
      <c r="AR4" s="91" t="s">
        <v>107</v>
      </c>
      <c r="AS4" s="91" t="s">
        <v>108</v>
      </c>
      <c r="AT4" s="91" t="s">
        <v>109</v>
      </c>
      <c r="AU4" s="91" t="s">
        <v>110</v>
      </c>
      <c r="AV4" s="91" t="s">
        <v>58</v>
      </c>
      <c r="AW4" s="91" t="s">
        <v>59</v>
      </c>
      <c r="AX4" s="91" t="s">
        <v>60</v>
      </c>
      <c r="AY4" s="91" t="s">
        <v>61</v>
      </c>
      <c r="AZ4" s="91" t="s">
        <v>62</v>
      </c>
      <c r="BA4" s="91" t="s">
        <v>63</v>
      </c>
      <c r="BB4" s="91" t="s">
        <v>64</v>
      </c>
      <c r="BC4" s="91" t="s">
        <v>65</v>
      </c>
      <c r="BD4" s="91" t="s">
        <v>66</v>
      </c>
      <c r="BE4" s="91" t="s">
        <v>67</v>
      </c>
      <c r="BF4" s="91" t="s">
        <v>68</v>
      </c>
      <c r="BG4" s="91" t="s">
        <v>69</v>
      </c>
      <c r="BH4" s="91" t="s">
        <v>70</v>
      </c>
      <c r="BI4" s="91" t="s">
        <v>111</v>
      </c>
      <c r="BJ4" s="91" t="s">
        <v>145</v>
      </c>
      <c r="BK4" s="91" t="s">
        <v>146</v>
      </c>
      <c r="BL4" s="91" t="s">
        <v>147</v>
      </c>
      <c r="BM4" s="91" t="s">
        <v>148</v>
      </c>
      <c r="BN4" s="91" t="s">
        <v>149</v>
      </c>
      <c r="BO4" s="91" t="s">
        <v>184</v>
      </c>
      <c r="BP4" s="91" t="s">
        <v>150</v>
      </c>
      <c r="BQ4" s="91" t="s">
        <v>151</v>
      </c>
      <c r="BR4" s="91" t="s">
        <v>152</v>
      </c>
      <c r="BS4" s="88" t="s">
        <v>153</v>
      </c>
      <c r="BT4" s="91" t="s">
        <v>185</v>
      </c>
      <c r="BU4" s="91"/>
      <c r="BV4" s="91"/>
      <c r="BW4" s="88"/>
      <c r="BX4" s="7"/>
      <c r="BY4" s="7"/>
      <c r="BZ4" s="7"/>
      <c r="CA4" s="7"/>
      <c r="CB4" s="7"/>
      <c r="CC4" s="7"/>
      <c r="CD4" s="7"/>
      <c r="CE4" s="7"/>
      <c r="CF4" s="7"/>
      <c r="CG4" s="8"/>
      <c r="CH4" s="8"/>
      <c r="CI4" s="8"/>
      <c r="CJ4" s="8"/>
      <c r="CK4" s="8"/>
      <c r="CL4" s="8"/>
    </row>
    <row r="5" spans="1:90" x14ac:dyDescent="0.25">
      <c r="A5" s="9"/>
      <c r="B5" s="9"/>
      <c r="C5" s="9"/>
      <c r="D5" s="9"/>
      <c r="E5" s="9"/>
      <c r="F5" s="9"/>
      <c r="G5" s="9"/>
      <c r="H5" s="92"/>
      <c r="I5" s="93"/>
      <c r="J5" s="93"/>
      <c r="K5" s="94"/>
      <c r="L5" s="92"/>
      <c r="M5" s="93"/>
      <c r="N5" s="93"/>
      <c r="O5" s="94"/>
      <c r="P5" s="92"/>
      <c r="Q5" s="93"/>
      <c r="R5" s="93"/>
      <c r="S5" s="94"/>
      <c r="T5" s="93"/>
      <c r="U5" s="93"/>
      <c r="V5" s="93"/>
      <c r="W5" s="94"/>
      <c r="X5" s="93"/>
      <c r="Y5" s="93"/>
      <c r="Z5" s="93"/>
      <c r="AA5" s="94"/>
      <c r="AB5" s="93"/>
      <c r="AC5" s="93"/>
      <c r="AD5" s="93"/>
      <c r="AE5" s="94"/>
      <c r="AF5" s="93"/>
      <c r="AG5" s="93"/>
      <c r="AH5" s="93"/>
      <c r="AI5" s="94"/>
      <c r="AJ5" s="93"/>
      <c r="AK5" s="93"/>
      <c r="AL5" s="93"/>
      <c r="AM5" s="94"/>
      <c r="AN5" s="93"/>
      <c r="AO5" s="93"/>
      <c r="AP5" s="93"/>
      <c r="AQ5" s="94"/>
      <c r="AR5" s="93"/>
      <c r="AS5" s="93"/>
      <c r="AT5" s="93"/>
      <c r="AU5" s="94"/>
      <c r="AV5" s="93"/>
      <c r="AW5" s="93"/>
      <c r="AX5" s="93"/>
      <c r="AY5" s="94"/>
      <c r="AZ5" s="93"/>
      <c r="BA5" s="93"/>
      <c r="BB5" s="93"/>
      <c r="BC5" s="94"/>
      <c r="BD5" s="93"/>
      <c r="BE5" s="93"/>
      <c r="BF5" s="93"/>
      <c r="BG5" s="94"/>
      <c r="BH5" s="93"/>
      <c r="BI5" s="93"/>
      <c r="BJ5" s="93"/>
      <c r="BK5" s="94"/>
      <c r="BL5" s="93"/>
      <c r="BM5" s="93"/>
      <c r="BN5" s="93"/>
      <c r="BO5" s="94"/>
      <c r="BP5" s="93"/>
      <c r="BQ5" s="93"/>
      <c r="BR5" s="93"/>
      <c r="BS5" s="12"/>
      <c r="BT5" s="93"/>
      <c r="BU5" s="93"/>
      <c r="BV5" s="93"/>
      <c r="BW5" s="12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</row>
    <row r="6" spans="1:90" x14ac:dyDescent="0.25">
      <c r="A6" s="9"/>
      <c r="B6" s="9"/>
      <c r="C6" s="3"/>
      <c r="D6" s="3"/>
      <c r="E6" s="3"/>
      <c r="F6" s="13"/>
      <c r="G6" s="13"/>
      <c r="H6" s="95"/>
      <c r="I6" s="96"/>
      <c r="J6" s="96"/>
      <c r="K6" s="97"/>
      <c r="L6" s="95"/>
      <c r="M6" s="96"/>
      <c r="N6" s="96"/>
      <c r="O6" s="97"/>
      <c r="P6" s="95"/>
      <c r="Q6" s="96"/>
      <c r="R6" s="96"/>
      <c r="S6" s="97"/>
      <c r="T6" s="96"/>
      <c r="U6" s="96"/>
      <c r="V6" s="96"/>
      <c r="W6" s="98"/>
      <c r="X6" s="99"/>
      <c r="Y6" s="99"/>
      <c r="Z6" s="99"/>
      <c r="AA6" s="98"/>
      <c r="AB6" s="99"/>
      <c r="AC6" s="99"/>
      <c r="AD6" s="100"/>
      <c r="AE6" s="98"/>
      <c r="AF6" s="99"/>
      <c r="AG6" s="99"/>
      <c r="AH6" s="99"/>
      <c r="AI6" s="98"/>
      <c r="AJ6" s="99"/>
      <c r="AK6" s="99"/>
      <c r="AL6" s="99"/>
      <c r="AM6" s="98"/>
      <c r="AN6" s="99"/>
      <c r="AO6" s="99"/>
      <c r="AP6" s="99"/>
      <c r="AQ6" s="98"/>
      <c r="AR6" s="99"/>
      <c r="AS6" s="99"/>
      <c r="AT6" s="99"/>
      <c r="AU6" s="98"/>
      <c r="AV6" s="99"/>
      <c r="AW6" s="99"/>
      <c r="AX6" s="99"/>
      <c r="AY6" s="98"/>
      <c r="AZ6" s="99"/>
      <c r="BA6" s="99"/>
      <c r="BB6" s="99"/>
      <c r="BC6" s="98"/>
      <c r="BD6" s="99"/>
      <c r="BE6" s="99"/>
      <c r="BF6" s="99"/>
      <c r="BG6" s="98"/>
      <c r="BH6" s="99"/>
      <c r="BI6" s="99"/>
      <c r="BJ6" s="99"/>
      <c r="BK6" s="98"/>
      <c r="BL6" s="99"/>
      <c r="BM6" s="99"/>
      <c r="BN6" s="99"/>
      <c r="BO6" s="98"/>
      <c r="BP6" s="99"/>
      <c r="BQ6" s="99"/>
      <c r="BR6" s="99"/>
      <c r="BS6" s="14"/>
      <c r="BT6" s="99"/>
      <c r="BU6" s="99"/>
      <c r="BV6" s="99"/>
      <c r="BW6" s="14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</row>
    <row r="7" spans="1:90" x14ac:dyDescent="0.25">
      <c r="A7" s="9"/>
      <c r="B7" s="9"/>
      <c r="C7" s="1" t="s">
        <v>0</v>
      </c>
      <c r="D7" s="16"/>
      <c r="E7" s="16"/>
      <c r="F7" s="17" t="s">
        <v>89</v>
      </c>
      <c r="G7" s="17" t="s">
        <v>90</v>
      </c>
      <c r="H7" s="101"/>
      <c r="I7" s="102"/>
      <c r="J7" s="102"/>
      <c r="K7" s="103"/>
      <c r="L7" s="101"/>
      <c r="M7" s="102"/>
      <c r="N7" s="102"/>
      <c r="O7" s="104"/>
      <c r="P7" s="105"/>
      <c r="Q7" s="106"/>
      <c r="R7" s="106"/>
      <c r="S7" s="104"/>
      <c r="T7" s="106"/>
      <c r="U7" s="106"/>
      <c r="V7" s="106"/>
      <c r="W7" s="104"/>
      <c r="X7" s="106"/>
      <c r="Y7" s="106"/>
      <c r="Z7" s="106"/>
      <c r="AA7" s="104"/>
      <c r="AB7" s="106"/>
      <c r="AC7" s="106"/>
      <c r="AD7" s="106"/>
      <c r="AE7" s="104"/>
      <c r="AF7" s="106"/>
      <c r="AG7" s="106"/>
      <c r="AH7" s="106"/>
      <c r="AI7" s="104"/>
      <c r="AJ7" s="106"/>
      <c r="AK7" s="106"/>
      <c r="AL7" s="106"/>
      <c r="AM7" s="104"/>
      <c r="AN7" s="106"/>
      <c r="AO7" s="106"/>
      <c r="AP7" s="106"/>
      <c r="AQ7" s="104"/>
      <c r="AR7" s="106"/>
      <c r="AS7" s="106"/>
      <c r="AT7" s="106"/>
      <c r="AU7" s="104"/>
      <c r="AV7" s="106"/>
      <c r="AW7" s="106"/>
      <c r="AX7" s="106"/>
      <c r="AY7" s="104"/>
      <c r="AZ7" s="106"/>
      <c r="BA7" s="106"/>
      <c r="BB7" s="106"/>
      <c r="BC7" s="104"/>
      <c r="BD7" s="106"/>
      <c r="BE7" s="106"/>
      <c r="BF7" s="106"/>
      <c r="BG7" s="104"/>
      <c r="BH7" s="106"/>
      <c r="BI7" s="106"/>
      <c r="BJ7" s="106"/>
      <c r="BK7" s="104"/>
      <c r="BL7" s="106"/>
      <c r="BM7" s="106"/>
      <c r="BN7" s="106"/>
      <c r="BO7" s="104"/>
      <c r="BP7" s="106"/>
      <c r="BQ7" s="106"/>
      <c r="BR7" s="106"/>
      <c r="BS7" s="18"/>
      <c r="BT7" s="106"/>
      <c r="BU7" s="106"/>
      <c r="BV7" s="106"/>
      <c r="BW7" s="18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</row>
    <row r="8" spans="1:90" x14ac:dyDescent="0.25">
      <c r="A8" s="9"/>
      <c r="B8" s="9"/>
      <c r="C8" s="2" t="s">
        <v>208</v>
      </c>
      <c r="D8" s="3" t="s">
        <v>210</v>
      </c>
      <c r="E8" s="3"/>
      <c r="F8" s="20" t="s">
        <v>161</v>
      </c>
      <c r="G8" s="20" t="s">
        <v>187</v>
      </c>
      <c r="H8" s="107">
        <v>4.1854263920671242</v>
      </c>
      <c r="I8" s="108">
        <v>4.361992063492063</v>
      </c>
      <c r="J8" s="108">
        <v>4.1221376811594199</v>
      </c>
      <c r="K8" s="109">
        <v>3.330222222222222</v>
      </c>
      <c r="L8" s="108">
        <v>2.4434928229665069</v>
      </c>
      <c r="M8" s="108">
        <v>2.2814855320118479</v>
      </c>
      <c r="N8" s="108">
        <v>2.8850956937799039</v>
      </c>
      <c r="O8" s="108">
        <v>3.39954347826087</v>
      </c>
      <c r="P8" s="107">
        <v>3.4838079676314968</v>
      </c>
      <c r="Q8" s="108">
        <v>4.00953823953824</v>
      </c>
      <c r="R8" s="108">
        <v>3.4766666666666666</v>
      </c>
      <c r="S8" s="108">
        <v>3.7867777777777776</v>
      </c>
      <c r="T8" s="107">
        <v>5.1916245791245794</v>
      </c>
      <c r="U8" s="108">
        <v>4.6159967320261437</v>
      </c>
      <c r="V8" s="108">
        <v>3.9354191919191917</v>
      </c>
      <c r="W8" s="109">
        <v>3.9391428571428571</v>
      </c>
      <c r="X8" s="107">
        <v>2.96</v>
      </c>
      <c r="Y8" s="108">
        <v>2.5499999999999998</v>
      </c>
      <c r="Z8" s="108"/>
      <c r="AA8" s="109"/>
      <c r="AB8" s="107">
        <v>1.8024714285714285</v>
      </c>
      <c r="AC8" s="108">
        <v>2.0513555555555558</v>
      </c>
      <c r="AD8" s="108">
        <v>3.05</v>
      </c>
      <c r="AE8" s="109">
        <v>2.9950000000000001</v>
      </c>
      <c r="AF8" s="107">
        <v>2.9233333333333329</v>
      </c>
      <c r="AG8" s="108">
        <v>3.0149999999999997</v>
      </c>
      <c r="AH8" s="108"/>
      <c r="AI8" s="110">
        <v>2.9766666666666666</v>
      </c>
      <c r="AJ8" s="107">
        <v>2.9718782249742</v>
      </c>
      <c r="AK8" s="108">
        <v>2.8572137161084528</v>
      </c>
      <c r="AL8" s="108">
        <v>2.9240962254120149</v>
      </c>
      <c r="AM8" s="110">
        <v>3.8261417810831424</v>
      </c>
      <c r="AN8" s="107">
        <v>2.9109523809523807</v>
      </c>
      <c r="AO8" s="108">
        <v>2.5604074074074075</v>
      </c>
      <c r="AP8" s="108">
        <v>2.3903091060985795</v>
      </c>
      <c r="AQ8" s="110">
        <v>2.4081102212051868</v>
      </c>
      <c r="AR8" s="107">
        <v>1.9129976456292246</v>
      </c>
      <c r="AS8" s="108">
        <v>1.6971825396825395</v>
      </c>
      <c r="AT8" s="108">
        <v>1.9782106782106783</v>
      </c>
      <c r="AU8" s="110">
        <v>2.4362499999999998</v>
      </c>
      <c r="AV8" s="107">
        <v>3.4250000000000003</v>
      </c>
      <c r="AW8" s="108">
        <v>2.9091666666666662</v>
      </c>
      <c r="AX8" s="108">
        <v>4.2934173669467794</v>
      </c>
      <c r="AY8" s="110">
        <v>4.7296783625730994</v>
      </c>
      <c r="AZ8" s="107">
        <v>4.6243344774980928</v>
      </c>
      <c r="BA8" s="108">
        <v>7.4456851851851846</v>
      </c>
      <c r="BB8" s="108">
        <v>7.9422920938710417</v>
      </c>
      <c r="BC8" s="110">
        <v>5.5074379324379317</v>
      </c>
      <c r="BD8" s="107">
        <v>2.6611194653299917</v>
      </c>
      <c r="BE8" s="108">
        <v>2.1703668261562998</v>
      </c>
      <c r="BF8" s="108">
        <v>2.5924111963626033</v>
      </c>
      <c r="BG8" s="109">
        <v>2.7390810582606249</v>
      </c>
      <c r="BH8" s="107">
        <v>2.1537320261437909</v>
      </c>
      <c r="BI8" s="108">
        <v>2.0934722222222222</v>
      </c>
      <c r="BJ8" s="108">
        <v>2.062754385964912</v>
      </c>
      <c r="BK8" s="109">
        <v>2.76</v>
      </c>
      <c r="BL8" s="107">
        <v>3.3283333333333331</v>
      </c>
      <c r="BM8" s="108">
        <v>2.9926666666666666</v>
      </c>
      <c r="BN8" s="108">
        <v>3.2766666666666668</v>
      </c>
      <c r="BO8" s="109">
        <v>3.6353333333333335</v>
      </c>
      <c r="BP8" s="107">
        <v>3.8976666666666664</v>
      </c>
      <c r="BQ8" s="108">
        <v>3.1596666666666664</v>
      </c>
      <c r="BR8" s="108">
        <v>3.4356666666666666</v>
      </c>
      <c r="BS8" s="109">
        <v>3.7943333333333329</v>
      </c>
      <c r="BT8" s="107">
        <v>4.2880000000000003</v>
      </c>
      <c r="BU8" s="111"/>
      <c r="BV8" s="111"/>
      <c r="BW8" s="26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</row>
    <row r="9" spans="1:90" x14ac:dyDescent="0.25">
      <c r="A9" s="9"/>
      <c r="B9" s="9"/>
      <c r="C9" s="3" t="s">
        <v>2</v>
      </c>
      <c r="D9" s="3" t="s">
        <v>212</v>
      </c>
      <c r="E9" s="3"/>
      <c r="F9" s="20" t="s">
        <v>162</v>
      </c>
      <c r="G9" s="20"/>
      <c r="H9" s="107">
        <v>77.077018633540376</v>
      </c>
      <c r="I9" s="108">
        <v>78.73015873015872</v>
      </c>
      <c r="J9" s="108">
        <v>80.015079365079373</v>
      </c>
      <c r="K9" s="109">
        <v>78.942352092352095</v>
      </c>
      <c r="L9" s="108">
        <v>70.245851370851369</v>
      </c>
      <c r="M9" s="108">
        <v>60.088888888888896</v>
      </c>
      <c r="N9" s="108">
        <v>61.177803030303032</v>
      </c>
      <c r="O9" s="108">
        <v>66.800289855072478</v>
      </c>
      <c r="P9" s="107">
        <v>66.590066889632112</v>
      </c>
      <c r="Q9" s="108">
        <v>67.077500000000001</v>
      </c>
      <c r="R9" s="108">
        <v>63.95545454545455</v>
      </c>
      <c r="S9" s="108">
        <v>63.614598997493736</v>
      </c>
      <c r="T9" s="107">
        <v>62.406299081035918</v>
      </c>
      <c r="U9" s="108">
        <v>60.672539682539686</v>
      </c>
      <c r="V9" s="108">
        <v>57.210923520923522</v>
      </c>
      <c r="W9" s="109">
        <v>56.158973063973065</v>
      </c>
      <c r="X9" s="107">
        <v>53.349000000000011</v>
      </c>
      <c r="Y9" s="108">
        <v>52.877469696969705</v>
      </c>
      <c r="Z9" s="108">
        <v>50.631782106782111</v>
      </c>
      <c r="AA9" s="109">
        <v>46.069214703425224</v>
      </c>
      <c r="AB9" s="107">
        <v>42.296734259892155</v>
      </c>
      <c r="AC9" s="108">
        <v>41.1</v>
      </c>
      <c r="AD9" s="108">
        <v>40.947142857142858</v>
      </c>
      <c r="AE9" s="109">
        <v>44.935000000000002</v>
      </c>
      <c r="AF9" s="107">
        <v>50.054649122807014</v>
      </c>
      <c r="AG9" s="108">
        <v>52.445055821371618</v>
      </c>
      <c r="AH9" s="108">
        <v>53.009963768115938</v>
      </c>
      <c r="AI9" s="110">
        <v>58.280158730158725</v>
      </c>
      <c r="AJ9" s="107">
        <v>60.864821143768516</v>
      </c>
      <c r="AK9" s="108">
        <v>62.132815734989641</v>
      </c>
      <c r="AL9" s="108">
        <v>71.949918521600452</v>
      </c>
      <c r="AM9" s="110">
        <v>78.711742424242416</v>
      </c>
      <c r="AN9" s="107">
        <v>81.101670843776105</v>
      </c>
      <c r="AO9" s="108">
        <v>70.440001725327804</v>
      </c>
      <c r="AP9" s="108">
        <v>62.420378787878782</v>
      </c>
      <c r="AQ9" s="110">
        <v>63.709833295359623</v>
      </c>
      <c r="AR9" s="107">
        <v>58.04545454545454</v>
      </c>
      <c r="AS9" s="108">
        <v>55.236655844155848</v>
      </c>
      <c r="AT9" s="108">
        <v>55.069805194805191</v>
      </c>
      <c r="AU9" s="110">
        <v>55.178030303030305</v>
      </c>
      <c r="AV9" s="107">
        <v>56.569603356216625</v>
      </c>
      <c r="AW9" s="108">
        <v>60.498268398268401</v>
      </c>
      <c r="AX9" s="108">
        <v>64.141197691197689</v>
      </c>
      <c r="AY9" s="110">
        <v>83.808333333333337</v>
      </c>
      <c r="AZ9" s="107">
        <v>91.112206331045002</v>
      </c>
      <c r="BA9" s="108">
        <v>123.11769841269842</v>
      </c>
      <c r="BB9" s="108">
        <v>182.8948757763975</v>
      </c>
      <c r="BC9" s="110">
        <v>191.02654761904762</v>
      </c>
      <c r="BD9" s="107">
        <v>134.10812356979406</v>
      </c>
      <c r="BE9" s="108">
        <v>79.893628009417483</v>
      </c>
      <c r="BF9" s="108">
        <v>66.890579710144934</v>
      </c>
      <c r="BG9" s="109">
        <v>73.460652958152949</v>
      </c>
      <c r="BH9" s="107">
        <v>75.521626984126982</v>
      </c>
      <c r="BI9" s="108">
        <v>76.936084529505578</v>
      </c>
      <c r="BJ9" s="108">
        <v>75.281818181818181</v>
      </c>
      <c r="BK9" s="109"/>
      <c r="BL9" s="107"/>
      <c r="BM9" s="108"/>
      <c r="BN9" s="108"/>
      <c r="BO9" s="109"/>
      <c r="BP9" s="107"/>
      <c r="BQ9" s="108"/>
      <c r="BR9" s="108"/>
      <c r="BS9" s="109"/>
      <c r="BT9" s="107"/>
      <c r="BU9" s="111"/>
      <c r="BV9" s="111"/>
      <c r="BW9" s="26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</row>
    <row r="10" spans="1:90" x14ac:dyDescent="0.25">
      <c r="A10" s="9"/>
      <c r="B10" s="9"/>
      <c r="C10" s="3" t="s">
        <v>3</v>
      </c>
      <c r="D10" s="3" t="s">
        <v>212</v>
      </c>
      <c r="E10" s="3"/>
      <c r="F10" s="20" t="s">
        <v>163</v>
      </c>
      <c r="G10" s="20" t="s">
        <v>219</v>
      </c>
      <c r="H10" s="107">
        <v>13.891242236024842</v>
      </c>
      <c r="I10" s="108">
        <v>12.697619047619048</v>
      </c>
      <c r="J10" s="108">
        <v>14.270746282702804</v>
      </c>
      <c r="K10" s="109">
        <v>13.634054834054835</v>
      </c>
      <c r="L10" s="108">
        <v>9.8515151515151516</v>
      </c>
      <c r="M10" s="108">
        <v>9.0608264320220844</v>
      </c>
      <c r="N10" s="108">
        <v>8.8556818181818198</v>
      </c>
      <c r="O10" s="108">
        <v>10.088478260869564</v>
      </c>
      <c r="P10" s="107">
        <v>10.223634336677815</v>
      </c>
      <c r="Q10" s="108">
        <v>10.510833333333334</v>
      </c>
      <c r="R10" s="108">
        <v>10.380303030303031</v>
      </c>
      <c r="S10" s="108">
        <v>10.975844155844158</v>
      </c>
      <c r="T10" s="107">
        <v>12.360192147034253</v>
      </c>
      <c r="U10" s="108">
        <v>12.972063492063493</v>
      </c>
      <c r="V10" s="108">
        <v>11.941702741702741</v>
      </c>
      <c r="W10" s="109">
        <v>11.536363636363637</v>
      </c>
      <c r="X10" s="107">
        <v>11.595833333333333</v>
      </c>
      <c r="Y10" s="108">
        <v>11.550000000000002</v>
      </c>
      <c r="Z10" s="108">
        <v>11.591666666666669</v>
      </c>
      <c r="AA10" s="109">
        <v>11.21733500417711</v>
      </c>
      <c r="AB10" s="107">
        <v>9.6898951925267713</v>
      </c>
      <c r="AC10" s="108">
        <v>9.1579365079365065</v>
      </c>
      <c r="AD10" s="108">
        <v>8.630238095238095</v>
      </c>
      <c r="AE10" s="109">
        <v>9.3319444444444439</v>
      </c>
      <c r="AF10" s="107">
        <v>11.491718154080855</v>
      </c>
      <c r="AG10" s="108">
        <v>11.601881977671454</v>
      </c>
      <c r="AH10" s="108">
        <v>11.516514492753624</v>
      </c>
      <c r="AI10" s="110">
        <v>11.923015873015872</v>
      </c>
      <c r="AJ10" s="107">
        <v>12.298803827751195</v>
      </c>
      <c r="AK10" s="108">
        <v>12.407349896480332</v>
      </c>
      <c r="AL10" s="108">
        <v>12.531407322654461</v>
      </c>
      <c r="AM10" s="110">
        <v>12.012500000000001</v>
      </c>
      <c r="AN10" s="107">
        <v>12.349832915622388</v>
      </c>
      <c r="AO10" s="108">
        <v>12.498205659075225</v>
      </c>
      <c r="AP10" s="108">
        <v>12.137727272727274</v>
      </c>
      <c r="AQ10" s="110">
        <v>12.001015797068428</v>
      </c>
      <c r="AR10" s="107">
        <v>11.676953748006378</v>
      </c>
      <c r="AS10" s="108">
        <v>11.563820346320346</v>
      </c>
      <c r="AT10" s="108">
        <v>11.78676046176046</v>
      </c>
      <c r="AU10" s="110">
        <v>11.643109668109668</v>
      </c>
      <c r="AV10" s="107">
        <v>11.621510297482837</v>
      </c>
      <c r="AW10" s="108">
        <v>12.031854256854258</v>
      </c>
      <c r="AX10" s="108">
        <v>12.326443001443002</v>
      </c>
      <c r="AY10" s="110">
        <v>22.175108225108222</v>
      </c>
      <c r="AZ10" s="107">
        <v>23.171689549961865</v>
      </c>
      <c r="BA10" s="108">
        <v>15.889920634920635</v>
      </c>
      <c r="BB10" s="108">
        <v>16.339302967563835</v>
      </c>
      <c r="BC10" s="110">
        <v>16.587063492063493</v>
      </c>
      <c r="BD10" s="107">
        <v>15.369541607642295</v>
      </c>
      <c r="BE10" s="108">
        <v>14.91266043897623</v>
      </c>
      <c r="BF10" s="108">
        <v>14.314166666666667</v>
      </c>
      <c r="BG10" s="109">
        <v>14.027665945165944</v>
      </c>
      <c r="BH10" s="107">
        <v>13.910039682539681</v>
      </c>
      <c r="BI10" s="108">
        <v>13.653708133971293</v>
      </c>
      <c r="BJ10" s="108">
        <v>13.92962962962963</v>
      </c>
      <c r="BK10" s="109">
        <v>14</v>
      </c>
      <c r="BL10" s="107">
        <v>16.3</v>
      </c>
      <c r="BM10" s="108"/>
      <c r="BN10" s="108"/>
      <c r="BO10" s="109"/>
      <c r="BP10" s="107"/>
      <c r="BQ10" s="108"/>
      <c r="BR10" s="108"/>
      <c r="BS10" s="109"/>
      <c r="BT10" s="107"/>
      <c r="BU10" s="111"/>
      <c r="BV10" s="111"/>
      <c r="BW10" s="26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</row>
    <row r="11" spans="1:90" x14ac:dyDescent="0.25">
      <c r="A11" s="9"/>
      <c r="B11" s="9"/>
      <c r="C11" s="3" t="s">
        <v>190</v>
      </c>
      <c r="D11" s="3" t="s">
        <v>212</v>
      </c>
      <c r="E11" s="3"/>
      <c r="F11" s="20" t="s">
        <v>164</v>
      </c>
      <c r="G11" s="20"/>
      <c r="H11" s="107">
        <v>73.256169772256726</v>
      </c>
      <c r="I11" s="108">
        <v>77.485714285714295</v>
      </c>
      <c r="J11" s="108">
        <v>77.186660079051379</v>
      </c>
      <c r="K11" s="109">
        <v>76.44967532467534</v>
      </c>
      <c r="L11" s="108">
        <v>70.222950089126556</v>
      </c>
      <c r="M11" s="108">
        <v>65.007142857142867</v>
      </c>
      <c r="N11" s="108">
        <v>64.983333333333334</v>
      </c>
      <c r="O11" s="108">
        <v>64.317520703933752</v>
      </c>
      <c r="P11" s="107">
        <v>62.22318840579711</v>
      </c>
      <c r="Q11" s="108">
        <v>65.00333333333333</v>
      </c>
      <c r="R11" s="108">
        <v>68.147727272727266</v>
      </c>
      <c r="S11" s="108">
        <v>68.561403508771932</v>
      </c>
      <c r="T11" s="107">
        <v>68.482414369256489</v>
      </c>
      <c r="U11" s="108">
        <v>67.247460317460323</v>
      </c>
      <c r="V11" s="108">
        <v>63.535714285714285</v>
      </c>
      <c r="W11" s="109">
        <v>64.892171717171706</v>
      </c>
      <c r="X11" s="107">
        <v>62.627061403508769</v>
      </c>
      <c r="Y11" s="108">
        <v>59.859828282828282</v>
      </c>
      <c r="Z11" s="108">
        <v>52.83614718614718</v>
      </c>
      <c r="AA11" s="109">
        <v>50.318086883876354</v>
      </c>
      <c r="AB11" s="107">
        <v>48.567786891471108</v>
      </c>
      <c r="AC11" s="108">
        <v>44.060317460317457</v>
      </c>
      <c r="AD11" s="108">
        <v>42.592106625258801</v>
      </c>
      <c r="AE11" s="109">
        <v>42.849444444444451</v>
      </c>
      <c r="AF11" s="107">
        <v>45.487953852021349</v>
      </c>
      <c r="AG11" s="108">
        <v>45.599641148325361</v>
      </c>
      <c r="AH11" s="108">
        <v>45.855797101449269</v>
      </c>
      <c r="AI11" s="110">
        <v>45.895238095238092</v>
      </c>
      <c r="AJ11" s="107">
        <v>45.828639781271363</v>
      </c>
      <c r="AK11" s="108">
        <v>45.606314699792961</v>
      </c>
      <c r="AL11" s="108">
        <v>54.810921572706469</v>
      </c>
      <c r="AM11" s="110">
        <v>61.427272727272729</v>
      </c>
      <c r="AN11" s="107">
        <v>67.979532163742689</v>
      </c>
      <c r="AO11" s="108">
        <v>61.583799171842657</v>
      </c>
      <c r="AP11" s="108">
        <v>50.614696969696972</v>
      </c>
      <c r="AQ11" s="110">
        <v>55.159814308498511</v>
      </c>
      <c r="AR11" s="107">
        <v>48.625558213716111</v>
      </c>
      <c r="AS11" s="108">
        <v>44.13075396825397</v>
      </c>
      <c r="AT11" s="108">
        <v>42.561363636363637</v>
      </c>
      <c r="AU11" s="110">
        <v>43.50151515151515</v>
      </c>
      <c r="AV11" s="107">
        <v>49.018039664378335</v>
      </c>
      <c r="AW11" s="108">
        <v>53.959812409812407</v>
      </c>
      <c r="AX11" s="108">
        <v>56.760461760461759</v>
      </c>
      <c r="AY11" s="110">
        <v>69.089682539682542</v>
      </c>
      <c r="AZ11" s="107">
        <v>75.039057971014486</v>
      </c>
      <c r="BA11" s="108">
        <v>99.1207142857143</v>
      </c>
      <c r="BB11" s="108">
        <v>152.8199982746722</v>
      </c>
      <c r="BC11" s="110">
        <v>191.31313492063495</v>
      </c>
      <c r="BD11" s="107">
        <v>110.28405252261088</v>
      </c>
      <c r="BE11" s="108">
        <v>71.085649730386578</v>
      </c>
      <c r="BF11" s="108">
        <v>53.614130434782616</v>
      </c>
      <c r="BG11" s="109">
        <v>52.005818903318904</v>
      </c>
      <c r="BH11" s="107">
        <v>49.963134920634921</v>
      </c>
      <c r="BI11" s="108">
        <v>53.30163476874003</v>
      </c>
      <c r="BJ11" s="108">
        <v>47.770202020202021</v>
      </c>
      <c r="BK11" s="109"/>
      <c r="BL11" s="107"/>
      <c r="BM11" s="108"/>
      <c r="BN11" s="108"/>
      <c r="BO11" s="109"/>
      <c r="BP11" s="107"/>
      <c r="BQ11" s="108"/>
      <c r="BR11" s="108"/>
      <c r="BS11" s="109"/>
      <c r="BT11" s="107"/>
      <c r="BU11" s="111"/>
      <c r="BV11" s="111"/>
      <c r="BW11" s="26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</row>
    <row r="12" spans="1:90" x14ac:dyDescent="0.25">
      <c r="A12" s="9"/>
      <c r="B12" s="9" t="s">
        <v>192</v>
      </c>
      <c r="C12" s="3" t="s">
        <v>191</v>
      </c>
      <c r="D12" s="3" t="s">
        <v>212</v>
      </c>
      <c r="E12" s="3"/>
      <c r="F12" s="20" t="s">
        <v>188</v>
      </c>
      <c r="G12" s="20"/>
      <c r="H12" s="107">
        <v>47.5</v>
      </c>
      <c r="I12" s="108">
        <v>47.7484126984127</v>
      </c>
      <c r="J12" s="108">
        <v>47.79999999999999</v>
      </c>
      <c r="K12" s="109">
        <v>48.315079365079363</v>
      </c>
      <c r="L12" s="108">
        <v>52.354437229437231</v>
      </c>
      <c r="M12" s="108">
        <v>48.653554175293301</v>
      </c>
      <c r="N12" s="108">
        <v>47.409090909090907</v>
      </c>
      <c r="O12" s="108">
        <v>47.884782608695652</v>
      </c>
      <c r="P12" s="107">
        <v>46.91282051282051</v>
      </c>
      <c r="Q12" s="108">
        <v>45.15</v>
      </c>
      <c r="R12" s="108">
        <v>45.540151515151514</v>
      </c>
      <c r="S12" s="108">
        <v>46.127272727272725</v>
      </c>
      <c r="T12" s="107">
        <v>46.564394319131168</v>
      </c>
      <c r="U12" s="108">
        <v>46.333809523809528</v>
      </c>
      <c r="V12" s="108">
        <v>44.175324675324674</v>
      </c>
      <c r="W12" s="109">
        <v>44.593434343434346</v>
      </c>
      <c r="X12" s="107">
        <v>43.128307017543854</v>
      </c>
      <c r="Y12" s="108">
        <v>40.512</v>
      </c>
      <c r="Z12" s="108">
        <v>35.027272727272731</v>
      </c>
      <c r="AA12" s="109">
        <v>32.724477861319968</v>
      </c>
      <c r="AB12" s="107">
        <v>32.235087719298249</v>
      </c>
      <c r="AC12" s="108">
        <v>31.7</v>
      </c>
      <c r="AD12" s="108">
        <v>31.995000000000001</v>
      </c>
      <c r="AE12" s="109">
        <v>33.44444444444445</v>
      </c>
      <c r="AF12" s="107">
        <v>32.984210526315785</v>
      </c>
      <c r="AG12" s="108">
        <v>31.011403508771931</v>
      </c>
      <c r="AH12" s="108">
        <v>30.741666666666664</v>
      </c>
      <c r="AI12" s="110">
        <v>32.461111111111116</v>
      </c>
      <c r="AJ12" s="107">
        <v>32.86532999164578</v>
      </c>
      <c r="AK12" s="108">
        <v>32.739682539682541</v>
      </c>
      <c r="AL12" s="108">
        <v>33.065881353581581</v>
      </c>
      <c r="AM12" s="110">
        <v>38.171590909090916</v>
      </c>
      <c r="AN12" s="107">
        <v>38.59473684210527</v>
      </c>
      <c r="AO12" s="108">
        <v>39.488492063492068</v>
      </c>
      <c r="AP12" s="108">
        <v>39.081666666666671</v>
      </c>
      <c r="AQ12" s="110">
        <v>37.721855775803142</v>
      </c>
      <c r="AR12" s="107">
        <v>33.840151515151518</v>
      </c>
      <c r="AS12" s="108">
        <v>33.137499999999996</v>
      </c>
      <c r="AT12" s="108">
        <v>34.044696969696965</v>
      </c>
      <c r="AU12" s="110">
        <v>34.083333333333336</v>
      </c>
      <c r="AV12" s="107">
        <v>34.302059496567502</v>
      </c>
      <c r="AW12" s="108">
        <v>34.5</v>
      </c>
      <c r="AX12" s="108">
        <v>35.334956709956707</v>
      </c>
      <c r="AY12" s="110">
        <v>40.752489177489174</v>
      </c>
      <c r="AZ12" s="107">
        <v>80.879782608695663</v>
      </c>
      <c r="BA12" s="108">
        <v>119.44198412698414</v>
      </c>
      <c r="BB12" s="108">
        <v>187.71969461697722</v>
      </c>
      <c r="BC12" s="110">
        <v>182.70436507936506</v>
      </c>
      <c r="BD12" s="107">
        <v>119.84266826486505</v>
      </c>
      <c r="BE12" s="108">
        <v>67.439473684210526</v>
      </c>
      <c r="BF12" s="108">
        <v>50.245833333333337</v>
      </c>
      <c r="BG12" s="109">
        <v>47.624585137085141</v>
      </c>
      <c r="BH12" s="107">
        <v>43.337301587301589</v>
      </c>
      <c r="BI12" s="108">
        <v>44.54545454545454</v>
      </c>
      <c r="BJ12" s="108">
        <v>42.900252525252526</v>
      </c>
      <c r="BK12" s="109"/>
      <c r="BL12" s="107"/>
      <c r="BM12" s="108"/>
      <c r="BN12" s="108"/>
      <c r="BO12" s="109"/>
      <c r="BP12" s="107"/>
      <c r="BQ12" s="108"/>
      <c r="BR12" s="108"/>
      <c r="BS12" s="109"/>
      <c r="BT12" s="107"/>
      <c r="BU12" s="111"/>
      <c r="BV12" s="111"/>
      <c r="BW12" s="26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</row>
    <row r="13" spans="1:90" x14ac:dyDescent="0.25">
      <c r="A13" s="9"/>
      <c r="B13" s="9"/>
      <c r="C13" s="3" t="s">
        <v>206</v>
      </c>
      <c r="D13" s="3" t="s">
        <v>211</v>
      </c>
      <c r="E13" s="3"/>
      <c r="F13" s="20" t="s">
        <v>200</v>
      </c>
      <c r="G13" s="20" t="s">
        <v>195</v>
      </c>
      <c r="H13" s="107">
        <v>7.0755827612509536</v>
      </c>
      <c r="I13" s="108">
        <v>4.7501327561327562</v>
      </c>
      <c r="J13" s="108">
        <v>4.7271138716356109</v>
      </c>
      <c r="K13" s="109">
        <v>3.821396825396826</v>
      </c>
      <c r="L13" s="108">
        <v>3.1548030303030306</v>
      </c>
      <c r="M13" s="108">
        <v>2.48934632034632</v>
      </c>
      <c r="N13" s="108">
        <v>3.0652359158766482</v>
      </c>
      <c r="O13" s="108">
        <v>4.1762272727272727</v>
      </c>
      <c r="P13" s="107">
        <v>7.6746324143692561</v>
      </c>
      <c r="Q13" s="108">
        <v>4.2984696969696969</v>
      </c>
      <c r="R13" s="108">
        <v>3.7743333333333329</v>
      </c>
      <c r="S13" s="108">
        <v>4.4507471577494462</v>
      </c>
      <c r="T13" s="107">
        <v>16.38340476190476</v>
      </c>
      <c r="U13" s="108">
        <v>3.73510582010582</v>
      </c>
      <c r="V13" s="108">
        <v>2.5674603174603172</v>
      </c>
      <c r="W13" s="109">
        <v>3.3531481481481484</v>
      </c>
      <c r="X13" s="107">
        <v>9.2959398148148136</v>
      </c>
      <c r="Y13" s="108">
        <v>2.5310238095238091</v>
      </c>
      <c r="Z13" s="108">
        <v>2.2908400673400675</v>
      </c>
      <c r="AA13" s="109">
        <v>1.8920833333333331</v>
      </c>
      <c r="AB13" s="107">
        <v>2.3548696401637579</v>
      </c>
      <c r="AC13" s="108">
        <v>1.7357296181630548</v>
      </c>
      <c r="AD13" s="108">
        <v>1.9157013574660635</v>
      </c>
      <c r="AE13" s="109">
        <v>2.8832380952380952</v>
      </c>
      <c r="AF13" s="107">
        <v>3.4834509803921567</v>
      </c>
      <c r="AG13" s="108">
        <v>2.7516361416361419</v>
      </c>
      <c r="AH13" s="108">
        <v>2.5445726495726499</v>
      </c>
      <c r="AI13" s="110">
        <v>3.8021709401709405</v>
      </c>
      <c r="AJ13" s="107">
        <v>6.9967927170868345</v>
      </c>
      <c r="AK13" s="108">
        <v>2.7392719298245614</v>
      </c>
      <c r="AL13" s="108">
        <v>2.9305386655043404</v>
      </c>
      <c r="AM13" s="110">
        <v>3.8108888888888885</v>
      </c>
      <c r="AN13" s="107">
        <v>3.6837723475355055</v>
      </c>
      <c r="AO13" s="108">
        <v>2.2789999999999999</v>
      </c>
      <c r="AP13" s="108">
        <v>1.9821421356421356</v>
      </c>
      <c r="AQ13" s="110">
        <v>2.4285869565217393</v>
      </c>
      <c r="AR13" s="107">
        <v>1.8275952380952381</v>
      </c>
      <c r="AS13" s="108">
        <v>1.4626538461538461</v>
      </c>
      <c r="AT13" s="108">
        <v>1.5115747255840137</v>
      </c>
      <c r="AU13" s="110">
        <v>1.9565904139433552</v>
      </c>
      <c r="AV13" s="107">
        <v>3.5555929038281984</v>
      </c>
      <c r="AW13" s="108">
        <v>2.4023632610939112</v>
      </c>
      <c r="AX13" s="108">
        <v>3.7843899782135075</v>
      </c>
      <c r="AY13" s="110">
        <v>4.4015098039215692</v>
      </c>
      <c r="AZ13" s="107">
        <v>7.0282638888888895</v>
      </c>
      <c r="BA13" s="108">
        <v>6.7390709617180207</v>
      </c>
      <c r="BB13" s="108">
        <v>7.3588967036089796</v>
      </c>
      <c r="BC13" s="110">
        <v>6.5581947496947492</v>
      </c>
      <c r="BD13" s="107">
        <v>3.0667102396514161</v>
      </c>
      <c r="BE13" s="108">
        <v>1.5417025518341305</v>
      </c>
      <c r="BF13" s="108">
        <v>1.5207266050232802</v>
      </c>
      <c r="BG13" s="109">
        <v>1.9699548708372239</v>
      </c>
      <c r="BH13" s="107">
        <v>2.5682352941176472</v>
      </c>
      <c r="BI13" s="108">
        <v>1.6238655462184874</v>
      </c>
      <c r="BJ13" s="108">
        <v>1.5268148148148146</v>
      </c>
      <c r="BK13" s="109">
        <v>2.444</v>
      </c>
      <c r="BL13" s="107">
        <v>5.0706666666666669</v>
      </c>
      <c r="BM13" s="108">
        <v>2.2749999999999999</v>
      </c>
      <c r="BN13" s="108">
        <v>2.3896666666666668</v>
      </c>
      <c r="BO13" s="109">
        <v>3.204333333333333</v>
      </c>
      <c r="BP13" s="107">
        <v>5.9959999999999996</v>
      </c>
      <c r="BQ13" s="108">
        <v>2.4246666666666665</v>
      </c>
      <c r="BR13" s="108">
        <v>2.545666666666667</v>
      </c>
      <c r="BS13" s="109">
        <v>3.5703333333333336</v>
      </c>
      <c r="BT13" s="107">
        <v>7.5470000000000006</v>
      </c>
      <c r="BU13" s="111"/>
      <c r="BV13" s="111"/>
      <c r="BW13" s="26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</row>
    <row r="14" spans="1:90" x14ac:dyDescent="0.25">
      <c r="A14" s="9"/>
      <c r="B14" s="9"/>
      <c r="C14" s="3" t="s">
        <v>207</v>
      </c>
      <c r="D14" s="3" t="s">
        <v>211</v>
      </c>
      <c r="E14" s="3"/>
      <c r="F14" s="20" t="s">
        <v>193</v>
      </c>
      <c r="G14" s="20" t="s">
        <v>201</v>
      </c>
      <c r="H14" s="107">
        <v>5.9348562166285275</v>
      </c>
      <c r="I14" s="108">
        <v>4.6508217893217898</v>
      </c>
      <c r="J14" s="108">
        <v>4.3783461007591447</v>
      </c>
      <c r="K14" s="109">
        <v>3.6041666666666665</v>
      </c>
      <c r="L14" s="108">
        <v>2.7410303030303034</v>
      </c>
      <c r="M14" s="108">
        <v>2.4442554112554116</v>
      </c>
      <c r="N14" s="108">
        <v>3.0504936253677672</v>
      </c>
      <c r="O14" s="108">
        <v>3.6795507246376808</v>
      </c>
      <c r="P14" s="107">
        <v>4.20609440267335</v>
      </c>
      <c r="Q14" s="108">
        <v>4.1166212121212125</v>
      </c>
      <c r="R14" s="108">
        <v>3.5571969696969696</v>
      </c>
      <c r="S14" s="108">
        <v>3.984519632414369</v>
      </c>
      <c r="T14" s="107">
        <v>13.01753550543024</v>
      </c>
      <c r="U14" s="108">
        <v>3.7079365079365076</v>
      </c>
      <c r="V14" s="108">
        <v>2.4956277056277059</v>
      </c>
      <c r="W14" s="109">
        <v>2.8358465608465608</v>
      </c>
      <c r="X14" s="107">
        <v>6.0171331738436997</v>
      </c>
      <c r="Y14" s="108">
        <v>1.6061428571428571</v>
      </c>
      <c r="Z14" s="108">
        <v>1.3712525252525254</v>
      </c>
      <c r="AA14" s="109">
        <v>1.2871212121212121</v>
      </c>
      <c r="AB14" s="107">
        <v>1.7725518518518519</v>
      </c>
      <c r="AC14" s="108">
        <v>1.5811507936507938</v>
      </c>
      <c r="AD14" s="108">
        <v>1.3120044858523119</v>
      </c>
      <c r="AE14" s="109">
        <v>2.2861507936507937</v>
      </c>
      <c r="AF14" s="107">
        <v>2.9738901601830663</v>
      </c>
      <c r="AG14" s="108">
        <v>2.5220551378446117</v>
      </c>
      <c r="AH14" s="108">
        <v>1.7192185354691076</v>
      </c>
      <c r="AI14" s="110">
        <v>3.1926212121212121</v>
      </c>
      <c r="AJ14" s="107">
        <v>6.0156641604010019</v>
      </c>
      <c r="AK14" s="108">
        <v>2.4090259740259738</v>
      </c>
      <c r="AL14" s="108">
        <v>2.5000937125422253</v>
      </c>
      <c r="AM14" s="110">
        <v>3.6425639730639734</v>
      </c>
      <c r="AN14" s="107">
        <v>3.25344193817878</v>
      </c>
      <c r="AO14" s="108">
        <v>2.2251832611832612</v>
      </c>
      <c r="AP14" s="108">
        <v>1.9095476190476193</v>
      </c>
      <c r="AQ14" s="110">
        <v>2.2938083735909824</v>
      </c>
      <c r="AR14" s="107">
        <v>1.7428317004632794</v>
      </c>
      <c r="AS14" s="108">
        <v>1.4600974025974025</v>
      </c>
      <c r="AT14" s="108">
        <v>1.5030075187969925</v>
      </c>
      <c r="AU14" s="110">
        <v>1.7675609478241057</v>
      </c>
      <c r="AV14" s="107">
        <v>3.2400703109526638</v>
      </c>
      <c r="AW14" s="108">
        <v>2.3486772486772485</v>
      </c>
      <c r="AX14" s="108">
        <v>3.8477224880382774</v>
      </c>
      <c r="AY14" s="110">
        <v>4.3041428571428577</v>
      </c>
      <c r="AZ14" s="107">
        <v>6.4400699062233597</v>
      </c>
      <c r="BA14" s="108">
        <v>6.8098333333333336</v>
      </c>
      <c r="BB14" s="108">
        <v>7.1177207792207797</v>
      </c>
      <c r="BC14" s="110">
        <v>6.0318128654970762</v>
      </c>
      <c r="BD14" s="107">
        <v>3.0377574370709381</v>
      </c>
      <c r="BE14" s="108">
        <v>1.5235207336523127</v>
      </c>
      <c r="BF14" s="108">
        <v>1.4427777777777777</v>
      </c>
      <c r="BG14" s="109">
        <v>1.8748173843700158</v>
      </c>
      <c r="BH14" s="107">
        <v>2.5875494291283765</v>
      </c>
      <c r="BI14" s="108">
        <v>1.5653968253968253</v>
      </c>
      <c r="BJ14" s="108">
        <v>1.4819735449735452</v>
      </c>
      <c r="BK14" s="109">
        <v>2.3186666666666667</v>
      </c>
      <c r="BL14" s="107">
        <v>4.3253333333333339</v>
      </c>
      <c r="BM14" s="108">
        <v>2.3566666666666669</v>
      </c>
      <c r="BN14" s="108">
        <v>2.3546666666666667</v>
      </c>
      <c r="BO14" s="109">
        <v>3.1023333333333327</v>
      </c>
      <c r="BP14" s="107">
        <v>5.1436666666666673</v>
      </c>
      <c r="BQ14" s="108">
        <v>2.4103333333333334</v>
      </c>
      <c r="BR14" s="108">
        <v>2.4773333333333336</v>
      </c>
      <c r="BS14" s="109">
        <v>3.2503333333333333</v>
      </c>
      <c r="BT14" s="107">
        <v>6.4245000000000001</v>
      </c>
      <c r="BU14" s="111"/>
      <c r="BV14" s="111"/>
      <c r="BW14" s="26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</row>
    <row r="15" spans="1:90" x14ac:dyDescent="0.25">
      <c r="A15" s="9"/>
      <c r="B15" s="9" t="s">
        <v>189</v>
      </c>
      <c r="C15" s="3" t="s">
        <v>209</v>
      </c>
      <c r="D15" s="3" t="s">
        <v>211</v>
      </c>
      <c r="E15" s="3"/>
      <c r="F15" s="20" t="s">
        <v>194</v>
      </c>
      <c r="G15" s="20" t="s">
        <v>202</v>
      </c>
      <c r="H15" s="107">
        <v>4.1510964912280697</v>
      </c>
      <c r="I15" s="108">
        <v>4.3884166666666671</v>
      </c>
      <c r="J15" s="108">
        <v>4.2699339774557172</v>
      </c>
      <c r="K15" s="109">
        <v>3.6468502137697185</v>
      </c>
      <c r="L15" s="108">
        <v>2.7653450292397661</v>
      </c>
      <c r="M15" s="108">
        <v>2.5541990597408555</v>
      </c>
      <c r="N15" s="108">
        <v>3.103340961098398</v>
      </c>
      <c r="O15" s="108">
        <v>3.7265631808278865</v>
      </c>
      <c r="P15" s="107">
        <v>3.7505128205128204</v>
      </c>
      <c r="Q15" s="108">
        <v>4.1640333740333739</v>
      </c>
      <c r="R15" s="108">
        <v>3.7889754689754689</v>
      </c>
      <c r="S15" s="108">
        <v>4.0985375816993468</v>
      </c>
      <c r="T15" s="107">
        <v>5.6942765567765568</v>
      </c>
      <c r="U15" s="108">
        <v>4.921271069831441</v>
      </c>
      <c r="V15" s="108">
        <v>4.4586801972250889</v>
      </c>
      <c r="W15" s="109">
        <v>4.0533333333333337</v>
      </c>
      <c r="X15" s="107">
        <v>2.8797916666666663</v>
      </c>
      <c r="Y15" s="108">
        <v>2.8274771241830066</v>
      </c>
      <c r="Z15" s="108">
        <v>3.0173606237816766</v>
      </c>
      <c r="AA15" s="109">
        <v>2.5278095238095237</v>
      </c>
      <c r="AB15" s="107">
        <v>2.1004107142857142</v>
      </c>
      <c r="AC15" s="108">
        <v>2.2015294117647062</v>
      </c>
      <c r="AD15" s="108">
        <v>2.9070022883295192</v>
      </c>
      <c r="AE15" s="109">
        <v>3.0905012531328317</v>
      </c>
      <c r="AF15" s="107">
        <v>3.1735078347578352</v>
      </c>
      <c r="AG15" s="108">
        <v>3.1961571598336302</v>
      </c>
      <c r="AH15" s="108">
        <v>3.2436414754835812</v>
      </c>
      <c r="AI15" s="110">
        <v>4.3624074074074075</v>
      </c>
      <c r="AJ15" s="107">
        <v>3.9392592592592592</v>
      </c>
      <c r="AK15" s="108">
        <v>3.0485558667911605</v>
      </c>
      <c r="AL15" s="108">
        <v>7.8100080515297892</v>
      </c>
      <c r="AM15" s="110">
        <v>6.4929349517584809</v>
      </c>
      <c r="AN15" s="107">
        <v>6.6149945697577275</v>
      </c>
      <c r="AO15" s="108">
        <v>2.6250476190476193</v>
      </c>
      <c r="AP15" s="108">
        <v>3.0233868003341686</v>
      </c>
      <c r="AQ15" s="110">
        <v>4.5981512605042019</v>
      </c>
      <c r="AR15" s="107">
        <v>2.8729365079365081</v>
      </c>
      <c r="AS15" s="108">
        <v>1.8606914344685244</v>
      </c>
      <c r="AT15" s="108">
        <v>3.2028752436647174</v>
      </c>
      <c r="AU15" s="110">
        <v>4.2447896825396825</v>
      </c>
      <c r="AV15" s="107">
        <v>8.3806084656084661</v>
      </c>
      <c r="AW15" s="108">
        <v>3.9471262626262624</v>
      </c>
      <c r="AX15" s="108">
        <v>6.9617460317460313</v>
      </c>
      <c r="AY15" s="110">
        <v>6.4551851851851856</v>
      </c>
      <c r="AZ15" s="107">
        <v>4.9422620137299775</v>
      </c>
      <c r="BA15" s="108">
        <v>7.7492857142857146</v>
      </c>
      <c r="BB15" s="108">
        <v>9.2536304347826093</v>
      </c>
      <c r="BC15" s="110">
        <v>15.486666666666666</v>
      </c>
      <c r="BD15" s="107">
        <v>11.231701754385965</v>
      </c>
      <c r="BE15" s="108">
        <v>4.3497009569377996</v>
      </c>
      <c r="BF15" s="108">
        <v>5.3316552250190696</v>
      </c>
      <c r="BG15" s="109">
        <v>5.8567017543859654</v>
      </c>
      <c r="BH15" s="107">
        <v>3.0664444444444441</v>
      </c>
      <c r="BI15" s="108">
        <v>1.7682486772486774</v>
      </c>
      <c r="BJ15" s="108">
        <v>2.4343879142300193</v>
      </c>
      <c r="BK15" s="109">
        <v>4.158666666666667</v>
      </c>
      <c r="BL15" s="107">
        <v>5.6759999999999993</v>
      </c>
      <c r="BM15" s="108">
        <v>3.3683333333333336</v>
      </c>
      <c r="BN15" s="108">
        <v>5.1696666666666671</v>
      </c>
      <c r="BO15" s="109">
        <v>5.7593333333333332</v>
      </c>
      <c r="BP15" s="107">
        <v>6.2549999999999999</v>
      </c>
      <c r="BQ15" s="108">
        <v>3.65</v>
      </c>
      <c r="BR15" s="108">
        <v>5.6203333333333338</v>
      </c>
      <c r="BS15" s="109">
        <v>6.024</v>
      </c>
      <c r="BT15" s="107">
        <v>7.6514999999999995</v>
      </c>
      <c r="BU15" s="111"/>
      <c r="BV15" s="111"/>
      <c r="BW15" s="26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</row>
    <row r="16" spans="1:90" x14ac:dyDescent="0.25">
      <c r="B16" s="9" t="s">
        <v>23</v>
      </c>
      <c r="C16" s="3" t="s">
        <v>214</v>
      </c>
      <c r="D16" s="3" t="s">
        <v>211</v>
      </c>
      <c r="E16" s="3"/>
      <c r="F16" s="20" t="s">
        <v>196</v>
      </c>
      <c r="G16" s="20" t="s">
        <v>203</v>
      </c>
      <c r="H16" s="107">
        <v>4.1768115942028983</v>
      </c>
      <c r="I16" s="108">
        <v>4.2621306042884983</v>
      </c>
      <c r="J16" s="108">
        <v>4.0428080808080811</v>
      </c>
      <c r="K16" s="109">
        <v>3.2456559454191036</v>
      </c>
      <c r="L16" s="108">
        <v>2.3815574162679427</v>
      </c>
      <c r="M16" s="108">
        <v>2.2313327436237653</v>
      </c>
      <c r="N16" s="108">
        <v>2.803344593367477</v>
      </c>
      <c r="O16" s="108">
        <v>3.3210711500974655</v>
      </c>
      <c r="P16" s="107">
        <v>3.4075355054302428</v>
      </c>
      <c r="Q16" s="108">
        <v>3.9040989729225024</v>
      </c>
      <c r="R16" s="108">
        <v>3.5003106060606064</v>
      </c>
      <c r="S16" s="108">
        <v>3.8005257936507935</v>
      </c>
      <c r="T16" s="107">
        <v>5.6127350427350429</v>
      </c>
      <c r="U16" s="108">
        <v>4.4357560568086889</v>
      </c>
      <c r="V16" s="108">
        <v>3.8639899749373434</v>
      </c>
      <c r="W16" s="109">
        <v>3.6751267482517487</v>
      </c>
      <c r="X16" s="107">
        <v>2.6060805860805858</v>
      </c>
      <c r="Y16" s="108">
        <v>2.5685552115583077</v>
      </c>
      <c r="Z16" s="108">
        <v>2.5668482905982906</v>
      </c>
      <c r="AA16" s="109">
        <v>2.0339999999999998</v>
      </c>
      <c r="AB16" s="107">
        <v>1.8642658797298184</v>
      </c>
      <c r="AC16" s="108">
        <v>1.9726719298245614</v>
      </c>
      <c r="AD16" s="108">
        <v>2.6943817878028402</v>
      </c>
      <c r="AE16" s="109">
        <v>2.8357670217209687</v>
      </c>
      <c r="AF16" s="107">
        <v>2.7629894179894179</v>
      </c>
      <c r="AG16" s="108">
        <v>2.7320202020202018</v>
      </c>
      <c r="AH16" s="108">
        <v>2.6726201372997713</v>
      </c>
      <c r="AI16" s="110">
        <v>2.592789432789433</v>
      </c>
      <c r="AJ16" s="107">
        <v>2.4329991645781117</v>
      </c>
      <c r="AK16" s="108">
        <v>1.9797113997113993</v>
      </c>
      <c r="AL16" s="108">
        <v>1.8668148632450692</v>
      </c>
      <c r="AM16" s="110">
        <v>1.8063550724637683</v>
      </c>
      <c r="AN16" s="107">
        <v>1.407593984962406</v>
      </c>
      <c r="AO16" s="108">
        <v>1.5552207792207784E-2</v>
      </c>
      <c r="AP16" s="108">
        <v>0.9637525252525253</v>
      </c>
      <c r="AQ16" s="110">
        <v>1.2068006973956631</v>
      </c>
      <c r="AR16" s="107">
        <v>0.50464684438368657</v>
      </c>
      <c r="AS16" s="108">
        <v>1.0826296802612592</v>
      </c>
      <c r="AT16" s="108">
        <v>1.2867171717171717</v>
      </c>
      <c r="AU16" s="110">
        <v>1.7541068580542263</v>
      </c>
      <c r="AV16" s="107">
        <v>10.62048817696415</v>
      </c>
      <c r="AW16" s="108">
        <v>2.6656587301587304</v>
      </c>
      <c r="AX16" s="108">
        <v>4.0349299719887952</v>
      </c>
      <c r="AY16" s="110">
        <v>4.2560097465886937</v>
      </c>
      <c r="AZ16" s="107">
        <v>4.1178373205741616</v>
      </c>
      <c r="BA16" s="108">
        <v>6.8159490740740738</v>
      </c>
      <c r="BB16" s="108">
        <v>6.650478642257819</v>
      </c>
      <c r="BC16" s="110">
        <v>3.157833333333333</v>
      </c>
      <c r="BD16" s="107">
        <v>1.6302793880837358</v>
      </c>
      <c r="BE16" s="108">
        <v>1.5245234297865877</v>
      </c>
      <c r="BF16" s="108">
        <v>2.0344412662090008</v>
      </c>
      <c r="BG16" s="109">
        <v>1.515091706539075</v>
      </c>
      <c r="BH16" s="107">
        <v>1.0199523809523809</v>
      </c>
      <c r="BI16" s="108">
        <v>-0.55773208273208275</v>
      </c>
      <c r="BJ16" s="108">
        <v>-0.46223586744639372</v>
      </c>
      <c r="BK16" s="109">
        <v>1.671</v>
      </c>
      <c r="BL16" s="107">
        <v>2.6836666666666669</v>
      </c>
      <c r="BM16" s="108">
        <v>1.4753333333333334</v>
      </c>
      <c r="BN16" s="108">
        <v>2.3643333333333332</v>
      </c>
      <c r="BO16" s="109">
        <v>2.3456666666666663</v>
      </c>
      <c r="BP16" s="107">
        <v>3.2349999999999999</v>
      </c>
      <c r="BQ16" s="108">
        <v>1.2426666666666666</v>
      </c>
      <c r="BR16" s="108">
        <v>2.3703333333333334</v>
      </c>
      <c r="BS16" s="109">
        <v>2.9563333333333333</v>
      </c>
      <c r="BT16" s="107">
        <v>4.1565000000000003</v>
      </c>
      <c r="BU16" s="111"/>
      <c r="BV16" s="111"/>
      <c r="BW16" s="26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</row>
    <row r="17" spans="1:90" x14ac:dyDescent="0.25">
      <c r="A17" s="9"/>
      <c r="B17" s="9"/>
      <c r="C17" s="3"/>
      <c r="D17" s="3"/>
      <c r="E17" s="3"/>
      <c r="F17" s="20"/>
      <c r="G17" s="20"/>
      <c r="H17" s="114"/>
      <c r="I17" s="93"/>
      <c r="J17" s="93"/>
      <c r="K17" s="94"/>
      <c r="L17" s="114"/>
      <c r="M17" s="93"/>
      <c r="N17" s="93"/>
      <c r="O17" s="115"/>
      <c r="P17" s="116"/>
      <c r="Q17" s="115"/>
      <c r="R17" s="115"/>
      <c r="S17" s="117"/>
      <c r="T17" s="115"/>
      <c r="U17" s="115"/>
      <c r="V17" s="115"/>
      <c r="W17" s="117"/>
      <c r="X17" s="115"/>
      <c r="Y17" s="118"/>
      <c r="Z17" s="118"/>
      <c r="AA17" s="119"/>
      <c r="AB17" s="115"/>
      <c r="AC17" s="118"/>
      <c r="AD17" s="118"/>
      <c r="AE17" s="119"/>
      <c r="AF17" s="115"/>
      <c r="AG17" s="118"/>
      <c r="AH17" s="118"/>
      <c r="AI17" s="120"/>
      <c r="AJ17" s="115"/>
      <c r="AK17" s="118"/>
      <c r="AL17" s="118"/>
      <c r="AM17" s="120"/>
      <c r="AN17" s="115"/>
      <c r="AO17" s="118"/>
      <c r="AP17" s="118"/>
      <c r="AQ17" s="120"/>
      <c r="AR17" s="118"/>
      <c r="AS17" s="118"/>
      <c r="AT17" s="118"/>
      <c r="AU17" s="120"/>
      <c r="AV17" s="118"/>
      <c r="AW17" s="118"/>
      <c r="AX17" s="118"/>
      <c r="AY17" s="119"/>
      <c r="AZ17" s="118"/>
      <c r="BA17" s="118"/>
      <c r="BB17" s="118"/>
      <c r="BC17" s="119"/>
      <c r="BD17" s="121"/>
      <c r="BE17" s="121"/>
      <c r="BF17" s="121"/>
      <c r="BG17" s="122"/>
      <c r="BH17" s="118"/>
      <c r="BI17" s="118"/>
      <c r="BJ17" s="118"/>
      <c r="BK17" s="119"/>
      <c r="BL17" s="118"/>
      <c r="BM17" s="118"/>
      <c r="BN17" s="118"/>
      <c r="BO17" s="119"/>
      <c r="BP17" s="118"/>
      <c r="BQ17" s="118"/>
      <c r="BR17" s="118"/>
      <c r="BS17" s="36"/>
      <c r="BT17" s="118"/>
      <c r="BU17" s="118"/>
      <c r="BV17" s="118"/>
      <c r="BW17" s="36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</row>
    <row r="18" spans="1:90" x14ac:dyDescent="0.25">
      <c r="A18" s="9"/>
      <c r="B18" s="9"/>
      <c r="C18" s="1" t="s">
        <v>6</v>
      </c>
      <c r="D18" s="41"/>
      <c r="E18" s="41"/>
      <c r="F18" s="78"/>
      <c r="G18" s="78"/>
      <c r="H18" s="107"/>
      <c r="I18" s="108"/>
      <c r="J18" s="108"/>
      <c r="K18" s="109"/>
      <c r="L18" s="107"/>
      <c r="M18" s="108"/>
      <c r="N18" s="108"/>
      <c r="O18" s="111"/>
      <c r="P18" s="113"/>
      <c r="Q18" s="111"/>
      <c r="R18" s="111"/>
      <c r="S18" s="112"/>
      <c r="T18" s="108"/>
      <c r="U18" s="111"/>
      <c r="V18" s="111"/>
      <c r="W18" s="112"/>
      <c r="X18" s="108"/>
      <c r="Y18" s="111"/>
      <c r="Z18" s="111"/>
      <c r="AA18" s="112"/>
      <c r="AB18" s="108"/>
      <c r="AC18" s="111"/>
      <c r="AD18" s="111"/>
      <c r="AE18" s="112"/>
      <c r="AF18" s="108"/>
      <c r="AG18" s="111"/>
      <c r="AH18" s="111"/>
      <c r="AI18" s="110"/>
      <c r="AJ18" s="108"/>
      <c r="AK18" s="111"/>
      <c r="AL18" s="111"/>
      <c r="AM18" s="110"/>
      <c r="AN18" s="108"/>
      <c r="AO18" s="111"/>
      <c r="AP18" s="111"/>
      <c r="AQ18" s="110"/>
      <c r="AR18" s="111"/>
      <c r="AS18" s="111"/>
      <c r="AT18" s="111"/>
      <c r="AU18" s="110"/>
      <c r="AV18" s="111"/>
      <c r="AW18" s="111"/>
      <c r="AX18" s="111"/>
      <c r="AY18" s="112"/>
      <c r="AZ18" s="111"/>
      <c r="BA18" s="111"/>
      <c r="BB18" s="111"/>
      <c r="BC18" s="112"/>
      <c r="BD18" s="108"/>
      <c r="BE18" s="108"/>
      <c r="BF18" s="108"/>
      <c r="BG18" s="109"/>
      <c r="BH18" s="111"/>
      <c r="BI18" s="111"/>
      <c r="BJ18" s="111"/>
      <c r="BK18" s="112"/>
      <c r="BL18" s="111"/>
      <c r="BM18" s="111"/>
      <c r="BN18" s="111"/>
      <c r="BO18" s="112"/>
      <c r="BP18" s="111"/>
      <c r="BQ18" s="111"/>
      <c r="BR18" s="111"/>
      <c r="BS18" s="26"/>
      <c r="BT18" s="111"/>
      <c r="BU18" s="111"/>
      <c r="BV18" s="111"/>
      <c r="BW18" s="26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</row>
    <row r="19" spans="1:90" x14ac:dyDescent="0.25">
      <c r="A19" s="9"/>
      <c r="B19" s="9"/>
      <c r="C19" s="3" t="s">
        <v>7</v>
      </c>
      <c r="D19" s="3"/>
      <c r="E19" s="43"/>
      <c r="F19" s="20" t="s">
        <v>154</v>
      </c>
      <c r="G19" s="20" t="s">
        <v>204</v>
      </c>
      <c r="H19" s="107">
        <v>64.261814699792964</v>
      </c>
      <c r="I19" s="108">
        <v>48.451399711399709</v>
      </c>
      <c r="J19" s="108">
        <v>55.682447204968945</v>
      </c>
      <c r="K19" s="109">
        <v>41.802698412698412</v>
      </c>
      <c r="L19" s="108">
        <v>33.436450216450218</v>
      </c>
      <c r="M19" s="108">
        <v>34.683167388167391</v>
      </c>
      <c r="N19" s="108">
        <v>45.859403218190401</v>
      </c>
      <c r="O19" s="108">
        <v>51.190541062801934</v>
      </c>
      <c r="P19" s="107">
        <v>90.262124098124104</v>
      </c>
      <c r="Q19" s="108">
        <v>45.042560606060611</v>
      </c>
      <c r="R19" s="108">
        <v>53.595606060606059</v>
      </c>
      <c r="S19" s="108">
        <v>68.111500345065565</v>
      </c>
      <c r="T19" s="107">
        <v>167.26323448773448</v>
      </c>
      <c r="U19" s="108">
        <v>44.322907647907648</v>
      </c>
      <c r="V19" s="108">
        <v>41.34440836940837</v>
      </c>
      <c r="W19" s="109">
        <v>48.108688024408849</v>
      </c>
      <c r="X19" s="107">
        <v>88.852404761904765</v>
      </c>
      <c r="Y19" s="108">
        <v>28.405696969696965</v>
      </c>
      <c r="Z19" s="108">
        <v>42.609185645272596</v>
      </c>
      <c r="AA19" s="109">
        <v>33.076696969696968</v>
      </c>
      <c r="AB19" s="107">
        <v>30.818684265010351</v>
      </c>
      <c r="AC19" s="108">
        <v>28.310930735930736</v>
      </c>
      <c r="AD19" s="108">
        <v>42.546305037957211</v>
      </c>
      <c r="AE19" s="109">
        <v>38.683650793650791</v>
      </c>
      <c r="AF19" s="107">
        <v>33.988750988142293</v>
      </c>
      <c r="AG19" s="108">
        <v>33.052062582345194</v>
      </c>
      <c r="AH19" s="108">
        <v>31.319427191166323</v>
      </c>
      <c r="AI19" s="110">
        <v>53.59228715728716</v>
      </c>
      <c r="AJ19" s="107">
        <v>62.105878787878787</v>
      </c>
      <c r="AK19" s="108">
        <v>35.200129870129871</v>
      </c>
      <c r="AL19" s="108">
        <v>42.777876212269803</v>
      </c>
      <c r="AM19" s="110">
        <v>50.515543478260874</v>
      </c>
      <c r="AN19" s="107">
        <v>45.139128427128433</v>
      </c>
      <c r="AO19" s="108">
        <v>26.265075757575758</v>
      </c>
      <c r="AP19" s="108">
        <v>26.538530303030303</v>
      </c>
      <c r="AQ19" s="110">
        <v>37.906817115251897</v>
      </c>
      <c r="AR19" s="107">
        <v>22.767363636363637</v>
      </c>
      <c r="AS19" s="108">
        <v>20.5855</v>
      </c>
      <c r="AT19" s="108">
        <v>26.245106970324361</v>
      </c>
      <c r="AU19" s="110">
        <v>35.536651515151512</v>
      </c>
      <c r="AV19" s="107">
        <v>54.786072463768114</v>
      </c>
      <c r="AW19" s="108">
        <v>32.200803030303028</v>
      </c>
      <c r="AX19" s="108">
        <v>51.16104617604617</v>
      </c>
      <c r="AY19" s="110">
        <v>63.215341614906833</v>
      </c>
      <c r="AZ19" s="107">
        <v>113.85523498964803</v>
      </c>
      <c r="BA19" s="108">
        <v>72.479617604617602</v>
      </c>
      <c r="BB19" s="108">
        <v>92.74165010351966</v>
      </c>
      <c r="BC19" s="110">
        <v>83.254920634920637</v>
      </c>
      <c r="BD19" s="107">
        <v>47.368714285714283</v>
      </c>
      <c r="BE19" s="108">
        <v>31.953181818181818</v>
      </c>
      <c r="BF19" s="108">
        <v>46.396876811594204</v>
      </c>
      <c r="BG19" s="109">
        <v>36.510706349206352</v>
      </c>
      <c r="BH19" s="107">
        <v>42.869077200577202</v>
      </c>
      <c r="BI19" s="108">
        <v>30.965649122807019</v>
      </c>
      <c r="BJ19" s="108">
        <v>54.519090909090913</v>
      </c>
      <c r="BK19" s="109">
        <v>60.79666666666666</v>
      </c>
      <c r="BL19" s="107">
        <v>104.03833333333334</v>
      </c>
      <c r="BM19" s="108">
        <v>46.4</v>
      </c>
      <c r="BN19" s="108">
        <v>62.153333333333336</v>
      </c>
      <c r="BO19" s="109">
        <v>69.22</v>
      </c>
      <c r="BP19" s="107">
        <v>114.18333333333334</v>
      </c>
      <c r="BQ19" s="108">
        <v>43.866666666666674</v>
      </c>
      <c r="BR19" s="108">
        <v>61.910000000000004</v>
      </c>
      <c r="BS19" s="109">
        <v>65.11333333333333</v>
      </c>
      <c r="BT19" s="107">
        <v>128.9425</v>
      </c>
      <c r="BU19" s="111"/>
      <c r="BV19" s="111"/>
      <c r="BW19" s="26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</row>
    <row r="20" spans="1:90" x14ac:dyDescent="0.25">
      <c r="A20" s="9"/>
      <c r="B20" s="9"/>
      <c r="C20" s="3" t="s">
        <v>8</v>
      </c>
      <c r="D20" s="3"/>
      <c r="E20" s="43"/>
      <c r="F20" s="20" t="s">
        <v>100</v>
      </c>
      <c r="G20" s="129"/>
      <c r="H20" s="107">
        <v>41.980467908902689</v>
      </c>
      <c r="I20" s="108">
        <v>41.576847041847039</v>
      </c>
      <c r="J20" s="108">
        <v>46.669384057971023</v>
      </c>
      <c r="K20" s="109">
        <v>36.74666666666667</v>
      </c>
      <c r="L20" s="108">
        <v>30.723773448773454</v>
      </c>
      <c r="M20" s="108">
        <v>32.439307359307357</v>
      </c>
      <c r="N20" s="108">
        <v>41.355761505212307</v>
      </c>
      <c r="O20" s="108">
        <v>38.472494133885441</v>
      </c>
      <c r="P20" s="107">
        <v>43.285911255411257</v>
      </c>
      <c r="Q20" s="108">
        <v>41.646909090909098</v>
      </c>
      <c r="R20" s="108">
        <v>45.858848484848487</v>
      </c>
      <c r="S20" s="108">
        <v>47.910261214630786</v>
      </c>
      <c r="T20" s="107">
        <v>108.08499422799423</v>
      </c>
      <c r="U20" s="108">
        <v>43.684112554112552</v>
      </c>
      <c r="V20" s="108">
        <v>40.412388167388173</v>
      </c>
      <c r="W20" s="109">
        <v>38.023039664378338</v>
      </c>
      <c r="X20" s="107">
        <v>54.109582251082252</v>
      </c>
      <c r="Y20" s="108">
        <v>35.111696969696972</v>
      </c>
      <c r="Z20" s="108">
        <v>36.689744651483785</v>
      </c>
      <c r="AA20" s="109">
        <v>31.554500000000001</v>
      </c>
      <c r="AB20" s="107">
        <v>25.671248102139412</v>
      </c>
      <c r="AC20" s="108">
        <v>34.141831890331893</v>
      </c>
      <c r="AD20" s="108">
        <v>48.019042443064187</v>
      </c>
      <c r="AE20" s="109">
        <v>30.496482873851292</v>
      </c>
      <c r="AF20" s="107">
        <v>29.667526350461131</v>
      </c>
      <c r="AG20" s="108">
        <v>30.653499999999998</v>
      </c>
      <c r="AH20" s="108">
        <v>36.281249137336097</v>
      </c>
      <c r="AI20" s="110">
        <v>30.404813852813856</v>
      </c>
      <c r="AJ20" s="107">
        <v>39.282909090909094</v>
      </c>
      <c r="AK20" s="108">
        <v>38.294617604617606</v>
      </c>
      <c r="AL20" s="108">
        <v>44.524998365478915</v>
      </c>
      <c r="AM20" s="110">
        <v>37.936888888888888</v>
      </c>
      <c r="AN20" s="107">
        <v>35.267098124098119</v>
      </c>
      <c r="AO20" s="108">
        <v>33.407333333333334</v>
      </c>
      <c r="AP20" s="108">
        <v>34.137363636363638</v>
      </c>
      <c r="AQ20" s="110">
        <v>26.557402691511385</v>
      </c>
      <c r="AR20" s="107">
        <v>18.637530303030303</v>
      </c>
      <c r="AS20" s="108">
        <v>21.947348484848487</v>
      </c>
      <c r="AT20" s="108">
        <v>28.154285714285717</v>
      </c>
      <c r="AU20" s="110">
        <v>20.103060606060605</v>
      </c>
      <c r="AV20" s="107">
        <v>29.21854347826087</v>
      </c>
      <c r="AW20" s="108">
        <v>23.365075757575756</v>
      </c>
      <c r="AX20" s="108">
        <v>53.420360028860024</v>
      </c>
      <c r="AY20" s="110">
        <v>47.745741890959287</v>
      </c>
      <c r="AZ20" s="107">
        <v>75.299747757073845</v>
      </c>
      <c r="BA20" s="108">
        <v>51.240404040404037</v>
      </c>
      <c r="BB20" s="108">
        <v>86.642260524499648</v>
      </c>
      <c r="BC20" s="110">
        <v>50.297907407407401</v>
      </c>
      <c r="BD20" s="107">
        <v>25.528353070175438</v>
      </c>
      <c r="BE20" s="108">
        <v>22.73037037037037</v>
      </c>
      <c r="BF20" s="108">
        <v>36.234925925925928</v>
      </c>
      <c r="BG20" s="109">
        <v>30.04837977296182</v>
      </c>
      <c r="BH20" s="107">
        <v>35.580401493930907</v>
      </c>
      <c r="BI20" s="108">
        <v>31.552528138528135</v>
      </c>
      <c r="BJ20" s="108">
        <v>43.128232323232325</v>
      </c>
      <c r="BK20" s="109"/>
      <c r="BL20" s="107"/>
      <c r="BM20" s="108"/>
      <c r="BN20" s="108"/>
      <c r="BO20" s="109"/>
      <c r="BP20" s="107"/>
      <c r="BQ20" s="108"/>
      <c r="BR20" s="108"/>
      <c r="BS20" s="109"/>
      <c r="BT20" s="107"/>
      <c r="BU20" s="111"/>
      <c r="BV20" s="111"/>
      <c r="BW20" s="26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</row>
    <row r="21" spans="1:90" x14ac:dyDescent="0.25">
      <c r="A21" s="9"/>
      <c r="B21" s="9"/>
      <c r="C21" s="3" t="s">
        <v>9</v>
      </c>
      <c r="D21" s="3"/>
      <c r="E21" s="43"/>
      <c r="F21" s="20" t="s">
        <v>101</v>
      </c>
      <c r="G21" s="20" t="s">
        <v>165</v>
      </c>
      <c r="H21" s="107">
        <v>64.48140303657695</v>
      </c>
      <c r="I21" s="108">
        <v>56.089668109668111</v>
      </c>
      <c r="J21" s="108">
        <v>62.900405797101449</v>
      </c>
      <c r="K21" s="109">
        <v>43.0368253968254</v>
      </c>
      <c r="L21" s="108">
        <v>37.28948051948052</v>
      </c>
      <c r="M21" s="108">
        <v>40.025764790764789</v>
      </c>
      <c r="N21" s="108">
        <v>50.224281355562823</v>
      </c>
      <c r="O21" s="108">
        <v>49.23673636991029</v>
      </c>
      <c r="P21" s="107">
        <v>77.433966810966808</v>
      </c>
      <c r="Q21" s="108">
        <v>49.74404545454545</v>
      </c>
      <c r="R21" s="108">
        <v>54.198681818181818</v>
      </c>
      <c r="S21" s="108">
        <v>54.763788819875778</v>
      </c>
      <c r="T21" s="107">
        <v>159.00977922077922</v>
      </c>
      <c r="U21" s="108">
        <v>48.092409812409812</v>
      </c>
      <c r="V21" s="108">
        <v>42.024531024531029</v>
      </c>
      <c r="W21" s="109">
        <v>43.579272935302676</v>
      </c>
      <c r="X21" s="107">
        <v>85.918012265512274</v>
      </c>
      <c r="Y21" s="108">
        <v>34.137909090909091</v>
      </c>
      <c r="Z21" s="108">
        <v>38.173947550034505</v>
      </c>
      <c r="AA21" s="109">
        <v>28.312515151515154</v>
      </c>
      <c r="AB21" s="107">
        <v>32.586247066942718</v>
      </c>
      <c r="AC21" s="108">
        <v>28.680922799422802</v>
      </c>
      <c r="AD21" s="108">
        <v>39.106844030365771</v>
      </c>
      <c r="AE21" s="109">
        <v>36.104026733500419</v>
      </c>
      <c r="AF21" s="107">
        <v>38.695967720685111</v>
      </c>
      <c r="AG21" s="108">
        <v>34.213312252964421</v>
      </c>
      <c r="AH21" s="108">
        <v>33.235438233264318</v>
      </c>
      <c r="AI21" s="110">
        <v>39.014849206349204</v>
      </c>
      <c r="AJ21" s="107">
        <v>51.520893939393943</v>
      </c>
      <c r="AK21" s="108">
        <v>34.242085137085134</v>
      </c>
      <c r="AL21" s="108">
        <v>41.862603247248558</v>
      </c>
      <c r="AM21" s="110">
        <v>41.948980331262938</v>
      </c>
      <c r="AN21" s="107">
        <v>41.769322510822512</v>
      </c>
      <c r="AO21" s="108">
        <v>25.675212121212123</v>
      </c>
      <c r="AP21" s="108">
        <v>27.757590909090908</v>
      </c>
      <c r="AQ21" s="110">
        <v>27.041592477570742</v>
      </c>
      <c r="AR21" s="107">
        <v>21.821515151515154</v>
      </c>
      <c r="AS21" s="108">
        <v>18.12709090909091</v>
      </c>
      <c r="AT21" s="108">
        <v>24.384120082815738</v>
      </c>
      <c r="AU21" s="110">
        <v>27.048060606060606</v>
      </c>
      <c r="AV21" s="107">
        <v>44.74026811594203</v>
      </c>
      <c r="AW21" s="108">
        <v>31.852136363636365</v>
      </c>
      <c r="AX21" s="108">
        <v>50.330430014430021</v>
      </c>
      <c r="AY21" s="110">
        <v>57.53588681849552</v>
      </c>
      <c r="AZ21" s="107">
        <v>100.09894478951001</v>
      </c>
      <c r="BA21" s="108">
        <v>79.721219336219335</v>
      </c>
      <c r="BB21" s="108">
        <v>104.70613354037268</v>
      </c>
      <c r="BC21" s="110">
        <v>78.342851851851847</v>
      </c>
      <c r="BD21" s="107">
        <v>41.14305921052631</v>
      </c>
      <c r="BE21" s="108">
        <v>31.491984126984125</v>
      </c>
      <c r="BF21" s="108">
        <v>40.641259259259265</v>
      </c>
      <c r="BG21" s="109">
        <v>36.158452012383897</v>
      </c>
      <c r="BH21" s="107">
        <v>44.22421101774043</v>
      </c>
      <c r="BI21" s="108">
        <v>33.801184704184699</v>
      </c>
      <c r="BJ21" s="108">
        <v>44.750117845117842</v>
      </c>
      <c r="BK21" s="109">
        <v>49.330000000000005</v>
      </c>
      <c r="BL21" s="107">
        <v>81.838333333333324</v>
      </c>
      <c r="BM21" s="108">
        <v>44.216666666666669</v>
      </c>
      <c r="BN21" s="108">
        <v>59.70333333333334</v>
      </c>
      <c r="BO21" s="109">
        <v>57.186666666666667</v>
      </c>
      <c r="BP21" s="107">
        <v>89.5</v>
      </c>
      <c r="BQ21" s="108">
        <v>45.016666666666673</v>
      </c>
      <c r="BR21" s="108">
        <v>63.743333333333339</v>
      </c>
      <c r="BS21" s="109">
        <v>61.580000000000005</v>
      </c>
      <c r="BT21" s="107">
        <v>106.2675</v>
      </c>
      <c r="BU21" s="111"/>
      <c r="BV21" s="111"/>
      <c r="BW21" s="26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</row>
    <row r="22" spans="1:90" x14ac:dyDescent="0.25">
      <c r="A22" s="9"/>
      <c r="B22" s="9"/>
      <c r="C22" s="3" t="s">
        <v>10</v>
      </c>
      <c r="D22" s="3"/>
      <c r="E22" s="43"/>
      <c r="F22" s="20" t="s">
        <v>102</v>
      </c>
      <c r="G22" s="20" t="s">
        <v>166</v>
      </c>
      <c r="H22" s="107">
        <v>73.556140096618364</v>
      </c>
      <c r="I22" s="108">
        <v>64.667085137085138</v>
      </c>
      <c r="J22" s="108">
        <v>67.94935955831609</v>
      </c>
      <c r="K22" s="109">
        <v>46.534761904761901</v>
      </c>
      <c r="L22" s="108">
        <v>41.882720057720057</v>
      </c>
      <c r="M22" s="108">
        <v>41.838953823953823</v>
      </c>
      <c r="N22" s="108">
        <v>53.598488249609524</v>
      </c>
      <c r="O22" s="108">
        <v>50.661049689440993</v>
      </c>
      <c r="P22" s="107">
        <v>84.797114718614708</v>
      </c>
      <c r="Q22" s="108">
        <v>52.982681818181817</v>
      </c>
      <c r="R22" s="108">
        <v>58.230545454545457</v>
      </c>
      <c r="S22" s="108">
        <v>55.131759489302965</v>
      </c>
      <c r="T22" s="107">
        <v>164.37607503607504</v>
      </c>
      <c r="U22" s="108">
        <v>49.636334776334785</v>
      </c>
      <c r="V22" s="108">
        <v>42.759487734487742</v>
      </c>
      <c r="W22" s="109">
        <v>44.013627002288331</v>
      </c>
      <c r="X22" s="107">
        <v>87.407331168831163</v>
      </c>
      <c r="Y22" s="108">
        <v>35.584196969696968</v>
      </c>
      <c r="Z22" s="108">
        <v>40.172988267770876</v>
      </c>
      <c r="AA22" s="109">
        <v>29.109848484848484</v>
      </c>
      <c r="AB22" s="107">
        <v>33.510411663216011</v>
      </c>
      <c r="AC22" s="108">
        <v>30.481922077922079</v>
      </c>
      <c r="AD22" s="108">
        <v>41.280381297446517</v>
      </c>
      <c r="AE22" s="109">
        <v>37.347777777777772</v>
      </c>
      <c r="AF22" s="107">
        <v>39.614621212121214</v>
      </c>
      <c r="AG22" s="108">
        <v>38.564620553359681</v>
      </c>
      <c r="AH22" s="108">
        <v>37.027860593512763</v>
      </c>
      <c r="AI22" s="110">
        <v>41.110870851370855</v>
      </c>
      <c r="AJ22" s="107">
        <v>61.968030303030311</v>
      </c>
      <c r="AK22" s="108">
        <v>36.411731601731596</v>
      </c>
      <c r="AL22" s="108">
        <v>46.819680723548004</v>
      </c>
      <c r="AM22" s="110">
        <v>43.554357487922708</v>
      </c>
      <c r="AN22" s="107">
        <v>45.156696248196248</v>
      </c>
      <c r="AO22" s="108">
        <v>29.522515151515151</v>
      </c>
      <c r="AP22" s="108">
        <v>31.131</v>
      </c>
      <c r="AQ22" s="110">
        <v>29.108209799861971</v>
      </c>
      <c r="AR22" s="107">
        <v>23.827075757575756</v>
      </c>
      <c r="AS22" s="108">
        <v>19.00539393939394</v>
      </c>
      <c r="AT22" s="108">
        <v>27.317177363699102</v>
      </c>
      <c r="AU22" s="110">
        <v>28.064727272727271</v>
      </c>
      <c r="AV22" s="107">
        <v>47.706318840579712</v>
      </c>
      <c r="AW22" s="108">
        <v>32.653666666666673</v>
      </c>
      <c r="AX22" s="108">
        <v>54.727503607503614</v>
      </c>
      <c r="AY22" s="110">
        <v>59.742104899930986</v>
      </c>
      <c r="AZ22" s="107">
        <v>104.26352795031056</v>
      </c>
      <c r="BA22" s="108">
        <v>81.323484848484853</v>
      </c>
      <c r="BB22" s="108">
        <v>109.42810282953762</v>
      </c>
      <c r="BC22" s="110">
        <v>80.573870370370372</v>
      </c>
      <c r="BD22" s="107">
        <v>41.633263157894739</v>
      </c>
      <c r="BE22" s="108">
        <v>32.185793650793649</v>
      </c>
      <c r="BF22" s="108">
        <v>42.12811111111111</v>
      </c>
      <c r="BG22" s="109">
        <v>37.348132094943239</v>
      </c>
      <c r="BH22" s="107">
        <v>49.230323685029568</v>
      </c>
      <c r="BI22" s="108">
        <v>35.921354256854258</v>
      </c>
      <c r="BJ22" s="108">
        <v>47.164646464646466</v>
      </c>
      <c r="BK22" s="109">
        <v>52.296666666666674</v>
      </c>
      <c r="BL22" s="107">
        <v>88.48833333333333</v>
      </c>
      <c r="BM22" s="108">
        <v>47.25</v>
      </c>
      <c r="BN22" s="108">
        <v>65.553333333333327</v>
      </c>
      <c r="BO22" s="109">
        <v>62.32</v>
      </c>
      <c r="BP22" s="107">
        <v>100.76666666666667</v>
      </c>
      <c r="BQ22" s="108">
        <v>48.833333333333336</v>
      </c>
      <c r="BR22" s="108">
        <v>68.86</v>
      </c>
      <c r="BS22" s="109">
        <v>65.03</v>
      </c>
      <c r="BT22" s="107">
        <v>124.0675</v>
      </c>
      <c r="BU22" s="111"/>
      <c r="BV22" s="111"/>
      <c r="BW22" s="26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</row>
    <row r="23" spans="1:90" x14ac:dyDescent="0.25">
      <c r="A23" s="9"/>
      <c r="B23" s="9"/>
      <c r="C23" s="3" t="s">
        <v>11</v>
      </c>
      <c r="D23" s="3"/>
      <c r="F23" s="20" t="s">
        <v>79</v>
      </c>
      <c r="G23" s="20" t="s">
        <v>167</v>
      </c>
      <c r="H23" s="107">
        <v>51.27090372670807</v>
      </c>
      <c r="I23" s="108">
        <v>56.439653679653681</v>
      </c>
      <c r="J23" s="108">
        <v>58.105723257418909</v>
      </c>
      <c r="K23" s="109">
        <v>39.969365079365076</v>
      </c>
      <c r="L23" s="108">
        <v>34.78308802308802</v>
      </c>
      <c r="M23" s="108">
        <v>38.892777777777773</v>
      </c>
      <c r="N23" s="108">
        <v>45.374590824888308</v>
      </c>
      <c r="O23" s="108">
        <v>40.347825741890965</v>
      </c>
      <c r="P23" s="107">
        <v>41.670032467532472</v>
      </c>
      <c r="Q23" s="108">
        <v>46.203499999999998</v>
      </c>
      <c r="R23" s="108">
        <v>49.806939393939388</v>
      </c>
      <c r="S23" s="108">
        <v>42.919132160110422</v>
      </c>
      <c r="T23" s="107">
        <v>114.74184848484849</v>
      </c>
      <c r="U23" s="108">
        <v>50.709199134199139</v>
      </c>
      <c r="V23" s="108">
        <v>43.177561327561328</v>
      </c>
      <c r="W23" s="109">
        <v>42.197912766104984</v>
      </c>
      <c r="X23" s="107">
        <v>60.227598845598841</v>
      </c>
      <c r="Y23" s="108">
        <v>40.458393939393943</v>
      </c>
      <c r="Z23" s="108">
        <v>39.136404416839206</v>
      </c>
      <c r="AA23" s="109">
        <v>33.018803030303033</v>
      </c>
      <c r="AB23" s="107">
        <v>31.494762249827463</v>
      </c>
      <c r="AC23" s="108">
        <v>32.066955266955269</v>
      </c>
      <c r="AD23" s="108">
        <v>40.74319875776397</v>
      </c>
      <c r="AE23" s="109">
        <v>34.308095238095241</v>
      </c>
      <c r="AF23" s="107">
        <v>32.455206851119897</v>
      </c>
      <c r="AG23" s="108">
        <v>33.088938076416333</v>
      </c>
      <c r="AH23" s="108">
        <v>34.819861973775012</v>
      </c>
      <c r="AI23" s="110">
        <v>36.268412698412696</v>
      </c>
      <c r="AJ23" s="107">
        <v>47.433984848484847</v>
      </c>
      <c r="AK23" s="108">
        <v>39.731782106782106</v>
      </c>
      <c r="AL23" s="108">
        <v>40.059399585921327</v>
      </c>
      <c r="AM23" s="110">
        <v>39.402772946859905</v>
      </c>
      <c r="AN23" s="107">
        <v>33.790931457431455</v>
      </c>
      <c r="AO23" s="108">
        <v>28.541227272727269</v>
      </c>
      <c r="AP23" s="108">
        <v>31.143575757575757</v>
      </c>
      <c r="AQ23" s="110">
        <v>29.892982746721874</v>
      </c>
      <c r="AR23" s="107">
        <v>22.47369696969697</v>
      </c>
      <c r="AS23" s="108">
        <v>20.791257575757577</v>
      </c>
      <c r="AT23" s="108">
        <v>28.243802622498276</v>
      </c>
      <c r="AU23" s="110">
        <v>26.435606060606062</v>
      </c>
      <c r="AV23" s="107">
        <v>35.087623188405793</v>
      </c>
      <c r="AW23" s="108">
        <v>33.709833333333336</v>
      </c>
      <c r="AX23" s="108">
        <v>51.324776334776338</v>
      </c>
      <c r="AY23" s="110">
        <v>62.574623878536926</v>
      </c>
      <c r="AZ23" s="107">
        <v>58.327188405797102</v>
      </c>
      <c r="BA23" s="108">
        <v>92.998672438672429</v>
      </c>
      <c r="BB23" s="108">
        <v>110.99512870945479</v>
      </c>
      <c r="BC23" s="110">
        <v>71.602380952380955</v>
      </c>
      <c r="BD23" s="107">
        <v>36.491502760524497</v>
      </c>
      <c r="BE23" s="108">
        <v>35.406727272727274</v>
      </c>
      <c r="BF23" s="108">
        <v>43.272579710144925</v>
      </c>
      <c r="BG23" s="109">
        <v>42.17084704184704</v>
      </c>
      <c r="BH23" s="107">
        <v>35.756594516594511</v>
      </c>
      <c r="BI23" s="108">
        <v>37.93309941520468</v>
      </c>
      <c r="BJ23" s="108">
        <v>54.280420875420873</v>
      </c>
      <c r="BK23" s="109">
        <v>46.263333333333328</v>
      </c>
      <c r="BL23" s="107">
        <v>58.721666666666664</v>
      </c>
      <c r="BM23" s="108">
        <v>47.949999999999996</v>
      </c>
      <c r="BN23" s="108">
        <v>64.220000000000013</v>
      </c>
      <c r="BO23" s="109">
        <v>51.75333333333333</v>
      </c>
      <c r="BP23" s="107">
        <v>64.899999999999991</v>
      </c>
      <c r="BQ23" s="108">
        <v>49.383333333333333</v>
      </c>
      <c r="BR23" s="108">
        <v>67.343333333333334</v>
      </c>
      <c r="BS23" s="109">
        <v>53.663333333333334</v>
      </c>
      <c r="BT23" s="107">
        <v>74.267499999999998</v>
      </c>
      <c r="BU23" s="111"/>
      <c r="BV23" s="111"/>
      <c r="BW23" s="26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</row>
    <row r="24" spans="1:90" x14ac:dyDescent="0.25">
      <c r="A24" s="9"/>
      <c r="B24" s="9"/>
      <c r="C24" s="3" t="s">
        <v>12</v>
      </c>
      <c r="D24" s="3"/>
      <c r="E24" s="43"/>
      <c r="F24" s="20" t="s">
        <v>80</v>
      </c>
      <c r="G24" s="20" t="s">
        <v>220</v>
      </c>
      <c r="H24" s="107">
        <v>60.038860593512766</v>
      </c>
      <c r="I24" s="108">
        <v>61.076428571428572</v>
      </c>
      <c r="J24" s="108">
        <v>68.60598792270531</v>
      </c>
      <c r="K24" s="109">
        <v>42.19</v>
      </c>
      <c r="L24" s="108">
        <v>38.409927849927847</v>
      </c>
      <c r="M24" s="108">
        <v>38.276053391053388</v>
      </c>
      <c r="N24" s="108">
        <v>52.984506556245684</v>
      </c>
      <c r="O24" s="108">
        <v>44.961078674948233</v>
      </c>
      <c r="P24" s="107">
        <v>42.943458152958158</v>
      </c>
      <c r="Q24" s="108">
        <v>48.497484848484845</v>
      </c>
      <c r="R24" s="108">
        <v>56.063818181818185</v>
      </c>
      <c r="S24" s="108">
        <v>44.350704968944093</v>
      </c>
      <c r="T24" s="107">
        <v>138.28597763347764</v>
      </c>
      <c r="U24" s="108">
        <v>54.009357864357867</v>
      </c>
      <c r="V24" s="108">
        <v>47.299444444444447</v>
      </c>
      <c r="W24" s="109">
        <v>51.029115872685672</v>
      </c>
      <c r="X24" s="107">
        <v>75.413528860028862</v>
      </c>
      <c r="Y24" s="108">
        <v>40.366500000000002</v>
      </c>
      <c r="Z24" s="108">
        <v>39.09053830227743</v>
      </c>
      <c r="AA24" s="109">
        <v>32.495030303030298</v>
      </c>
      <c r="AB24" s="107">
        <v>33.267191856452726</v>
      </c>
      <c r="AC24" s="108">
        <v>28.69549062049062</v>
      </c>
      <c r="AD24" s="108">
        <v>44.272330917874399</v>
      </c>
      <c r="AE24" s="109">
        <v>30.098253968253971</v>
      </c>
      <c r="AF24" s="107">
        <v>34.495299077733861</v>
      </c>
      <c r="AG24" s="108">
        <v>32.731915678524373</v>
      </c>
      <c r="AH24" s="108">
        <v>33.80177363699103</v>
      </c>
      <c r="AI24" s="110">
        <v>38.346428571428568</v>
      </c>
      <c r="AJ24" s="107">
        <v>50.604560606060609</v>
      </c>
      <c r="AK24" s="108">
        <v>35.204357864357867</v>
      </c>
      <c r="AL24" s="108">
        <v>43.61328756674294</v>
      </c>
      <c r="AM24" s="110">
        <v>45.325698412698408</v>
      </c>
      <c r="AN24" s="107">
        <v>33.259286435786436</v>
      </c>
      <c r="AO24" s="108">
        <v>25.786363636363635</v>
      </c>
      <c r="AP24" s="108">
        <v>31.10201515151515</v>
      </c>
      <c r="AQ24" s="110">
        <v>25.176485162180814</v>
      </c>
      <c r="AR24" s="107">
        <v>20.234681818181816</v>
      </c>
      <c r="AS24" s="108">
        <v>18.02240909090909</v>
      </c>
      <c r="AT24" s="108">
        <v>26.865845410628015</v>
      </c>
      <c r="AU24" s="110">
        <v>24.419075757575758</v>
      </c>
      <c r="AV24" s="107">
        <v>36.663985507246373</v>
      </c>
      <c r="AW24" s="108">
        <v>28.912606060606063</v>
      </c>
      <c r="AX24" s="108">
        <v>48.283932178932183</v>
      </c>
      <c r="AY24" s="110">
        <v>51.524962042788125</v>
      </c>
      <c r="AZ24" s="107">
        <v>56.801347826086953</v>
      </c>
      <c r="BA24" s="108">
        <v>67.66518037518037</v>
      </c>
      <c r="BB24" s="108">
        <v>106.67130676328502</v>
      </c>
      <c r="BC24" s="110">
        <v>66.262380952380951</v>
      </c>
      <c r="BD24" s="107">
        <v>31.476942374051067</v>
      </c>
      <c r="BE24" s="108">
        <v>23.077818181818184</v>
      </c>
      <c r="BF24" s="108">
        <v>44.252884057971016</v>
      </c>
      <c r="BG24" s="109">
        <v>31.776874458874456</v>
      </c>
      <c r="BH24" s="107">
        <v>30.818838383838383</v>
      </c>
      <c r="BI24" s="108">
        <v>30.048579782790309</v>
      </c>
      <c r="BJ24" s="108">
        <v>61.086094276094279</v>
      </c>
      <c r="BK24" s="109">
        <v>46.18</v>
      </c>
      <c r="BL24" s="107">
        <v>62.838333333333338</v>
      </c>
      <c r="BM24" s="108">
        <v>47.133333333333333</v>
      </c>
      <c r="BN24" s="108">
        <v>65.77</v>
      </c>
      <c r="BO24" s="109">
        <v>51.25333333333333</v>
      </c>
      <c r="BP24" s="107">
        <v>68.533333333333331</v>
      </c>
      <c r="BQ24" s="108">
        <v>48.316666666666663</v>
      </c>
      <c r="BR24" s="108">
        <v>68.743333333333325</v>
      </c>
      <c r="BS24" s="109">
        <v>53.330000000000005</v>
      </c>
      <c r="BT24" s="107">
        <v>79.617500000000007</v>
      </c>
      <c r="BU24" s="111"/>
      <c r="BV24" s="111"/>
      <c r="BW24" s="26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</row>
    <row r="25" spans="1:90" x14ac:dyDescent="0.25">
      <c r="A25" s="9"/>
      <c r="B25" s="44"/>
      <c r="C25" s="3" t="s">
        <v>13</v>
      </c>
      <c r="D25" s="3"/>
      <c r="E25" s="43"/>
      <c r="F25" s="20" t="s">
        <v>155</v>
      </c>
      <c r="G25" s="20" t="s">
        <v>197</v>
      </c>
      <c r="H25" s="107">
        <v>41.477703933747414</v>
      </c>
      <c r="I25" s="108">
        <v>51.111334776334779</v>
      </c>
      <c r="J25" s="108">
        <v>50.570670462387852</v>
      </c>
      <c r="K25" s="109">
        <v>37.411269841269842</v>
      </c>
      <c r="L25" s="108">
        <v>32.13608225108225</v>
      </c>
      <c r="M25" s="108">
        <v>34.642936507936504</v>
      </c>
      <c r="N25" s="108">
        <v>44.680429697431983</v>
      </c>
      <c r="O25" s="108">
        <v>37.916310904071771</v>
      </c>
      <c r="P25" s="107">
        <v>37.994575757575753</v>
      </c>
      <c r="Q25" s="108">
        <v>41.748030303030298</v>
      </c>
      <c r="R25" s="108">
        <v>41.622787878787875</v>
      </c>
      <c r="S25" s="108">
        <v>35.971644237405108</v>
      </c>
      <c r="T25" s="107">
        <v>78.824140692640697</v>
      </c>
      <c r="U25" s="108">
        <v>50.581370851370849</v>
      </c>
      <c r="V25" s="108">
        <v>38.233787878787872</v>
      </c>
      <c r="W25" s="109">
        <v>39.960312391651065</v>
      </c>
      <c r="X25" s="107">
        <v>43.021378787878781</v>
      </c>
      <c r="Y25" s="108">
        <v>36.749893939393935</v>
      </c>
      <c r="Z25" s="108">
        <v>35.821697722567286</v>
      </c>
      <c r="AA25" s="109">
        <v>30.850651515151515</v>
      </c>
      <c r="AB25" s="107">
        <v>27.572697722567288</v>
      </c>
      <c r="AC25" s="108">
        <v>31.32154401154401</v>
      </c>
      <c r="AD25" s="108">
        <v>37.669118357487925</v>
      </c>
      <c r="AE25" s="109">
        <v>32.359158730158732</v>
      </c>
      <c r="AF25" s="107">
        <v>30.837390645586297</v>
      </c>
      <c r="AG25" s="108">
        <v>32.80940447957839</v>
      </c>
      <c r="AH25" s="108">
        <v>36.507957211870256</v>
      </c>
      <c r="AI25" s="110">
        <v>31.797301587301586</v>
      </c>
      <c r="AJ25" s="107">
        <v>39.17881818181818</v>
      </c>
      <c r="AK25" s="108">
        <v>41.729451659451662</v>
      </c>
      <c r="AL25" s="108">
        <v>39.543889070502338</v>
      </c>
      <c r="AM25" s="110">
        <v>38.225219461697726</v>
      </c>
      <c r="AN25" s="107">
        <v>31.360538961038959</v>
      </c>
      <c r="AO25" s="108">
        <v>27.771484848484846</v>
      </c>
      <c r="AP25" s="108">
        <v>33.598060606060606</v>
      </c>
      <c r="AQ25" s="110">
        <v>30.86594237405107</v>
      </c>
      <c r="AR25" s="107">
        <v>22.04157575757576</v>
      </c>
      <c r="AS25" s="108">
        <v>22.022848484848485</v>
      </c>
      <c r="AT25" s="108">
        <v>28.668129744651484</v>
      </c>
      <c r="AU25" s="110">
        <v>26.331515151515152</v>
      </c>
      <c r="AV25" s="107">
        <v>34.913014492753625</v>
      </c>
      <c r="AW25" s="108">
        <v>35.846378787878791</v>
      </c>
      <c r="AX25" s="108">
        <v>50.685129870129877</v>
      </c>
      <c r="AY25" s="110">
        <v>60.238046928916496</v>
      </c>
      <c r="AZ25" s="107">
        <v>47.255189786059354</v>
      </c>
      <c r="BA25" s="108">
        <v>97.48339105339106</v>
      </c>
      <c r="BB25" s="108">
        <v>102.72623119392684</v>
      </c>
      <c r="BC25" s="110">
        <v>77.582595238095237</v>
      </c>
      <c r="BD25" s="107">
        <v>32.010147342995168</v>
      </c>
      <c r="BE25" s="108">
        <v>33.18275757575757</v>
      </c>
      <c r="BF25" s="108">
        <v>37.904289855072463</v>
      </c>
      <c r="BG25" s="109">
        <v>35.394136363636363</v>
      </c>
      <c r="BH25" s="107">
        <v>31.18077200577201</v>
      </c>
      <c r="BI25" s="108">
        <v>36.079448621553887</v>
      </c>
      <c r="BJ25" s="108">
        <v>43.527053872053877</v>
      </c>
      <c r="BK25" s="109">
        <v>42.163333333333334</v>
      </c>
      <c r="BL25" s="107">
        <v>50.905000000000001</v>
      </c>
      <c r="BM25" s="108">
        <v>44.85</v>
      </c>
      <c r="BN25" s="108">
        <v>59.986666666666672</v>
      </c>
      <c r="BO25" s="109">
        <v>46.936666666666667</v>
      </c>
      <c r="BP25" s="107">
        <v>55.966666666666669</v>
      </c>
      <c r="BQ25" s="108">
        <v>44.433333333333337</v>
      </c>
      <c r="BR25" s="108">
        <v>62.41</v>
      </c>
      <c r="BS25" s="109">
        <v>48.546666666666674</v>
      </c>
      <c r="BT25" s="107">
        <v>62.792499999999997</v>
      </c>
      <c r="BU25" s="111"/>
      <c r="BV25" s="111"/>
      <c r="BW25" s="26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</row>
    <row r="26" spans="1:90" x14ac:dyDescent="0.25">
      <c r="A26" s="9"/>
      <c r="B26" s="9"/>
      <c r="C26" s="3" t="s">
        <v>14</v>
      </c>
      <c r="D26" s="3"/>
      <c r="E26" s="43"/>
      <c r="F26" s="20" t="s">
        <v>156</v>
      </c>
      <c r="G26" s="129"/>
      <c r="H26" s="107">
        <v>41.516337129054527</v>
      </c>
      <c r="I26" s="108">
        <v>51.003665223665223</v>
      </c>
      <c r="J26" s="108">
        <v>50.528297101449276</v>
      </c>
      <c r="K26" s="109">
        <v>37.525238095238102</v>
      </c>
      <c r="L26" s="108">
        <v>32.203585858585861</v>
      </c>
      <c r="M26" s="108">
        <v>34.758917748917746</v>
      </c>
      <c r="N26" s="108">
        <v>44.979153681304716</v>
      </c>
      <c r="O26" s="108">
        <v>38.03149206349206</v>
      </c>
      <c r="P26" s="107">
        <v>37.709235930735929</v>
      </c>
      <c r="Q26" s="108">
        <v>41.92671212121212</v>
      </c>
      <c r="R26" s="108">
        <v>41.777878787878791</v>
      </c>
      <c r="S26" s="108">
        <v>36.056928571428564</v>
      </c>
      <c r="T26" s="107">
        <v>78.780328282828279</v>
      </c>
      <c r="U26" s="108">
        <v>50.701883116883117</v>
      </c>
      <c r="V26" s="108">
        <v>38.223997113997115</v>
      </c>
      <c r="W26" s="109">
        <v>39.031110186533532</v>
      </c>
      <c r="X26" s="107">
        <v>42.912969696969697</v>
      </c>
      <c r="Y26" s="108">
        <v>35.534318181818186</v>
      </c>
      <c r="Z26" s="108">
        <v>35.173816425120776</v>
      </c>
      <c r="AA26" s="109">
        <v>30.812878787878788</v>
      </c>
      <c r="AB26" s="107">
        <v>27.35601207729469</v>
      </c>
      <c r="AC26" s="108">
        <v>31.579184704184701</v>
      </c>
      <c r="AD26" s="108">
        <v>38.289080745341614</v>
      </c>
      <c r="AE26" s="109">
        <v>32.371603174603173</v>
      </c>
      <c r="AF26" s="107">
        <v>30.923540184453227</v>
      </c>
      <c r="AG26" s="108">
        <v>32.981293807641634</v>
      </c>
      <c r="AH26" s="108">
        <v>36.775514147688064</v>
      </c>
      <c r="AI26" s="110">
        <v>31.728571428571428</v>
      </c>
      <c r="AJ26" s="107">
        <v>38.090348484848484</v>
      </c>
      <c r="AK26" s="108">
        <v>42.093210678210674</v>
      </c>
      <c r="AL26" s="108">
        <v>39.559142058043655</v>
      </c>
      <c r="AM26" s="110">
        <v>38.561378881987572</v>
      </c>
      <c r="AN26" s="107">
        <v>31.418778499278499</v>
      </c>
      <c r="AO26" s="108">
        <v>27.869136363636368</v>
      </c>
      <c r="AP26" s="108">
        <v>33.960454545454546</v>
      </c>
      <c r="AQ26" s="110">
        <v>31.059381642512079</v>
      </c>
      <c r="AR26" s="107">
        <v>22.083484848484847</v>
      </c>
      <c r="AS26" s="108">
        <v>22.041227272727273</v>
      </c>
      <c r="AT26" s="108">
        <v>29.028005521049</v>
      </c>
      <c r="AU26" s="110">
        <v>26.365469696969697</v>
      </c>
      <c r="AV26" s="107">
        <v>35.314586956521737</v>
      </c>
      <c r="AW26" s="108">
        <v>36.364303030303027</v>
      </c>
      <c r="AX26" s="108">
        <v>50.87348484848485</v>
      </c>
      <c r="AY26" s="110">
        <v>59.594313319530706</v>
      </c>
      <c r="AZ26" s="107">
        <v>47.194444789510008</v>
      </c>
      <c r="BA26" s="108">
        <v>97.687164502164492</v>
      </c>
      <c r="BB26" s="108">
        <v>102.836099378882</v>
      </c>
      <c r="BC26" s="110">
        <v>77.191571428571422</v>
      </c>
      <c r="BD26" s="107">
        <v>31.936837129054524</v>
      </c>
      <c r="BE26" s="108">
        <v>33.121454545454547</v>
      </c>
      <c r="BF26" s="108">
        <v>38.017985507246379</v>
      </c>
      <c r="BG26" s="109">
        <v>35.225163059163059</v>
      </c>
      <c r="BH26" s="107">
        <v>31.263795093795096</v>
      </c>
      <c r="BI26" s="108">
        <v>35.992430659983292</v>
      </c>
      <c r="BJ26" s="108">
        <v>44.720328282828284</v>
      </c>
      <c r="BK26" s="109"/>
      <c r="BL26" s="107"/>
      <c r="BM26" s="108"/>
      <c r="BN26" s="108"/>
      <c r="BO26" s="109"/>
      <c r="BP26" s="107"/>
      <c r="BQ26" s="108"/>
      <c r="BR26" s="108"/>
      <c r="BS26" s="109"/>
      <c r="BT26" s="107"/>
      <c r="BU26" s="111"/>
      <c r="BV26" s="111"/>
      <c r="BW26" s="26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</row>
    <row r="27" spans="1:90" x14ac:dyDescent="0.25">
      <c r="A27" s="9"/>
      <c r="B27" s="9"/>
      <c r="C27" s="3" t="s">
        <v>15</v>
      </c>
      <c r="D27" s="3"/>
      <c r="E27" s="43"/>
      <c r="F27" s="20" t="s">
        <v>81</v>
      </c>
      <c r="G27" s="20" t="s">
        <v>221</v>
      </c>
      <c r="H27" s="107">
        <v>39.149719116632156</v>
      </c>
      <c r="I27" s="108">
        <v>44.289992784992783</v>
      </c>
      <c r="J27" s="108">
        <v>48.257132850241554</v>
      </c>
      <c r="K27" s="109">
        <v>33.157301587301589</v>
      </c>
      <c r="L27" s="108">
        <v>29.963383838383837</v>
      </c>
      <c r="M27" s="108">
        <v>31.673809523809524</v>
      </c>
      <c r="N27" s="108">
        <v>40.457831172133233</v>
      </c>
      <c r="O27" s="108">
        <v>33.73277536231884</v>
      </c>
      <c r="P27" s="107">
        <v>34.836639971139967</v>
      </c>
      <c r="Q27" s="108">
        <v>39.918954545454547</v>
      </c>
      <c r="R27" s="108">
        <v>43.037636363636359</v>
      </c>
      <c r="S27" s="108">
        <v>35.486336438923395</v>
      </c>
      <c r="T27" s="107">
        <v>81.242036075036083</v>
      </c>
      <c r="U27" s="108">
        <v>46.02251803751804</v>
      </c>
      <c r="V27" s="108">
        <v>37.579292929292933</v>
      </c>
      <c r="W27" s="109">
        <v>37.544140836280427</v>
      </c>
      <c r="X27" s="107">
        <v>40.826035353535353</v>
      </c>
      <c r="Y27" s="108">
        <v>31.46827272727273</v>
      </c>
      <c r="Z27" s="108">
        <v>34.027646652864043</v>
      </c>
      <c r="AA27" s="109">
        <v>29.597893939393941</v>
      </c>
      <c r="AB27" s="107">
        <v>27.347407522429261</v>
      </c>
      <c r="AC27" s="108">
        <v>28.873650793650793</v>
      </c>
      <c r="AD27" s="108">
        <v>38.4082325741891</v>
      </c>
      <c r="AE27" s="109">
        <v>33.278888888888893</v>
      </c>
      <c r="AF27" s="107">
        <v>30.218631093544136</v>
      </c>
      <c r="AG27" s="108">
        <v>33.040204874835311</v>
      </c>
      <c r="AH27" s="108">
        <v>33.738778467908901</v>
      </c>
      <c r="AI27" s="110">
        <v>31.411666666666665</v>
      </c>
      <c r="AJ27" s="107">
        <v>33.006333333333338</v>
      </c>
      <c r="AK27" s="108">
        <v>31.761998556998559</v>
      </c>
      <c r="AL27" s="108">
        <v>37.068036032109255</v>
      </c>
      <c r="AM27" s="110">
        <v>35.916752933057282</v>
      </c>
      <c r="AN27" s="107">
        <v>29.855972582972583</v>
      </c>
      <c r="AO27" s="108">
        <v>26.692166666666665</v>
      </c>
      <c r="AP27" s="108">
        <v>29.7195</v>
      </c>
      <c r="AQ27" s="110">
        <v>26.290545893719809</v>
      </c>
      <c r="AR27" s="107">
        <v>21.225636363636365</v>
      </c>
      <c r="AS27" s="108">
        <v>19.248469696969696</v>
      </c>
      <c r="AT27" s="108">
        <v>25.72711525189786</v>
      </c>
      <c r="AU27" s="110">
        <v>23.487863636363638</v>
      </c>
      <c r="AV27" s="107">
        <v>33.439934782608695</v>
      </c>
      <c r="AW27" s="108">
        <v>32.027560606060604</v>
      </c>
      <c r="AX27" s="108">
        <v>48.150252525252519</v>
      </c>
      <c r="AY27" s="110">
        <v>51.339178743961348</v>
      </c>
      <c r="AZ27" s="107">
        <v>44.504634230503797</v>
      </c>
      <c r="BA27" s="108">
        <v>84.620129870129873</v>
      </c>
      <c r="BB27" s="108">
        <v>100.40994271911664</v>
      </c>
      <c r="BC27" s="110">
        <v>56.758095238095244</v>
      </c>
      <c r="BD27" s="107">
        <v>29.667887853692203</v>
      </c>
      <c r="BE27" s="108">
        <v>29.926060606060606</v>
      </c>
      <c r="BF27" s="108">
        <v>39.517246376811592</v>
      </c>
      <c r="BG27" s="109">
        <v>31.641214285714284</v>
      </c>
      <c r="BH27" s="107">
        <v>30.082546897546894</v>
      </c>
      <c r="BI27" s="108">
        <v>29.382673350041774</v>
      </c>
      <c r="BJ27" s="108">
        <v>36.552659932659935</v>
      </c>
      <c r="BK27" s="109">
        <v>36.296666666666667</v>
      </c>
      <c r="BL27" s="107">
        <v>45.838333333333331</v>
      </c>
      <c r="BM27" s="108">
        <v>40.316666666666663</v>
      </c>
      <c r="BN27" s="108">
        <v>56.403333333333336</v>
      </c>
      <c r="BO27" s="109">
        <v>41.47</v>
      </c>
      <c r="BP27" s="107">
        <v>50.366666666666667</v>
      </c>
      <c r="BQ27" s="108">
        <v>40.133333333333333</v>
      </c>
      <c r="BR27" s="108">
        <v>58.343333333333334</v>
      </c>
      <c r="BS27" s="109">
        <v>41.93</v>
      </c>
      <c r="BT27" s="107">
        <v>58.417500000000004</v>
      </c>
      <c r="BU27" s="111"/>
      <c r="BV27" s="111"/>
      <c r="BW27" s="26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</row>
    <row r="28" spans="1:90" x14ac:dyDescent="0.25">
      <c r="A28" s="9"/>
      <c r="B28" s="9"/>
      <c r="C28" s="3" t="s">
        <v>16</v>
      </c>
      <c r="D28" s="3"/>
      <c r="E28" s="43"/>
      <c r="F28" s="20" t="s">
        <v>75</v>
      </c>
      <c r="G28" s="20" t="s">
        <v>168</v>
      </c>
      <c r="H28" s="107">
        <v>45.968278812974461</v>
      </c>
      <c r="I28" s="108">
        <v>44.378946608946613</v>
      </c>
      <c r="J28" s="108">
        <v>120.22140407177363</v>
      </c>
      <c r="K28" s="109">
        <v>31.411746031746031</v>
      </c>
      <c r="L28" s="108">
        <v>25.397950937950938</v>
      </c>
      <c r="M28" s="108">
        <v>37.44166666666667</v>
      </c>
      <c r="N28" s="108">
        <v>41.75251062438705</v>
      </c>
      <c r="O28" s="108">
        <v>31.519316425120774</v>
      </c>
      <c r="P28" s="107">
        <v>30.241471861471865</v>
      </c>
      <c r="Q28" s="108">
        <v>41.313848484848485</v>
      </c>
      <c r="R28" s="108">
        <v>42.229121212121214</v>
      </c>
      <c r="S28" s="108">
        <v>38.09812249827467</v>
      </c>
      <c r="T28" s="107">
        <v>57.708692640692639</v>
      </c>
      <c r="U28" s="108">
        <v>46.57721500721501</v>
      </c>
      <c r="V28" s="108">
        <v>44.23343434343434</v>
      </c>
      <c r="W28" s="109">
        <v>37.446477012689826</v>
      </c>
      <c r="X28" s="107">
        <v>29.005407647907646</v>
      </c>
      <c r="Y28" s="108">
        <v>28.28981818181818</v>
      </c>
      <c r="Z28" s="108">
        <v>45.327757073844026</v>
      </c>
      <c r="AA28" s="109">
        <v>23.745651515151518</v>
      </c>
      <c r="AB28" s="107">
        <v>20.194388888888891</v>
      </c>
      <c r="AC28" s="108">
        <v>26.361738816738818</v>
      </c>
      <c r="AD28" s="108">
        <v>36.898743616287099</v>
      </c>
      <c r="AE28" s="109">
        <v>30.353174603174608</v>
      </c>
      <c r="AF28" s="107">
        <v>30.18903623188406</v>
      </c>
      <c r="AG28" s="108">
        <v>38.031451910408435</v>
      </c>
      <c r="AH28" s="108">
        <v>35.438088336783984</v>
      </c>
      <c r="AI28" s="110">
        <v>30.43004545454545</v>
      </c>
      <c r="AJ28" s="107">
        <v>33.899863636363641</v>
      </c>
      <c r="AK28" s="108">
        <v>36.862301587301594</v>
      </c>
      <c r="AL28" s="108">
        <v>61.282664632595981</v>
      </c>
      <c r="AM28" s="110">
        <v>34.928347135955832</v>
      </c>
      <c r="AN28" s="107">
        <v>29.166705627705625</v>
      </c>
      <c r="AO28" s="108">
        <v>29.997833333333336</v>
      </c>
      <c r="AP28" s="108">
        <v>139.93010606060605</v>
      </c>
      <c r="AQ28" s="110">
        <v>29.658620772946861</v>
      </c>
      <c r="AR28" s="107">
        <v>23.86778787878788</v>
      </c>
      <c r="AS28" s="108">
        <v>25.684318181818185</v>
      </c>
      <c r="AT28" s="108">
        <v>35.567798481711527</v>
      </c>
      <c r="AU28" s="110">
        <v>28.497030303030304</v>
      </c>
      <c r="AV28" s="107">
        <v>617.62705797101444</v>
      </c>
      <c r="AW28" s="108">
        <v>44.778787878787881</v>
      </c>
      <c r="AX28" s="108">
        <v>52.97862481962482</v>
      </c>
      <c r="AY28" s="110">
        <v>52.74219461697723</v>
      </c>
      <c r="AZ28" s="107">
        <v>44.875738095238091</v>
      </c>
      <c r="BA28" s="108">
        <v>110.32805916305915</v>
      </c>
      <c r="BB28" s="108">
        <v>129.2306304347826</v>
      </c>
      <c r="BC28" s="110">
        <v>58.078888888888891</v>
      </c>
      <c r="BD28" s="107">
        <v>29.833974323062552</v>
      </c>
      <c r="BE28" s="108">
        <v>65.638397382344749</v>
      </c>
      <c r="BF28" s="108">
        <v>192.10316123188406</v>
      </c>
      <c r="BG28" s="109">
        <v>35.746974380395436</v>
      </c>
      <c r="BH28" s="107">
        <v>33.243380952380953</v>
      </c>
      <c r="BI28" s="108">
        <v>45.659232804232801</v>
      </c>
      <c r="BJ28" s="108">
        <v>48.01688552188552</v>
      </c>
      <c r="BK28" s="109">
        <v>46.419999999999995</v>
      </c>
      <c r="BL28" s="107">
        <v>56.858333333333327</v>
      </c>
      <c r="BM28" s="108">
        <v>54.5</v>
      </c>
      <c r="BN28" s="108">
        <v>86.116666666666674</v>
      </c>
      <c r="BO28" s="109">
        <v>49.286666666666669</v>
      </c>
      <c r="BP28" s="107">
        <v>62.276666666666664</v>
      </c>
      <c r="BQ28" s="108">
        <v>52.096666666666664</v>
      </c>
      <c r="BR28" s="108">
        <v>82.22</v>
      </c>
      <c r="BS28" s="109">
        <v>44.693333333333335</v>
      </c>
      <c r="BT28" s="107">
        <v>69.807500000000005</v>
      </c>
      <c r="BU28" s="111"/>
      <c r="BV28" s="111"/>
      <c r="BW28" s="26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</row>
    <row r="29" spans="1:90" x14ac:dyDescent="0.25">
      <c r="A29" s="9"/>
      <c r="B29" s="9"/>
      <c r="C29" s="3" t="s">
        <v>17</v>
      </c>
      <c r="D29" s="3"/>
      <c r="E29" s="43"/>
      <c r="F29" s="20" t="s">
        <v>76</v>
      </c>
      <c r="G29" s="20" t="s">
        <v>169</v>
      </c>
      <c r="H29" s="107">
        <v>47.121192201518284</v>
      </c>
      <c r="I29" s="108">
        <v>42.307611832611833</v>
      </c>
      <c r="J29" s="108">
        <v>121.21054658385093</v>
      </c>
      <c r="K29" s="109">
        <v>30.550634920634923</v>
      </c>
      <c r="L29" s="108">
        <v>25.245151515151516</v>
      </c>
      <c r="M29" s="108">
        <v>36.894307359307362</v>
      </c>
      <c r="N29" s="108">
        <v>41.976915477098544</v>
      </c>
      <c r="O29" s="108">
        <v>31.584970324361631</v>
      </c>
      <c r="P29" s="107">
        <v>30.326139249639251</v>
      </c>
      <c r="Q29" s="108">
        <v>39.435909090909092</v>
      </c>
      <c r="R29" s="108">
        <v>40.554787878787877</v>
      </c>
      <c r="S29" s="108">
        <v>35.332714975845413</v>
      </c>
      <c r="T29" s="107">
        <v>58.549633477633478</v>
      </c>
      <c r="U29" s="108">
        <v>43.898225108225112</v>
      </c>
      <c r="V29" s="108">
        <v>42.47286435786436</v>
      </c>
      <c r="W29" s="109">
        <v>37.987882601761321</v>
      </c>
      <c r="X29" s="107">
        <v>28.966223665223666</v>
      </c>
      <c r="Y29" s="108">
        <v>27.173424242424243</v>
      </c>
      <c r="Z29" s="108">
        <v>44.603298826777092</v>
      </c>
      <c r="AA29" s="109">
        <v>22.352227272727273</v>
      </c>
      <c r="AB29" s="107">
        <v>19.666327467218775</v>
      </c>
      <c r="AC29" s="108">
        <v>24.212647907647906</v>
      </c>
      <c r="AD29" s="108">
        <v>33.038720841959972</v>
      </c>
      <c r="AE29" s="109">
        <v>26.915079365079364</v>
      </c>
      <c r="AF29" s="107">
        <v>23.530602108036891</v>
      </c>
      <c r="AG29" s="108">
        <v>26.756243083003952</v>
      </c>
      <c r="AH29" s="108">
        <v>31.172035886818495</v>
      </c>
      <c r="AI29" s="110">
        <v>24.191666666666666</v>
      </c>
      <c r="AJ29" s="107">
        <v>33.263863636363631</v>
      </c>
      <c r="AK29" s="108">
        <v>37.012236652236652</v>
      </c>
      <c r="AL29" s="108">
        <v>61.0366594021285</v>
      </c>
      <c r="AM29" s="110">
        <v>34.389870255348519</v>
      </c>
      <c r="AN29" s="107">
        <v>28.408819624819625</v>
      </c>
      <c r="AO29" s="108">
        <v>28.332515151515153</v>
      </c>
      <c r="AP29" s="108">
        <v>139.77860606060608</v>
      </c>
      <c r="AQ29" s="110">
        <v>28.401929261559697</v>
      </c>
      <c r="AR29" s="107">
        <v>23.411484848484847</v>
      </c>
      <c r="AS29" s="108">
        <v>24.002363636363636</v>
      </c>
      <c r="AT29" s="108">
        <v>34.117784679089027</v>
      </c>
      <c r="AU29" s="110">
        <v>26.409606060606063</v>
      </c>
      <c r="AV29" s="107">
        <v>616.33680434782593</v>
      </c>
      <c r="AW29" s="108">
        <v>39.735909090909097</v>
      </c>
      <c r="AX29" s="108">
        <v>52.118875901875896</v>
      </c>
      <c r="AY29" s="110">
        <v>49.794354727398208</v>
      </c>
      <c r="AZ29" s="107">
        <v>42.725226017943413</v>
      </c>
      <c r="BA29" s="108">
        <v>83.186406926406931</v>
      </c>
      <c r="BB29" s="108">
        <v>130.4041231884058</v>
      </c>
      <c r="BC29" s="110">
        <v>54.665506822612087</v>
      </c>
      <c r="BD29" s="107">
        <v>28.419023342670403</v>
      </c>
      <c r="BE29" s="108">
        <v>60.695641882483983</v>
      </c>
      <c r="BF29" s="108">
        <v>190.38419746376812</v>
      </c>
      <c r="BG29" s="109">
        <v>34.224842662211081</v>
      </c>
      <c r="BH29" s="107">
        <v>33.074595238095235</v>
      </c>
      <c r="BI29" s="108">
        <v>40.452619047619045</v>
      </c>
      <c r="BJ29" s="108">
        <v>46.656313131313134</v>
      </c>
      <c r="BK29" s="109">
        <v>40.68</v>
      </c>
      <c r="BL29" s="107">
        <v>57.738333333333337</v>
      </c>
      <c r="BM29" s="108">
        <v>47.550000000000004</v>
      </c>
      <c r="BN29" s="108">
        <v>86.36333333333333</v>
      </c>
      <c r="BO29" s="109">
        <v>43.476666666666667</v>
      </c>
      <c r="BP29" s="107">
        <v>61.226666666666667</v>
      </c>
      <c r="BQ29" s="108">
        <v>47.543333333333329</v>
      </c>
      <c r="BR29" s="108">
        <v>78.78</v>
      </c>
      <c r="BS29" s="109">
        <v>39.619999999999997</v>
      </c>
      <c r="BT29" s="107">
        <v>72.577500000000001</v>
      </c>
      <c r="BU29" s="111"/>
      <c r="BV29" s="111"/>
      <c r="BW29" s="26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</row>
    <row r="30" spans="1:90" x14ac:dyDescent="0.25">
      <c r="A30" s="9"/>
      <c r="B30" s="9"/>
      <c r="C30" s="3" t="s">
        <v>18</v>
      </c>
      <c r="D30" s="3"/>
      <c r="E30" s="43"/>
      <c r="F30" s="20" t="s">
        <v>77</v>
      </c>
      <c r="G30" s="20" t="s">
        <v>170</v>
      </c>
      <c r="H30" s="107">
        <v>48.552580745341608</v>
      </c>
      <c r="I30" s="108">
        <v>42.863860028860024</v>
      </c>
      <c r="J30" s="108">
        <v>118.03929158040029</v>
      </c>
      <c r="K30" s="109">
        <v>31.501587301587303</v>
      </c>
      <c r="L30" s="108">
        <v>25.70785714285714</v>
      </c>
      <c r="M30" s="108">
        <v>36.668650793650791</v>
      </c>
      <c r="N30" s="108">
        <v>40.919159856162146</v>
      </c>
      <c r="O30" s="108">
        <v>32.611573153899236</v>
      </c>
      <c r="P30" s="107">
        <v>30.022885281385282</v>
      </c>
      <c r="Q30" s="108">
        <v>40.382393939393943</v>
      </c>
      <c r="R30" s="108">
        <v>41.15</v>
      </c>
      <c r="S30" s="108">
        <v>36.901423740510694</v>
      </c>
      <c r="T30" s="107">
        <v>57.654835497835499</v>
      </c>
      <c r="U30" s="108">
        <v>44.606933621933621</v>
      </c>
      <c r="V30" s="108">
        <v>43.45064935064935</v>
      </c>
      <c r="W30" s="109">
        <v>37.779490326607032</v>
      </c>
      <c r="X30" s="107">
        <v>28.846520923520924</v>
      </c>
      <c r="Y30" s="108">
        <v>27.983318181818181</v>
      </c>
      <c r="Z30" s="108">
        <v>45.16209109730849</v>
      </c>
      <c r="AA30" s="109">
        <v>23.348848484848485</v>
      </c>
      <c r="AB30" s="107">
        <v>19.788601794340924</v>
      </c>
      <c r="AC30" s="108">
        <v>25.422994227994227</v>
      </c>
      <c r="AD30" s="108">
        <v>34.085319530710834</v>
      </c>
      <c r="AE30" s="109">
        <v>29.578571428571426</v>
      </c>
      <c r="AF30" s="107">
        <v>26.240406455862978</v>
      </c>
      <c r="AG30" s="108">
        <v>31.657652832674575</v>
      </c>
      <c r="AH30" s="108">
        <v>33.395969634230504</v>
      </c>
      <c r="AI30" s="110">
        <v>27.406469696969697</v>
      </c>
      <c r="AJ30" s="107">
        <v>34.36210606060606</v>
      </c>
      <c r="AK30" s="108">
        <v>36.079552669552669</v>
      </c>
      <c r="AL30" s="108">
        <v>60.642647197704406</v>
      </c>
      <c r="AM30" s="110">
        <v>33.425697722567286</v>
      </c>
      <c r="AN30" s="107">
        <v>28.952184704184702</v>
      </c>
      <c r="AO30" s="108">
        <v>27.478318181818182</v>
      </c>
      <c r="AP30" s="108">
        <v>138.30477272727271</v>
      </c>
      <c r="AQ30" s="110">
        <v>28.838486887508626</v>
      </c>
      <c r="AR30" s="107">
        <v>23.300424242424242</v>
      </c>
      <c r="AS30" s="108">
        <v>24.113560606060606</v>
      </c>
      <c r="AT30" s="108">
        <v>33.098495514147686</v>
      </c>
      <c r="AU30" s="110">
        <v>27.098833333333332</v>
      </c>
      <c r="AV30" s="107">
        <v>612.47918115942025</v>
      </c>
      <c r="AW30" s="108">
        <v>39.127287878787875</v>
      </c>
      <c r="AX30" s="108">
        <v>50.339663059163058</v>
      </c>
      <c r="AY30" s="110">
        <v>48.041124913733604</v>
      </c>
      <c r="AZ30" s="107">
        <v>39.241324361628706</v>
      </c>
      <c r="BA30" s="108">
        <v>84.279300144300137</v>
      </c>
      <c r="BB30" s="108">
        <v>122.74847826086956</v>
      </c>
      <c r="BC30" s="110">
        <v>55.086695906432745</v>
      </c>
      <c r="BD30" s="107">
        <v>27.850406629318389</v>
      </c>
      <c r="BE30" s="108">
        <v>61.445821498189922</v>
      </c>
      <c r="BF30" s="108">
        <v>182.31917210144931</v>
      </c>
      <c r="BG30" s="109">
        <v>34.662017543859655</v>
      </c>
      <c r="BH30" s="107">
        <v>31.372873015873022</v>
      </c>
      <c r="BI30" s="108">
        <v>44.914894179894169</v>
      </c>
      <c r="BJ30" s="108">
        <v>45.439629629629628</v>
      </c>
      <c r="BK30" s="109">
        <v>44.120000000000005</v>
      </c>
      <c r="BL30" s="107">
        <v>53.754999999999995</v>
      </c>
      <c r="BM30" s="108">
        <v>54.633333333333333</v>
      </c>
      <c r="BN30" s="108">
        <v>82.933333333333337</v>
      </c>
      <c r="BO30" s="109">
        <v>47.79666666666666</v>
      </c>
      <c r="BP30" s="107">
        <v>56.973333333333336</v>
      </c>
      <c r="BQ30" s="108">
        <v>50.626666666666665</v>
      </c>
      <c r="BR30" s="108">
        <v>72.63</v>
      </c>
      <c r="BS30" s="109">
        <v>43.01</v>
      </c>
      <c r="BT30" s="107">
        <v>68.967500000000001</v>
      </c>
      <c r="BU30" s="111"/>
      <c r="BV30" s="111"/>
      <c r="BW30" s="26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</row>
    <row r="31" spans="1:90" x14ac:dyDescent="0.25">
      <c r="A31" s="9"/>
      <c r="B31" s="9"/>
      <c r="C31" s="3" t="s">
        <v>19</v>
      </c>
      <c r="D31" s="3"/>
      <c r="E31" s="45"/>
      <c r="F31" s="20" t="s">
        <v>157</v>
      </c>
      <c r="G31" s="20" t="s">
        <v>186</v>
      </c>
      <c r="H31" s="107">
        <v>32.663358886346302</v>
      </c>
      <c r="I31" s="108">
        <v>36.830741019214706</v>
      </c>
      <c r="J31" s="108">
        <v>42.495681922196802</v>
      </c>
      <c r="K31" s="109">
        <v>33.267460317460319</v>
      </c>
      <c r="L31" s="108">
        <v>25.177772727272725</v>
      </c>
      <c r="M31" s="108">
        <v>26.110843434343433</v>
      </c>
      <c r="N31" s="108">
        <v>35.688963713631907</v>
      </c>
      <c r="O31" s="108">
        <v>30.851594202898553</v>
      </c>
      <c r="P31" s="107">
        <v>32.417417293233079</v>
      </c>
      <c r="Q31" s="108">
        <v>38.861090909090905</v>
      </c>
      <c r="R31" s="108">
        <v>40.912848484848489</v>
      </c>
      <c r="S31" s="108">
        <v>37.550814814814821</v>
      </c>
      <c r="T31" s="107">
        <v>48.285580618212201</v>
      </c>
      <c r="U31" s="108">
        <v>43.183047619047613</v>
      </c>
      <c r="V31" s="108">
        <v>42.577183261183258</v>
      </c>
      <c r="W31" s="109">
        <v>36.261014492753624</v>
      </c>
      <c r="X31" s="107">
        <v>25.045448963317384</v>
      </c>
      <c r="Y31" s="108">
        <v>27.170484126984125</v>
      </c>
      <c r="Z31" s="108">
        <v>32.405230880230881</v>
      </c>
      <c r="AA31" s="109">
        <v>23.792275132275133</v>
      </c>
      <c r="AB31" s="107">
        <v>19.077714513556618</v>
      </c>
      <c r="AC31" s="108">
        <v>23.08920634920635</v>
      </c>
      <c r="AD31" s="108">
        <v>34.484472049689437</v>
      </c>
      <c r="AE31" s="109">
        <v>25.20268588137009</v>
      </c>
      <c r="AF31" s="107">
        <v>23.137650648360033</v>
      </c>
      <c r="AG31" s="108">
        <v>33.210269360269358</v>
      </c>
      <c r="AH31" s="108">
        <v>43.38695454545455</v>
      </c>
      <c r="AI31" s="110">
        <v>30.439433305485935</v>
      </c>
      <c r="AJ31" s="107">
        <v>26.472130325814536</v>
      </c>
      <c r="AK31" s="108">
        <v>26.959252297410188</v>
      </c>
      <c r="AL31" s="108">
        <v>76.622672006102206</v>
      </c>
      <c r="AM31" s="110">
        <v>37.12746842952793</v>
      </c>
      <c r="AN31" s="107">
        <v>39.055278195488718</v>
      </c>
      <c r="AO31" s="108">
        <v>19.011936090225564</v>
      </c>
      <c r="AP31" s="108">
        <v>39.936530303030302</v>
      </c>
      <c r="AQ31" s="110">
        <v>32.425937198067629</v>
      </c>
      <c r="AR31" s="107">
        <v>18.955659983291564</v>
      </c>
      <c r="AS31" s="108">
        <v>19.493791486291485</v>
      </c>
      <c r="AT31" s="108">
        <v>115.50586580086581</v>
      </c>
      <c r="AU31" s="110">
        <v>34.796089466089462</v>
      </c>
      <c r="AV31" s="107">
        <v>41.936003051106027</v>
      </c>
      <c r="AW31" s="108">
        <v>72.473729399255717</v>
      </c>
      <c r="AX31" s="108">
        <v>83.255526695526683</v>
      </c>
      <c r="AY31" s="110">
        <v>48.465750208855468</v>
      </c>
      <c r="AZ31" s="107">
        <v>38.144971777269262</v>
      </c>
      <c r="BA31" s="108">
        <v>69.655007936507943</v>
      </c>
      <c r="BB31" s="108">
        <v>137.98381884057972</v>
      </c>
      <c r="BC31" s="110">
        <v>125.69961319966585</v>
      </c>
      <c r="BD31" s="107">
        <v>90.187020213577412</v>
      </c>
      <c r="BE31" s="108">
        <v>44.427911445279868</v>
      </c>
      <c r="BF31" s="108">
        <v>99.911398550724641</v>
      </c>
      <c r="BG31" s="109">
        <v>51.030568086883875</v>
      </c>
      <c r="BH31" s="107">
        <v>38.254964494569755</v>
      </c>
      <c r="BI31" s="108">
        <v>22.436315789473685</v>
      </c>
      <c r="BJ31" s="108">
        <v>73.99388888888889</v>
      </c>
      <c r="BK31" s="109">
        <v>46.419999999999995</v>
      </c>
      <c r="BL31" s="107">
        <v>47.794999999999995</v>
      </c>
      <c r="BM31" s="108">
        <v>31.386666666666667</v>
      </c>
      <c r="BN31" s="108">
        <v>105.61666666666667</v>
      </c>
      <c r="BO31" s="109">
        <v>53.6</v>
      </c>
      <c r="BP31" s="107">
        <v>50.629999999999995</v>
      </c>
      <c r="BQ31" s="108">
        <v>29.053333333333331</v>
      </c>
      <c r="BR31" s="108">
        <v>112.61</v>
      </c>
      <c r="BS31" s="109">
        <v>55.773333333333333</v>
      </c>
      <c r="BT31" s="107">
        <v>63.377499999999998</v>
      </c>
      <c r="BU31" s="111"/>
      <c r="BV31" s="111"/>
      <c r="BW31" s="26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</row>
    <row r="32" spans="1:90" x14ac:dyDescent="0.25">
      <c r="A32" s="9"/>
      <c r="B32" s="9"/>
      <c r="C32" s="3" t="s">
        <v>20</v>
      </c>
      <c r="D32" s="3"/>
      <c r="E32" s="43"/>
      <c r="F32" s="20" t="s">
        <v>97</v>
      </c>
      <c r="G32" s="20" t="s">
        <v>171</v>
      </c>
      <c r="H32" s="107">
        <v>36.16806598016781</v>
      </c>
      <c r="I32" s="108">
        <v>36.805018379281535</v>
      </c>
      <c r="J32" s="108">
        <v>41.914982456140343</v>
      </c>
      <c r="K32" s="109">
        <v>34.048980785296578</v>
      </c>
      <c r="L32" s="108">
        <v>27.603166666666667</v>
      </c>
      <c r="M32" s="108">
        <v>31.034534632034632</v>
      </c>
      <c r="N32" s="108">
        <v>41.873407431622532</v>
      </c>
      <c r="O32" s="108">
        <v>40.712124108224522</v>
      </c>
      <c r="P32" s="107">
        <v>48.445362433862435</v>
      </c>
      <c r="Q32" s="108">
        <v>52.271924242424241</v>
      </c>
      <c r="R32" s="108">
        <v>48.6860909090909</v>
      </c>
      <c r="S32" s="108">
        <v>46.791283371472161</v>
      </c>
      <c r="T32" s="107">
        <v>57.916716791979944</v>
      </c>
      <c r="U32" s="108">
        <v>52.101349206349205</v>
      </c>
      <c r="V32" s="108">
        <v>52.007852965747702</v>
      </c>
      <c r="W32" s="109">
        <v>47.052028985507242</v>
      </c>
      <c r="X32" s="107">
        <v>33.261517027863782</v>
      </c>
      <c r="Y32" s="108">
        <v>32.666683982683985</v>
      </c>
      <c r="Z32" s="108">
        <v>38.551370851370848</v>
      </c>
      <c r="AA32" s="109">
        <v>31.887063492063493</v>
      </c>
      <c r="AB32" s="107">
        <v>25.000727272727275</v>
      </c>
      <c r="AC32" s="108">
        <v>25.547864357864356</v>
      </c>
      <c r="AD32" s="108">
        <v>37.905858178053826</v>
      </c>
      <c r="AE32" s="109">
        <v>34.949522826674531</v>
      </c>
      <c r="AF32" s="107">
        <v>29.066596745486908</v>
      </c>
      <c r="AG32" s="108">
        <v>32.579288119288115</v>
      </c>
      <c r="AH32" s="108">
        <v>47.457706349206347</v>
      </c>
      <c r="AI32" s="110">
        <v>47.836729751729756</v>
      </c>
      <c r="AJ32" s="107">
        <v>37.45354824561403</v>
      </c>
      <c r="AK32" s="108">
        <v>29.095850877192984</v>
      </c>
      <c r="AL32" s="108">
        <v>81.09576524644946</v>
      </c>
      <c r="AM32" s="110">
        <v>54.488541062801936</v>
      </c>
      <c r="AN32" s="107">
        <v>52.206183375104423</v>
      </c>
      <c r="AO32" s="108">
        <v>24.403190476190478</v>
      </c>
      <c r="AP32" s="108">
        <v>38.50418181818182</v>
      </c>
      <c r="AQ32" s="110">
        <v>42.478431561996778</v>
      </c>
      <c r="AR32" s="107">
        <v>28.817482142857141</v>
      </c>
      <c r="AS32" s="108">
        <v>21.076397660818714</v>
      </c>
      <c r="AT32" s="108">
        <v>72.96054329004329</v>
      </c>
      <c r="AU32" s="110">
        <v>42.695293650793644</v>
      </c>
      <c r="AV32" s="107">
        <v>47.607101000583299</v>
      </c>
      <c r="AW32" s="108">
        <v>43.744720893141938</v>
      </c>
      <c r="AX32" s="108">
        <v>75.448412698412696</v>
      </c>
      <c r="AY32" s="110">
        <v>62.261228070175434</v>
      </c>
      <c r="AZ32" s="107">
        <v>45.508017429193899</v>
      </c>
      <c r="BA32" s="108">
        <v>63.46270634920635</v>
      </c>
      <c r="BB32" s="108">
        <v>114.65768688024407</v>
      </c>
      <c r="BC32" s="110">
        <v>135.68897089947089</v>
      </c>
      <c r="BD32" s="107">
        <v>93.542285714285711</v>
      </c>
      <c r="BE32" s="108">
        <v>33.459898913951548</v>
      </c>
      <c r="BF32" s="108">
        <v>70.281079710144923</v>
      </c>
      <c r="BG32" s="109">
        <v>51.366866028708131</v>
      </c>
      <c r="BH32" s="107">
        <v>33.590166666666669</v>
      </c>
      <c r="BI32" s="108">
        <v>10.167919799498748</v>
      </c>
      <c r="BJ32" s="108">
        <v>52.064511784511787</v>
      </c>
      <c r="BK32" s="109">
        <v>45.396666666666668</v>
      </c>
      <c r="BL32" s="107">
        <v>43.854999999999997</v>
      </c>
      <c r="BM32" s="108">
        <v>17.25</v>
      </c>
      <c r="BN32" s="108">
        <v>65.320000000000007</v>
      </c>
      <c r="BO32" s="109">
        <v>55.19</v>
      </c>
      <c r="BP32" s="107">
        <v>52.186666666666667</v>
      </c>
      <c r="BQ32" s="108">
        <v>16.39</v>
      </c>
      <c r="BR32" s="108">
        <v>67.773333333333326</v>
      </c>
      <c r="BS32" s="109">
        <v>57.286666666666669</v>
      </c>
      <c r="BT32" s="107">
        <v>65.527500000000003</v>
      </c>
      <c r="BU32" s="111"/>
      <c r="BV32" s="111"/>
      <c r="BW32" s="26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</row>
    <row r="33" spans="1:90" x14ac:dyDescent="0.25">
      <c r="A33" s="9"/>
      <c r="B33" s="9"/>
      <c r="C33" s="3" t="s">
        <v>21</v>
      </c>
      <c r="D33" s="3"/>
      <c r="E33" s="43"/>
      <c r="F33" s="20" t="s">
        <v>98</v>
      </c>
      <c r="G33" s="20" t="s">
        <v>172</v>
      </c>
      <c r="H33" s="107">
        <v>35.648116250221513</v>
      </c>
      <c r="I33" s="108">
        <v>34.741754385964917</v>
      </c>
      <c r="J33" s="108">
        <v>39.454583877995645</v>
      </c>
      <c r="K33" s="109">
        <v>35.080000000000005</v>
      </c>
      <c r="L33" s="108">
        <v>27.030287037037038</v>
      </c>
      <c r="M33" s="108">
        <v>26.672527233115463</v>
      </c>
      <c r="N33" s="108">
        <v>37.800419871794873</v>
      </c>
      <c r="O33" s="108">
        <v>39.228613636363633</v>
      </c>
      <c r="P33" s="107">
        <v>41.066619047619049</v>
      </c>
      <c r="Q33" s="108">
        <v>45.098592592592588</v>
      </c>
      <c r="R33" s="108">
        <v>46.408107662318194</v>
      </c>
      <c r="S33" s="108">
        <v>46.985105820105815</v>
      </c>
      <c r="T33" s="107">
        <v>58.022955541190839</v>
      </c>
      <c r="U33" s="108">
        <v>52.969525054466231</v>
      </c>
      <c r="V33" s="108">
        <v>51.274590811965815</v>
      </c>
      <c r="W33" s="109">
        <v>48.420045454545459</v>
      </c>
      <c r="X33" s="107">
        <v>34.347026143790849</v>
      </c>
      <c r="Y33" s="108">
        <v>37.806163292847508</v>
      </c>
      <c r="Z33" s="108">
        <v>39.717314814814813</v>
      </c>
      <c r="AA33" s="109">
        <v>33.37970732970733</v>
      </c>
      <c r="AB33" s="107">
        <v>26.381703703703703</v>
      </c>
      <c r="AC33" s="108">
        <v>27.5707671957672</v>
      </c>
      <c r="AD33" s="108">
        <v>38.791110731373891</v>
      </c>
      <c r="AE33" s="109">
        <v>37.6602380952381</v>
      </c>
      <c r="AF33" s="107">
        <v>31.80037037037037</v>
      </c>
      <c r="AG33" s="108">
        <v>40.633227513227517</v>
      </c>
      <c r="AH33" s="108">
        <v>59.176759259259256</v>
      </c>
      <c r="AI33" s="110">
        <v>51.672666666666665</v>
      </c>
      <c r="AJ33" s="107">
        <v>38.411666666666669</v>
      </c>
      <c r="AK33" s="108">
        <v>34.947499999999998</v>
      </c>
      <c r="AL33" s="108">
        <v>114.650125</v>
      </c>
      <c r="AM33" s="110">
        <v>66.938571428571436</v>
      </c>
      <c r="AN33" s="107">
        <v>69.35733333333333</v>
      </c>
      <c r="AO33" s="108">
        <v>27.761666666666667</v>
      </c>
      <c r="AP33" s="108">
        <v>44.573388888888893</v>
      </c>
      <c r="AQ33" s="110">
        <v>39.654444444444444</v>
      </c>
      <c r="AR33" s="107">
        <v>30.372500000000002</v>
      </c>
      <c r="AS33" s="108">
        <v>27.987777777777779</v>
      </c>
      <c r="AT33" s="108">
        <v>74.903492063492067</v>
      </c>
      <c r="AU33" s="110">
        <v>47.048749999999998</v>
      </c>
      <c r="AV33" s="107">
        <v>56.639925925925922</v>
      </c>
      <c r="AW33" s="108">
        <v>57.289191919191921</v>
      </c>
      <c r="AX33" s="108">
        <v>105.22222222222223</v>
      </c>
      <c r="AY33" s="110">
        <v>63.010444444444452</v>
      </c>
      <c r="AZ33" s="107">
        <v>52.139141414141413</v>
      </c>
      <c r="BA33" s="108">
        <v>79.745277777777787</v>
      </c>
      <c r="BB33" s="108">
        <v>150.26107142857143</v>
      </c>
      <c r="BC33" s="110">
        <v>163.64400000000001</v>
      </c>
      <c r="BD33" s="107">
        <v>111.64578754578754</v>
      </c>
      <c r="BE33" s="108">
        <v>36.467999999999996</v>
      </c>
      <c r="BF33" s="108">
        <v>68.684134199134192</v>
      </c>
      <c r="BG33" s="109">
        <v>65.968611111111116</v>
      </c>
      <c r="BH33" s="107">
        <v>52.564794871794874</v>
      </c>
      <c r="BI33" s="108">
        <v>25.727333333333331</v>
      </c>
      <c r="BJ33" s="108">
        <v>61.798833333333334</v>
      </c>
      <c r="BK33" s="109">
        <v>57.413333333333334</v>
      </c>
      <c r="BL33" s="107">
        <v>61.664999999999999</v>
      </c>
      <c r="BM33" s="108">
        <v>35.136666666666663</v>
      </c>
      <c r="BN33" s="108">
        <v>66.61666666666666</v>
      </c>
      <c r="BO33" s="109">
        <v>70.643333333333331</v>
      </c>
      <c r="BP33" s="107">
        <v>70.23</v>
      </c>
      <c r="BQ33" s="108">
        <v>34.473333333333336</v>
      </c>
      <c r="BR33" s="108">
        <v>69.766666666666666</v>
      </c>
      <c r="BS33" s="109">
        <v>71.31</v>
      </c>
      <c r="BT33" s="107">
        <v>86.317499999999995</v>
      </c>
      <c r="BU33" s="111"/>
      <c r="BV33" s="111"/>
      <c r="BW33" s="26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</row>
    <row r="34" spans="1:90" x14ac:dyDescent="0.25">
      <c r="A34" s="9"/>
      <c r="B34" s="9"/>
      <c r="C34" s="3" t="s">
        <v>22</v>
      </c>
      <c r="D34" s="3"/>
      <c r="E34" s="3"/>
      <c r="F34" s="20" t="s">
        <v>99</v>
      </c>
      <c r="G34" s="20" t="s">
        <v>173</v>
      </c>
      <c r="H34" s="107">
        <v>26.153838291380623</v>
      </c>
      <c r="I34" s="108">
        <v>27.545892230576442</v>
      </c>
      <c r="J34" s="108">
        <v>33.42646910755149</v>
      </c>
      <c r="K34" s="109">
        <v>30.966090225563914</v>
      </c>
      <c r="L34" s="108">
        <v>22.937848484848484</v>
      </c>
      <c r="M34" s="108">
        <v>11.904954545454546</v>
      </c>
      <c r="N34" s="108">
        <v>26.789991645781118</v>
      </c>
      <c r="O34" s="108">
        <v>29.209679633867278</v>
      </c>
      <c r="P34" s="107">
        <v>30.288629908103591</v>
      </c>
      <c r="Q34" s="108">
        <v>33.695090909090908</v>
      </c>
      <c r="R34" s="108">
        <v>41.494999999999997</v>
      </c>
      <c r="S34" s="108">
        <v>44.138512077294685</v>
      </c>
      <c r="T34" s="107">
        <v>48.59852965747703</v>
      </c>
      <c r="U34" s="108">
        <v>34.355944444444447</v>
      </c>
      <c r="V34" s="108">
        <v>40.489533910533915</v>
      </c>
      <c r="W34" s="109">
        <v>33.020434376649206</v>
      </c>
      <c r="X34" s="107">
        <v>20.286055023923442</v>
      </c>
      <c r="Y34" s="108">
        <v>29.383735209235212</v>
      </c>
      <c r="Z34" s="108">
        <v>31.853174603174605</v>
      </c>
      <c r="AA34" s="109">
        <v>22.297169312169313</v>
      </c>
      <c r="AB34" s="107">
        <v>17.410492025518341</v>
      </c>
      <c r="AC34" s="108">
        <v>16.611746031746033</v>
      </c>
      <c r="AD34" s="108">
        <v>31.357915113871638</v>
      </c>
      <c r="AE34" s="109">
        <v>26.233267752715122</v>
      </c>
      <c r="AF34" s="107">
        <v>22.729313501144162</v>
      </c>
      <c r="AG34" s="108">
        <v>16.139612794612795</v>
      </c>
      <c r="AH34" s="108">
        <v>38.049893939393939</v>
      </c>
      <c r="AI34" s="110">
        <v>26.880625174046227</v>
      </c>
      <c r="AJ34" s="107">
        <v>21.59125313283208</v>
      </c>
      <c r="AK34" s="108">
        <v>16.181652046783626</v>
      </c>
      <c r="AL34" s="108">
        <v>61.16033981693365</v>
      </c>
      <c r="AM34" s="110">
        <v>50.596586998898211</v>
      </c>
      <c r="AN34" s="107">
        <v>69.486500000000007</v>
      </c>
      <c r="AO34" s="108">
        <v>17.759044695071012</v>
      </c>
      <c r="AP34" s="108">
        <v>31.795090909090913</v>
      </c>
      <c r="AQ34" s="110">
        <v>35.667524154589373</v>
      </c>
      <c r="AR34" s="107">
        <v>22.444545834282678</v>
      </c>
      <c r="AS34" s="108">
        <v>13.248720779220781</v>
      </c>
      <c r="AT34" s="108">
        <v>33.266204906204905</v>
      </c>
      <c r="AU34" s="110">
        <v>30.148511303511302</v>
      </c>
      <c r="AV34" s="107">
        <v>34.196971777269262</v>
      </c>
      <c r="AW34" s="108">
        <v>51.956731221994382</v>
      </c>
      <c r="AX34" s="108">
        <v>90.933455988455989</v>
      </c>
      <c r="AY34" s="110">
        <v>58.887995822890559</v>
      </c>
      <c r="AZ34" s="107">
        <v>38.899802822273074</v>
      </c>
      <c r="BA34" s="108">
        <v>59.147325396825387</v>
      </c>
      <c r="BB34" s="108">
        <v>119.61197342995168</v>
      </c>
      <c r="BC34" s="110">
        <v>149.70493065998329</v>
      </c>
      <c r="BD34" s="107">
        <v>106.35344279176201</v>
      </c>
      <c r="BE34" s="108">
        <v>59.230467836257311</v>
      </c>
      <c r="BF34" s="108">
        <v>98.767391304347825</v>
      </c>
      <c r="BG34" s="109">
        <v>79.247671451355657</v>
      </c>
      <c r="BH34" s="107">
        <v>101.24320634920635</v>
      </c>
      <c r="BI34" s="108">
        <v>33.517838915470499</v>
      </c>
      <c r="BJ34" s="108">
        <v>69.116178451178442</v>
      </c>
      <c r="BK34" s="109">
        <v>76.459999999999994</v>
      </c>
      <c r="BL34" s="107">
        <v>83.131666666666675</v>
      </c>
      <c r="BM34" s="108">
        <v>34.963333333333331</v>
      </c>
      <c r="BN34" s="108">
        <v>104.56667</v>
      </c>
      <c r="BO34" s="109">
        <v>85.416666666666671</v>
      </c>
      <c r="BP34" s="107">
        <v>88.343336666666673</v>
      </c>
      <c r="BQ34" s="108">
        <v>32.653343333333332</v>
      </c>
      <c r="BR34" s="108">
        <v>109.15334000000001</v>
      </c>
      <c r="BS34" s="109">
        <v>86.143340000000009</v>
      </c>
      <c r="BT34" s="107">
        <v>93.947500000000005</v>
      </c>
      <c r="BU34" s="111"/>
      <c r="BV34" s="111"/>
      <c r="BW34" s="26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</row>
    <row r="35" spans="1:90" x14ac:dyDescent="0.25">
      <c r="A35" s="9"/>
      <c r="B35" s="9"/>
      <c r="C35" s="3" t="s">
        <v>23</v>
      </c>
      <c r="D35" s="3"/>
      <c r="E35" s="3"/>
      <c r="F35" s="20" t="s">
        <v>78</v>
      </c>
      <c r="G35" s="20" t="s">
        <v>174</v>
      </c>
      <c r="H35" s="107">
        <v>41.377194616977221</v>
      </c>
      <c r="I35" s="108">
        <v>37.158643578643584</v>
      </c>
      <c r="J35" s="108">
        <v>122.20415493443754</v>
      </c>
      <c r="K35" s="109">
        <v>26.450952380952383</v>
      </c>
      <c r="L35" s="108">
        <v>21.810281385281385</v>
      </c>
      <c r="M35" s="108">
        <v>36.74608225108225</v>
      </c>
      <c r="N35" s="108">
        <v>42.310074461516109</v>
      </c>
      <c r="O35" s="108">
        <v>31.183078329882676</v>
      </c>
      <c r="P35" s="107">
        <v>28.549800144300146</v>
      </c>
      <c r="Q35" s="108">
        <v>38.466378787878789</v>
      </c>
      <c r="R35" s="108">
        <v>42.409666666666666</v>
      </c>
      <c r="S35" s="108">
        <v>35.491639751552796</v>
      </c>
      <c r="T35" s="107">
        <v>58.865861471861471</v>
      </c>
      <c r="U35" s="108">
        <v>43.930822510822509</v>
      </c>
      <c r="V35" s="108">
        <v>42.234278499278503</v>
      </c>
      <c r="W35" s="109">
        <v>37.659233062894394</v>
      </c>
      <c r="X35" s="107">
        <v>29.054282828282826</v>
      </c>
      <c r="Y35" s="108">
        <v>27.265833333333333</v>
      </c>
      <c r="Z35" s="108">
        <v>44.698681849551413</v>
      </c>
      <c r="AA35" s="109">
        <v>22.190984848484849</v>
      </c>
      <c r="AB35" s="107">
        <v>19.092650793650794</v>
      </c>
      <c r="AC35" s="108">
        <v>23.348405483405486</v>
      </c>
      <c r="AD35" s="108">
        <v>32.943664596273294</v>
      </c>
      <c r="AE35" s="109">
        <v>27.139206349206347</v>
      </c>
      <c r="AF35" s="107">
        <v>22.479814229249012</v>
      </c>
      <c r="AG35" s="108">
        <v>25.649453227931488</v>
      </c>
      <c r="AH35" s="108">
        <v>30.489399585921323</v>
      </c>
      <c r="AI35" s="110">
        <v>23.914621212121215</v>
      </c>
      <c r="AJ35" s="107">
        <v>31.881151515151515</v>
      </c>
      <c r="AK35" s="108">
        <v>30.336471861471864</v>
      </c>
      <c r="AL35" s="108">
        <v>59.94892666448731</v>
      </c>
      <c r="AM35" s="110">
        <v>32.909213940648726</v>
      </c>
      <c r="AN35" s="107">
        <v>27.336385281385279</v>
      </c>
      <c r="AO35" s="108">
        <v>26.269484848484847</v>
      </c>
      <c r="AP35" s="108">
        <v>139.0513787878788</v>
      </c>
      <c r="AQ35" s="110">
        <v>26.153052795031055</v>
      </c>
      <c r="AR35" s="107">
        <v>21.982545454545455</v>
      </c>
      <c r="AS35" s="108">
        <v>22.402681818181819</v>
      </c>
      <c r="AT35" s="108">
        <v>33.277004830917875</v>
      </c>
      <c r="AU35" s="110">
        <v>22.044075757575758</v>
      </c>
      <c r="AV35" s="107">
        <v>614.3970652173914</v>
      </c>
      <c r="AW35" s="108">
        <v>35.573348484848488</v>
      </c>
      <c r="AX35" s="108">
        <v>48.403974747474741</v>
      </c>
      <c r="AY35" s="110">
        <v>40.644306418219465</v>
      </c>
      <c r="AZ35" s="107">
        <v>35.264289510006904</v>
      </c>
      <c r="BA35" s="108">
        <v>72.146825396825406</v>
      </c>
      <c r="BB35" s="108">
        <v>128.86673188405797</v>
      </c>
      <c r="BC35" s="110">
        <v>49.963927875243662</v>
      </c>
      <c r="BD35" s="107">
        <v>25.460595238095237</v>
      </c>
      <c r="BE35" s="108">
        <v>58.951555277081589</v>
      </c>
      <c r="BF35" s="108">
        <v>190.72976992753624</v>
      </c>
      <c r="BG35" s="109">
        <v>35.849230019493177</v>
      </c>
      <c r="BH35" s="107">
        <v>35.832484126984127</v>
      </c>
      <c r="BI35" s="108">
        <v>39.847010582010583</v>
      </c>
      <c r="BJ35" s="108">
        <v>48.80989898989899</v>
      </c>
      <c r="BK35" s="109">
        <v>46.363333333333337</v>
      </c>
      <c r="BL35" s="107">
        <v>57.821666666666665</v>
      </c>
      <c r="BM35" s="108">
        <v>50.706666666666671</v>
      </c>
      <c r="BN35" s="108">
        <v>83.533333333333331</v>
      </c>
      <c r="BO35" s="109">
        <v>52.383333333333326</v>
      </c>
      <c r="BP35" s="107">
        <v>61.933333333333337</v>
      </c>
      <c r="BQ35" s="108">
        <v>53.866666666666667</v>
      </c>
      <c r="BR35" s="108">
        <v>80.836666666666659</v>
      </c>
      <c r="BS35" s="109">
        <v>47.97</v>
      </c>
      <c r="BT35" s="107">
        <v>73.912499999999994</v>
      </c>
      <c r="BU35" s="111"/>
      <c r="BV35" s="111"/>
      <c r="BW35" s="26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</row>
    <row r="36" spans="1:90" x14ac:dyDescent="0.25">
      <c r="A36" s="9"/>
      <c r="B36" s="9"/>
      <c r="C36" s="3"/>
      <c r="D36" s="3"/>
      <c r="E36" s="3"/>
      <c r="F36" s="20"/>
      <c r="G36" s="20"/>
      <c r="H36" s="107"/>
      <c r="I36" s="108"/>
      <c r="J36" s="108"/>
      <c r="K36" s="109"/>
      <c r="L36" s="107"/>
      <c r="M36" s="108"/>
      <c r="N36" s="108"/>
      <c r="O36" s="108"/>
      <c r="P36" s="107"/>
      <c r="Q36" s="108"/>
      <c r="R36" s="108"/>
      <c r="S36" s="109"/>
      <c r="T36" s="108"/>
      <c r="U36" s="108"/>
      <c r="V36" s="108"/>
      <c r="W36" s="109"/>
      <c r="X36" s="108"/>
      <c r="Y36" s="108"/>
      <c r="Z36" s="108"/>
      <c r="AA36" s="109"/>
      <c r="AB36" s="108"/>
      <c r="AC36" s="108"/>
      <c r="AD36" s="108"/>
      <c r="AE36" s="109"/>
      <c r="AF36" s="108"/>
      <c r="AG36" s="108"/>
      <c r="AH36" s="108"/>
      <c r="AI36" s="110"/>
      <c r="AJ36" s="108"/>
      <c r="AK36" s="108"/>
      <c r="AL36" s="108"/>
      <c r="AM36" s="110"/>
      <c r="AN36" s="108"/>
      <c r="AO36" s="108"/>
      <c r="AP36" s="108"/>
      <c r="AQ36" s="110"/>
      <c r="AR36" s="108"/>
      <c r="AS36" s="108"/>
      <c r="AT36" s="108"/>
      <c r="AU36" s="110"/>
      <c r="AV36" s="108"/>
      <c r="AW36" s="108"/>
      <c r="AX36" s="108"/>
      <c r="AY36" s="110"/>
      <c r="AZ36" s="108"/>
      <c r="BA36" s="108"/>
      <c r="BB36" s="108"/>
      <c r="BC36" s="110"/>
      <c r="BD36" s="108"/>
      <c r="BE36" s="108"/>
      <c r="BF36" s="108"/>
      <c r="BG36" s="109"/>
      <c r="BH36" s="108"/>
      <c r="BI36" s="111"/>
      <c r="BJ36" s="111"/>
      <c r="BK36" s="112"/>
      <c r="BL36" s="111"/>
      <c r="BM36" s="111"/>
      <c r="BN36" s="111"/>
      <c r="BO36" s="112"/>
      <c r="BP36" s="111"/>
      <c r="BQ36" s="111"/>
      <c r="BR36" s="111"/>
      <c r="BS36" s="26"/>
      <c r="BT36" s="111"/>
      <c r="BU36" s="111"/>
      <c r="BV36" s="111"/>
      <c r="BW36" s="26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</row>
    <row r="37" spans="1:90" x14ac:dyDescent="0.25">
      <c r="A37" s="9"/>
      <c r="B37" s="9"/>
      <c r="C37" s="1" t="s">
        <v>24</v>
      </c>
      <c r="D37" s="41"/>
      <c r="E37" s="41"/>
      <c r="F37" s="78"/>
      <c r="G37" s="78"/>
      <c r="H37" s="114"/>
      <c r="I37" s="93"/>
      <c r="J37" s="93"/>
      <c r="K37" s="94"/>
      <c r="L37" s="114"/>
      <c r="M37" s="93"/>
      <c r="N37" s="93"/>
      <c r="O37" s="93"/>
      <c r="P37" s="92"/>
      <c r="Q37" s="115"/>
      <c r="R37" s="115"/>
      <c r="S37" s="117"/>
      <c r="T37" s="115"/>
      <c r="U37" s="115"/>
      <c r="V37" s="115"/>
      <c r="W37" s="117"/>
      <c r="X37" s="115"/>
      <c r="Y37" s="118"/>
      <c r="Z37" s="118"/>
      <c r="AA37" s="119"/>
      <c r="AB37" s="115"/>
      <c r="AC37" s="118"/>
      <c r="AD37" s="118"/>
      <c r="AE37" s="119"/>
      <c r="AF37" s="115"/>
      <c r="AG37" s="118"/>
      <c r="AH37" s="118"/>
      <c r="AI37" s="119"/>
      <c r="AJ37" s="115"/>
      <c r="AK37" s="118"/>
      <c r="AL37" s="118"/>
      <c r="AM37" s="119"/>
      <c r="AN37" s="115"/>
      <c r="AO37" s="118"/>
      <c r="AP37" s="118"/>
      <c r="AQ37" s="119"/>
      <c r="AR37" s="118"/>
      <c r="AS37" s="118"/>
      <c r="AT37" s="118"/>
      <c r="AU37" s="119"/>
      <c r="AV37" s="118"/>
      <c r="AW37" s="118"/>
      <c r="AX37" s="118"/>
      <c r="AY37" s="119"/>
      <c r="AZ37" s="118"/>
      <c r="BA37" s="118"/>
      <c r="BB37" s="118"/>
      <c r="BC37" s="119"/>
      <c r="BD37" s="121"/>
      <c r="BE37" s="121"/>
      <c r="BF37" s="121"/>
      <c r="BG37" s="122"/>
      <c r="BH37" s="118"/>
      <c r="BI37" s="118"/>
      <c r="BJ37" s="118"/>
      <c r="BK37" s="119"/>
      <c r="BL37" s="118"/>
      <c r="BM37" s="118"/>
      <c r="BN37" s="118"/>
      <c r="BO37" s="119"/>
      <c r="BP37" s="118"/>
      <c r="BQ37" s="118"/>
      <c r="BR37" s="118"/>
      <c r="BS37" s="36"/>
      <c r="BT37" s="118"/>
      <c r="BU37" s="118"/>
      <c r="BV37" s="118"/>
      <c r="BW37" s="36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</row>
    <row r="38" spans="1:90" x14ac:dyDescent="0.25">
      <c r="A38" s="9"/>
      <c r="B38" s="9"/>
      <c r="C38" s="3" t="s">
        <v>7</v>
      </c>
      <c r="D38" s="3"/>
      <c r="E38" s="3"/>
      <c r="F38" s="20" t="s">
        <v>158</v>
      </c>
      <c r="G38" s="20" t="s">
        <v>199</v>
      </c>
      <c r="H38" s="107">
        <v>51.296866359447002</v>
      </c>
      <c r="I38" s="108">
        <v>37.848691756272395</v>
      </c>
      <c r="J38" s="108">
        <v>39.487150537634413</v>
      </c>
      <c r="K38" s="109">
        <v>32.54365949820788</v>
      </c>
      <c r="L38" s="108">
        <v>27.603770856507229</v>
      </c>
      <c r="M38" s="108">
        <v>22.925189964157706</v>
      </c>
      <c r="N38" s="108">
        <v>30.909390681003583</v>
      </c>
      <c r="O38" s="108">
        <v>38.534706093189961</v>
      </c>
      <c r="P38" s="107">
        <v>73.472530721966208</v>
      </c>
      <c r="Q38" s="108">
        <v>34.163784946236554</v>
      </c>
      <c r="R38" s="108">
        <v>30.396476702508959</v>
      </c>
      <c r="S38" s="108">
        <v>50.455003584229388</v>
      </c>
      <c r="T38" s="107">
        <v>124.76260368663594</v>
      </c>
      <c r="U38" s="108">
        <v>32.368480286738354</v>
      </c>
      <c r="V38" s="108">
        <v>26.807985663082434</v>
      </c>
      <c r="W38" s="109">
        <v>31.098681003584232</v>
      </c>
      <c r="X38" s="107">
        <v>75.979220430107532</v>
      </c>
      <c r="Y38" s="108">
        <v>18.786734767025091</v>
      </c>
      <c r="Z38" s="108">
        <v>22.47921146953405</v>
      </c>
      <c r="AA38" s="109">
        <v>20.068053763440858</v>
      </c>
      <c r="AB38" s="107">
        <v>22.432013348164627</v>
      </c>
      <c r="AC38" s="108">
        <v>18.637881720430105</v>
      </c>
      <c r="AD38" s="108">
        <v>21.726508960573479</v>
      </c>
      <c r="AE38" s="109">
        <v>28.685555555555556</v>
      </c>
      <c r="AF38" s="107">
        <v>30.078360215053763</v>
      </c>
      <c r="AG38" s="108">
        <v>22.796591397849465</v>
      </c>
      <c r="AH38" s="108">
        <v>19.33909677419355</v>
      </c>
      <c r="AI38" s="110">
        <v>40.938265232974906</v>
      </c>
      <c r="AJ38" s="107">
        <v>55.177005376344091</v>
      </c>
      <c r="AK38" s="108">
        <v>27.375885304659494</v>
      </c>
      <c r="AL38" s="108">
        <v>30.551161290322582</v>
      </c>
      <c r="AM38" s="110">
        <v>41.079598566308242</v>
      </c>
      <c r="AN38" s="107">
        <v>39.050039426523291</v>
      </c>
      <c r="AO38" s="108">
        <v>21.593573476702506</v>
      </c>
      <c r="AP38" s="108">
        <v>21.001247311827957</v>
      </c>
      <c r="AQ38" s="110">
        <v>28.389189964157705</v>
      </c>
      <c r="AR38" s="107">
        <v>18.584808676307009</v>
      </c>
      <c r="AS38" s="108">
        <v>16.940093189964156</v>
      </c>
      <c r="AT38" s="108">
        <v>17.676243727598564</v>
      </c>
      <c r="AU38" s="110">
        <v>26.185519713261652</v>
      </c>
      <c r="AV38" s="107">
        <v>45.302378136200723</v>
      </c>
      <c r="AW38" s="108">
        <v>24.473648745519711</v>
      </c>
      <c r="AX38" s="108">
        <v>36.748724014336922</v>
      </c>
      <c r="AY38" s="110">
        <v>53.057878136200713</v>
      </c>
      <c r="AZ38" s="107">
        <v>101.5824539170507</v>
      </c>
      <c r="BA38" s="108">
        <v>65.072724014336913</v>
      </c>
      <c r="BB38" s="108">
        <v>74.159089852923003</v>
      </c>
      <c r="BC38" s="110">
        <v>72.748222222222225</v>
      </c>
      <c r="BD38" s="107">
        <v>44.912369431643619</v>
      </c>
      <c r="BE38" s="108">
        <v>25.16062724014337</v>
      </c>
      <c r="BF38" s="108">
        <v>29.893921146953403</v>
      </c>
      <c r="BG38" s="109">
        <v>30.864130824372761</v>
      </c>
      <c r="BH38" s="107">
        <v>36.943845454545453</v>
      </c>
      <c r="BI38" s="108">
        <v>24.162336093857832</v>
      </c>
      <c r="BJ38" s="108">
        <v>32.192444444444448</v>
      </c>
      <c r="BK38" s="109">
        <v>51.201000000000001</v>
      </c>
      <c r="BL38" s="107">
        <v>94.265166666666673</v>
      </c>
      <c r="BM38" s="108">
        <v>36.123333333333335</v>
      </c>
      <c r="BN38" s="108">
        <v>38.963999999999999</v>
      </c>
      <c r="BO38" s="109">
        <v>60.272333333333336</v>
      </c>
      <c r="BP38" s="107">
        <v>101.02666666666666</v>
      </c>
      <c r="BQ38" s="108">
        <v>33.723333333333329</v>
      </c>
      <c r="BR38" s="108">
        <v>39.921999999999997</v>
      </c>
      <c r="BS38" s="109">
        <v>55.945999999999998</v>
      </c>
      <c r="BT38" s="107">
        <v>111.46975</v>
      </c>
      <c r="BU38" s="108"/>
      <c r="BV38" s="111"/>
      <c r="BW38" s="26"/>
      <c r="BX38" s="29"/>
      <c r="BY38" s="29"/>
      <c r="BZ38" s="29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</row>
    <row r="39" spans="1:90" x14ac:dyDescent="0.25">
      <c r="A39" s="9"/>
      <c r="B39" s="9"/>
      <c r="C39" s="3" t="s">
        <v>8</v>
      </c>
      <c r="D39" s="3"/>
      <c r="E39" s="3"/>
      <c r="F39" s="20" t="s">
        <v>91</v>
      </c>
      <c r="G39" s="129"/>
      <c r="H39" s="107">
        <v>37.015069124423967</v>
      </c>
      <c r="I39" s="108">
        <v>33.03693548387097</v>
      </c>
      <c r="J39" s="108">
        <v>34.449724014336915</v>
      </c>
      <c r="K39" s="109">
        <v>29.639849462365593</v>
      </c>
      <c r="L39" s="108">
        <v>24.425698924731183</v>
      </c>
      <c r="M39" s="108">
        <v>21.27713620071685</v>
      </c>
      <c r="N39" s="108">
        <v>27.821741935483871</v>
      </c>
      <c r="O39" s="108">
        <v>30.951616487455198</v>
      </c>
      <c r="P39" s="107">
        <v>36.402914746543779</v>
      </c>
      <c r="Q39" s="108">
        <v>30.092949820788533</v>
      </c>
      <c r="R39" s="108">
        <v>28.360197132616488</v>
      </c>
      <c r="S39" s="108">
        <v>29.191344086021505</v>
      </c>
      <c r="T39" s="107">
        <v>73.608966973886325</v>
      </c>
      <c r="U39" s="108">
        <v>28.438014336917565</v>
      </c>
      <c r="V39" s="108">
        <v>23.904451612903227</v>
      </c>
      <c r="W39" s="109">
        <v>24.70758064516129</v>
      </c>
      <c r="X39" s="107">
        <v>41.495180491551459</v>
      </c>
      <c r="Y39" s="108">
        <v>16.511534050179211</v>
      </c>
      <c r="Z39" s="108">
        <v>18.533318996415773</v>
      </c>
      <c r="AA39" s="109">
        <v>13.724501792114694</v>
      </c>
      <c r="AB39" s="107">
        <v>13.645435669262142</v>
      </c>
      <c r="AC39" s="108">
        <v>15.967111111111114</v>
      </c>
      <c r="AD39" s="108">
        <v>20.191451612903226</v>
      </c>
      <c r="AE39" s="109">
        <v>17.049463601532565</v>
      </c>
      <c r="AF39" s="107">
        <v>21.517956989247313</v>
      </c>
      <c r="AG39" s="108">
        <v>13.98468458781362</v>
      </c>
      <c r="AH39" s="108">
        <v>17.366878136200715</v>
      </c>
      <c r="AI39" s="110">
        <v>18.383982202447161</v>
      </c>
      <c r="AJ39" s="107">
        <v>30.253559907834102</v>
      </c>
      <c r="AK39" s="108">
        <v>19.393164874551971</v>
      </c>
      <c r="AL39" s="108">
        <v>23.785501792114697</v>
      </c>
      <c r="AM39" s="110">
        <v>24.263853046594978</v>
      </c>
      <c r="AN39" s="107">
        <v>25.835810291858678</v>
      </c>
      <c r="AO39" s="108">
        <v>15.381756272401432</v>
      </c>
      <c r="AP39" s="108">
        <v>17.804562724014335</v>
      </c>
      <c r="AQ39" s="110">
        <v>15.128007168458781</v>
      </c>
      <c r="AR39" s="107">
        <v>12.538309232480534</v>
      </c>
      <c r="AS39" s="108">
        <v>11.616960573476703</v>
      </c>
      <c r="AT39" s="108">
        <v>15.923659498207885</v>
      </c>
      <c r="AU39" s="110">
        <v>12.439577060931901</v>
      </c>
      <c r="AV39" s="107">
        <v>20.969301075268817</v>
      </c>
      <c r="AW39" s="108">
        <v>13.704691756272402</v>
      </c>
      <c r="AX39" s="108">
        <v>28.654878136200718</v>
      </c>
      <c r="AY39" s="110">
        <v>32.506526881720433</v>
      </c>
      <c r="AZ39" s="107">
        <v>57.527753456221198</v>
      </c>
      <c r="BA39" s="108">
        <v>34.845132616487454</v>
      </c>
      <c r="BB39" s="108">
        <v>61.289139784946236</v>
      </c>
      <c r="BC39" s="110">
        <v>39.340403225806448</v>
      </c>
      <c r="BD39" s="107">
        <v>24.906616743471584</v>
      </c>
      <c r="BE39" s="108">
        <v>17.411095785440612</v>
      </c>
      <c r="BF39" s="108">
        <v>23.580645161290324</v>
      </c>
      <c r="BG39" s="109">
        <v>23.395566431837846</v>
      </c>
      <c r="BH39" s="107">
        <v>30.117890248424175</v>
      </c>
      <c r="BI39" s="108">
        <v>22.309888888888889</v>
      </c>
      <c r="BJ39" s="108">
        <v>27.677468982630273</v>
      </c>
      <c r="BK39" s="109"/>
      <c r="BL39" s="107"/>
      <c r="BM39" s="108"/>
      <c r="BN39" s="108"/>
      <c r="BO39" s="109"/>
      <c r="BP39" s="107"/>
      <c r="BQ39" s="108"/>
      <c r="BR39" s="108"/>
      <c r="BS39" s="109"/>
      <c r="BT39" s="107"/>
      <c r="BU39" s="111"/>
      <c r="BV39" s="111"/>
      <c r="BW39" s="26"/>
      <c r="BX39" s="29"/>
      <c r="BY39" s="29"/>
      <c r="BZ39" s="29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</row>
    <row r="40" spans="1:90" x14ac:dyDescent="0.25">
      <c r="A40" s="9"/>
      <c r="B40" s="9"/>
      <c r="C40" s="3" t="s">
        <v>9</v>
      </c>
      <c r="F40" s="20" t="s">
        <v>112</v>
      </c>
      <c r="G40" s="20" t="s">
        <v>175</v>
      </c>
      <c r="H40" s="107">
        <v>49.910437788018434</v>
      </c>
      <c r="I40" s="108">
        <v>38.232143369175624</v>
      </c>
      <c r="J40" s="108">
        <v>39.817551971326168</v>
      </c>
      <c r="K40" s="109">
        <v>32.494935483870968</v>
      </c>
      <c r="L40" s="108">
        <v>28.503889506859469</v>
      </c>
      <c r="M40" s="108">
        <v>23.434831541218639</v>
      </c>
      <c r="N40" s="108">
        <v>30.544663082437278</v>
      </c>
      <c r="O40" s="108">
        <v>37.416329749103944</v>
      </c>
      <c r="P40" s="107">
        <v>58.136881720430104</v>
      </c>
      <c r="Q40" s="108">
        <v>34.662620071684586</v>
      </c>
      <c r="R40" s="108">
        <v>32.12052329749104</v>
      </c>
      <c r="S40" s="108">
        <v>37.851125448028675</v>
      </c>
      <c r="T40" s="107">
        <v>109.78344470046083</v>
      </c>
      <c r="U40" s="108">
        <v>32.345688172043012</v>
      </c>
      <c r="V40" s="108">
        <v>26.548867383512544</v>
      </c>
      <c r="W40" s="109">
        <v>28.930659498207888</v>
      </c>
      <c r="X40" s="107">
        <v>62.307849462365589</v>
      </c>
      <c r="Y40" s="108">
        <v>19.158623655913981</v>
      </c>
      <c r="Z40" s="108">
        <v>21.165032258064517</v>
      </c>
      <c r="AA40" s="109">
        <v>18.180824372759858</v>
      </c>
      <c r="AB40" s="107">
        <v>23.041405265109379</v>
      </c>
      <c r="AC40" s="108">
        <v>19.967000000000002</v>
      </c>
      <c r="AD40" s="108">
        <v>22.566064516129032</v>
      </c>
      <c r="AE40" s="109">
        <v>25.358147200593251</v>
      </c>
      <c r="AF40" s="107">
        <v>30.775230414746545</v>
      </c>
      <c r="AG40" s="108">
        <v>22.003139784946239</v>
      </c>
      <c r="AH40" s="108">
        <v>20.11922580645161</v>
      </c>
      <c r="AI40" s="110">
        <v>27.871787170930663</v>
      </c>
      <c r="AJ40" s="107">
        <v>42.44163210445469</v>
      </c>
      <c r="AK40" s="108">
        <v>23.159627240143369</v>
      </c>
      <c r="AL40" s="108">
        <v>26.290838709677416</v>
      </c>
      <c r="AM40" s="110">
        <v>30.694301075268815</v>
      </c>
      <c r="AN40" s="107">
        <v>33.484109062980025</v>
      </c>
      <c r="AO40" s="108">
        <v>18.942569892473117</v>
      </c>
      <c r="AP40" s="108">
        <v>19.651143369175628</v>
      </c>
      <c r="AQ40" s="110">
        <v>20.982139784946238</v>
      </c>
      <c r="AR40" s="107">
        <v>17.691316277345198</v>
      </c>
      <c r="AS40" s="108">
        <v>13.950813620071685</v>
      </c>
      <c r="AT40" s="108">
        <v>17.044910394265234</v>
      </c>
      <c r="AU40" s="110">
        <v>21.104684587813619</v>
      </c>
      <c r="AV40" s="107">
        <v>38.034731182795703</v>
      </c>
      <c r="AW40" s="108">
        <v>23.496655913978497</v>
      </c>
      <c r="AX40" s="108">
        <v>35.391627240143372</v>
      </c>
      <c r="AY40" s="110">
        <v>44.995752688172047</v>
      </c>
      <c r="AZ40" s="107">
        <v>87.207115975422425</v>
      </c>
      <c r="BA40" s="108">
        <v>62.091189964157707</v>
      </c>
      <c r="BB40" s="108">
        <v>72.584648745519715</v>
      </c>
      <c r="BC40" s="110">
        <v>65.717350230414752</v>
      </c>
      <c r="BD40" s="107">
        <v>36.992914746543782</v>
      </c>
      <c r="BE40" s="108">
        <v>22.898846743295021</v>
      </c>
      <c r="BF40" s="108">
        <v>25.803125448028677</v>
      </c>
      <c r="BG40" s="109">
        <v>27.207257199357311</v>
      </c>
      <c r="BH40" s="107">
        <v>36.531664812754912</v>
      </c>
      <c r="BI40" s="108">
        <v>23.881666666666664</v>
      </c>
      <c r="BJ40" s="108">
        <v>29.131253101736974</v>
      </c>
      <c r="BK40" s="109">
        <v>39.834333333333333</v>
      </c>
      <c r="BL40" s="107">
        <v>70.631833333333333</v>
      </c>
      <c r="BM40" s="108">
        <v>31.756666666666664</v>
      </c>
      <c r="BN40" s="108">
        <v>35.514000000000003</v>
      </c>
      <c r="BO40" s="109">
        <v>46.605666666666671</v>
      </c>
      <c r="BP40" s="107">
        <v>80.143333333333331</v>
      </c>
      <c r="BQ40" s="108">
        <v>31.756666666666664</v>
      </c>
      <c r="BR40" s="108">
        <v>39.755333333333333</v>
      </c>
      <c r="BS40" s="109">
        <v>50.096000000000004</v>
      </c>
      <c r="BT40" s="107">
        <v>82.869749999999996</v>
      </c>
      <c r="BU40" s="111"/>
      <c r="BV40" s="111"/>
      <c r="BW40" s="26"/>
      <c r="BX40" s="29"/>
      <c r="BY40" s="29"/>
      <c r="BZ40" s="29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</row>
    <row r="41" spans="1:90" x14ac:dyDescent="0.25">
      <c r="A41" s="9"/>
      <c r="B41" s="9"/>
      <c r="C41" s="3" t="s">
        <v>10</v>
      </c>
      <c r="D41" s="3"/>
      <c r="E41" s="3"/>
      <c r="F41" s="20" t="s">
        <v>92</v>
      </c>
      <c r="G41" s="20" t="s">
        <v>176</v>
      </c>
      <c r="H41" s="107">
        <v>51.217703533026111</v>
      </c>
      <c r="I41" s="108">
        <v>39.849598566308238</v>
      </c>
      <c r="J41" s="108">
        <v>42.30766666666667</v>
      </c>
      <c r="K41" s="109">
        <v>33.029612903225804</v>
      </c>
      <c r="L41" s="108">
        <v>29.307712272895809</v>
      </c>
      <c r="M41" s="108">
        <v>23.766767025089607</v>
      </c>
      <c r="N41" s="108">
        <v>31.687706093189963</v>
      </c>
      <c r="O41" s="108">
        <v>37.770362007168465</v>
      </c>
      <c r="P41" s="107">
        <v>59.674685099846393</v>
      </c>
      <c r="Q41" s="108">
        <v>35.055426523297491</v>
      </c>
      <c r="R41" s="108">
        <v>34.506917562724013</v>
      </c>
      <c r="S41" s="108">
        <v>37.765272401433691</v>
      </c>
      <c r="T41" s="107">
        <v>110.91029569892471</v>
      </c>
      <c r="U41" s="108">
        <v>32.673215053763442</v>
      </c>
      <c r="V41" s="108">
        <v>26.835308243727599</v>
      </c>
      <c r="W41" s="109">
        <v>29.098641577060931</v>
      </c>
      <c r="X41" s="107">
        <v>62.701509216589862</v>
      </c>
      <c r="Y41" s="108">
        <v>19.47948745519713</v>
      </c>
      <c r="Z41" s="108">
        <v>21.876344086021504</v>
      </c>
      <c r="AA41" s="109">
        <v>18.500060931899643</v>
      </c>
      <c r="AB41" s="107">
        <v>23.406992955135337</v>
      </c>
      <c r="AC41" s="108">
        <v>20.614000000000001</v>
      </c>
      <c r="AD41" s="108">
        <v>23.551304659498211</v>
      </c>
      <c r="AE41" s="109">
        <v>25.65434396242739</v>
      </c>
      <c r="AF41" s="107">
        <v>31.01460061443932</v>
      </c>
      <c r="AG41" s="108">
        <v>23.135681003584228</v>
      </c>
      <c r="AH41" s="108">
        <v>21.546702508960575</v>
      </c>
      <c r="AI41" s="110">
        <v>28.662506488691136</v>
      </c>
      <c r="AJ41" s="107">
        <v>44.2689247311828</v>
      </c>
      <c r="AK41" s="108">
        <v>23.940620071684588</v>
      </c>
      <c r="AL41" s="108">
        <v>27.827279569892472</v>
      </c>
      <c r="AM41" s="110">
        <v>31.151440860215057</v>
      </c>
      <c r="AN41" s="107">
        <v>34.008728878648235</v>
      </c>
      <c r="AO41" s="108">
        <v>20.387387096774194</v>
      </c>
      <c r="AP41" s="108">
        <v>20.8450394265233</v>
      </c>
      <c r="AQ41" s="110">
        <v>21.317322580645161</v>
      </c>
      <c r="AR41" s="107">
        <v>18.166707452725252</v>
      </c>
      <c r="AS41" s="108">
        <v>14.251544802867384</v>
      </c>
      <c r="AT41" s="108">
        <v>17.756154121863798</v>
      </c>
      <c r="AU41" s="110">
        <v>21.446086021505376</v>
      </c>
      <c r="AV41" s="107">
        <v>39.195910138248848</v>
      </c>
      <c r="AW41" s="108">
        <v>23.922989247311829</v>
      </c>
      <c r="AX41" s="108">
        <v>36.751745519713261</v>
      </c>
      <c r="AY41" s="110">
        <v>45.955767025089607</v>
      </c>
      <c r="AZ41" s="107">
        <v>88.427377112135176</v>
      </c>
      <c r="BA41" s="108">
        <v>63.110179211469529</v>
      </c>
      <c r="BB41" s="108">
        <v>74.391806451612908</v>
      </c>
      <c r="BC41" s="110">
        <v>66.677703533026104</v>
      </c>
      <c r="BD41" s="107">
        <v>37.281643625192011</v>
      </c>
      <c r="BE41" s="108">
        <v>23.224651340996171</v>
      </c>
      <c r="BF41" s="108">
        <v>26.321562724014338</v>
      </c>
      <c r="BG41" s="109">
        <v>27.598139290569765</v>
      </c>
      <c r="BH41" s="107">
        <v>37.594886911383021</v>
      </c>
      <c r="BI41" s="108">
        <v>24.427555555555557</v>
      </c>
      <c r="BJ41" s="108">
        <v>30.010268817204302</v>
      </c>
      <c r="BK41" s="109">
        <v>41.201000000000001</v>
      </c>
      <c r="BL41" s="107">
        <v>74.631833333333333</v>
      </c>
      <c r="BM41" s="108">
        <v>33.49</v>
      </c>
      <c r="BN41" s="108">
        <v>38.697333333333333</v>
      </c>
      <c r="BO41" s="109">
        <v>49.272333333333336</v>
      </c>
      <c r="BP41" s="107">
        <v>82.293333333333337</v>
      </c>
      <c r="BQ41" s="108">
        <v>34.423333333333339</v>
      </c>
      <c r="BR41" s="108">
        <v>43.172000000000004</v>
      </c>
      <c r="BS41" s="109">
        <v>52.029333333333341</v>
      </c>
      <c r="BT41" s="107">
        <v>94.844750000000005</v>
      </c>
      <c r="BU41" s="111"/>
      <c r="BV41" s="111"/>
      <c r="BW41" s="26"/>
      <c r="BX41" s="29"/>
      <c r="BY41" s="29"/>
      <c r="BZ41" s="29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</row>
    <row r="42" spans="1:90" x14ac:dyDescent="0.25">
      <c r="A42" s="9"/>
      <c r="B42" s="9"/>
      <c r="C42" s="3" t="s">
        <v>11</v>
      </c>
      <c r="D42" s="3"/>
      <c r="E42" s="3"/>
      <c r="F42" s="20" t="s">
        <v>86</v>
      </c>
      <c r="G42" s="20" t="s">
        <v>177</v>
      </c>
      <c r="H42" s="107">
        <v>41.578717357910911</v>
      </c>
      <c r="I42" s="108">
        <v>34.073795698924734</v>
      </c>
      <c r="J42" s="108">
        <v>33.979060931899646</v>
      </c>
      <c r="K42" s="109">
        <v>31.896204301075272</v>
      </c>
      <c r="L42" s="108">
        <v>28.550674823878381</v>
      </c>
      <c r="M42" s="108">
        <v>23.868584229390681</v>
      </c>
      <c r="N42" s="108">
        <v>26.3534229390681</v>
      </c>
      <c r="O42" s="108">
        <v>31.292283154121861</v>
      </c>
      <c r="P42" s="107">
        <v>33.64162442396313</v>
      </c>
      <c r="Q42" s="108">
        <v>31.076566308243731</v>
      </c>
      <c r="R42" s="108">
        <v>28.673139784946233</v>
      </c>
      <c r="S42" s="108">
        <v>32.954774193548388</v>
      </c>
      <c r="T42" s="107">
        <v>75.767427035330257</v>
      </c>
      <c r="U42" s="108">
        <v>32.419921146953406</v>
      </c>
      <c r="V42" s="108">
        <v>27.762207885304662</v>
      </c>
      <c r="W42" s="109">
        <v>30.25106810035842</v>
      </c>
      <c r="X42" s="107">
        <v>45.347515360983103</v>
      </c>
      <c r="Y42" s="108">
        <v>25.62824014336918</v>
      </c>
      <c r="Z42" s="108">
        <v>23.185093189964153</v>
      </c>
      <c r="AA42" s="109">
        <v>23.37556630824373</v>
      </c>
      <c r="AB42" s="107">
        <v>25.254738598442714</v>
      </c>
      <c r="AC42" s="108">
        <v>21.023616487455197</v>
      </c>
      <c r="AD42" s="108">
        <v>22.789408602150541</v>
      </c>
      <c r="AE42" s="109">
        <v>25.739426523297492</v>
      </c>
      <c r="AF42" s="107">
        <v>26.821432411674348</v>
      </c>
      <c r="AG42" s="108">
        <v>22.619584229390682</v>
      </c>
      <c r="AH42" s="108">
        <v>21.91022580645161</v>
      </c>
      <c r="AI42" s="110">
        <v>27.646648745519713</v>
      </c>
      <c r="AJ42" s="107">
        <v>41.514711981566826</v>
      </c>
      <c r="AK42" s="108">
        <v>26.223602150537634</v>
      </c>
      <c r="AL42" s="108">
        <v>24.317541218637995</v>
      </c>
      <c r="AM42" s="110">
        <v>30.413071684587816</v>
      </c>
      <c r="AN42" s="107">
        <v>27.751643625192013</v>
      </c>
      <c r="AO42" s="108">
        <v>20.281756272401434</v>
      </c>
      <c r="AP42" s="108">
        <v>20.168591397849465</v>
      </c>
      <c r="AQ42" s="110">
        <v>22.603118279569895</v>
      </c>
      <c r="AR42" s="107">
        <v>18.024412309974043</v>
      </c>
      <c r="AS42" s="108">
        <v>14.567286738351255</v>
      </c>
      <c r="AT42" s="108">
        <v>16.527161290322578</v>
      </c>
      <c r="AU42" s="110">
        <v>19.666247311827956</v>
      </c>
      <c r="AV42" s="107">
        <v>27.673275729646694</v>
      </c>
      <c r="AW42" s="108">
        <v>23.018985663082436</v>
      </c>
      <c r="AX42" s="108">
        <v>31.685784946236563</v>
      </c>
      <c r="AY42" s="110">
        <v>46.920946236559139</v>
      </c>
      <c r="AZ42" s="107">
        <v>51.972269585253457</v>
      </c>
      <c r="BA42" s="108">
        <v>60.19919713261649</v>
      </c>
      <c r="BB42" s="108">
        <v>67.690129032258071</v>
      </c>
      <c r="BC42" s="110">
        <v>61.581353355580269</v>
      </c>
      <c r="BD42" s="107">
        <v>29.256540706605222</v>
      </c>
      <c r="BE42" s="108">
        <v>23.281329749103943</v>
      </c>
      <c r="BF42" s="108">
        <v>23.084802867383512</v>
      </c>
      <c r="BG42" s="109">
        <v>32.060279569892479</v>
      </c>
      <c r="BH42" s="107">
        <v>30.478301816833522</v>
      </c>
      <c r="BI42" s="108">
        <v>23.49981609195402</v>
      </c>
      <c r="BJ42" s="108">
        <v>26.14276674937965</v>
      </c>
      <c r="BK42" s="109">
        <v>35.484333333333332</v>
      </c>
      <c r="BL42" s="107">
        <v>48.031833333333338</v>
      </c>
      <c r="BM42" s="108">
        <v>31.84</v>
      </c>
      <c r="BN42" s="108">
        <v>34.880666666666663</v>
      </c>
      <c r="BO42" s="109">
        <v>41.389000000000003</v>
      </c>
      <c r="BP42" s="107">
        <v>54.110000000000007</v>
      </c>
      <c r="BQ42" s="108">
        <v>32.29</v>
      </c>
      <c r="BR42" s="108">
        <v>37.138666666666666</v>
      </c>
      <c r="BS42" s="109">
        <v>42.729333333333329</v>
      </c>
      <c r="BT42" s="107">
        <v>62.294750000000001</v>
      </c>
      <c r="BU42" s="111"/>
      <c r="BV42" s="111"/>
      <c r="BW42" s="26"/>
      <c r="BX42" s="29"/>
      <c r="BY42" s="29"/>
      <c r="BZ42" s="29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</row>
    <row r="43" spans="1:90" x14ac:dyDescent="0.25">
      <c r="A43" s="9"/>
      <c r="B43" s="9"/>
      <c r="C43" s="3" t="s">
        <v>12</v>
      </c>
      <c r="D43" s="3"/>
      <c r="E43" s="3"/>
      <c r="F43" s="20" t="s">
        <v>87</v>
      </c>
      <c r="G43" s="20" t="s">
        <v>178</v>
      </c>
      <c r="H43" s="107">
        <v>48.083571428571425</v>
      </c>
      <c r="I43" s="108">
        <v>36.092243727598564</v>
      </c>
      <c r="J43" s="108">
        <v>37.203688172043009</v>
      </c>
      <c r="K43" s="109">
        <v>31.937677419354838</v>
      </c>
      <c r="L43" s="108">
        <v>29.177601038190584</v>
      </c>
      <c r="M43" s="108">
        <v>23.388035842293906</v>
      </c>
      <c r="N43" s="108">
        <v>29.063060931899642</v>
      </c>
      <c r="O43" s="108">
        <v>33.259293906810036</v>
      </c>
      <c r="P43" s="107">
        <v>34.311420890937022</v>
      </c>
      <c r="Q43" s="108">
        <v>32.601010752688175</v>
      </c>
      <c r="R43" s="108">
        <v>30.45610752688172</v>
      </c>
      <c r="S43" s="108">
        <v>33.582250896057353</v>
      </c>
      <c r="T43" s="107">
        <v>92.80697388632872</v>
      </c>
      <c r="U43" s="108">
        <v>32.843103942652327</v>
      </c>
      <c r="V43" s="108">
        <v>26.12511111111111</v>
      </c>
      <c r="W43" s="109">
        <v>38.056275985663085</v>
      </c>
      <c r="X43" s="107">
        <v>55.255990783410141</v>
      </c>
      <c r="Y43" s="108">
        <v>24.929222222222222</v>
      </c>
      <c r="Z43" s="108">
        <v>20.540412186379928</v>
      </c>
      <c r="AA43" s="109">
        <v>23.924777777777777</v>
      </c>
      <c r="AB43" s="107">
        <v>27.279276974416018</v>
      </c>
      <c r="AC43" s="108">
        <v>19.281114695340502</v>
      </c>
      <c r="AD43" s="108">
        <v>21.88145878136201</v>
      </c>
      <c r="AE43" s="109">
        <v>20.956806451612902</v>
      </c>
      <c r="AF43" s="107">
        <v>28.990660522273426</v>
      </c>
      <c r="AG43" s="108">
        <v>21.984344086021508</v>
      </c>
      <c r="AH43" s="108">
        <v>19.496293906810038</v>
      </c>
      <c r="AI43" s="110">
        <v>30.979917562724012</v>
      </c>
      <c r="AJ43" s="107">
        <v>45.176466973886335</v>
      </c>
      <c r="AK43" s="108">
        <v>24.124985663082438</v>
      </c>
      <c r="AL43" s="108">
        <v>24.36968100358423</v>
      </c>
      <c r="AM43" s="110">
        <v>33.634921146953403</v>
      </c>
      <c r="AN43" s="107">
        <v>28.109600614439326</v>
      </c>
      <c r="AO43" s="108">
        <v>19.133071684587815</v>
      </c>
      <c r="AP43" s="108">
        <v>19.015007168458784</v>
      </c>
      <c r="AQ43" s="110">
        <v>19.379817204301073</v>
      </c>
      <c r="AR43" s="107">
        <v>17.356863181312573</v>
      </c>
      <c r="AS43" s="108">
        <v>13.666727598566306</v>
      </c>
      <c r="AT43" s="108">
        <v>15.57025448028674</v>
      </c>
      <c r="AU43" s="110">
        <v>18.875394265232973</v>
      </c>
      <c r="AV43" s="107">
        <v>32.46409370199693</v>
      </c>
      <c r="AW43" s="108">
        <v>21.19268458781362</v>
      </c>
      <c r="AX43" s="108">
        <v>30.895795698924729</v>
      </c>
      <c r="AY43" s="110">
        <v>42.39137275985663</v>
      </c>
      <c r="AZ43" s="107">
        <v>54.478141321044546</v>
      </c>
      <c r="BA43" s="108">
        <v>54.540469534050182</v>
      </c>
      <c r="BB43" s="108">
        <v>64.93725448028674</v>
      </c>
      <c r="BC43" s="110">
        <v>58.797000370782349</v>
      </c>
      <c r="BD43" s="107">
        <v>26.868467741935486</v>
      </c>
      <c r="BE43" s="108">
        <v>17.471865282412555</v>
      </c>
      <c r="BF43" s="108">
        <v>20.126082437275986</v>
      </c>
      <c r="BG43" s="109">
        <v>24.936168458781363</v>
      </c>
      <c r="BH43" s="107">
        <v>27.067408231368187</v>
      </c>
      <c r="BI43" s="108">
        <v>20.294620689655172</v>
      </c>
      <c r="BJ43" s="108">
        <v>27.154346567411086</v>
      </c>
      <c r="BK43" s="109">
        <v>35.934333333333335</v>
      </c>
      <c r="BL43" s="107">
        <v>50.2485</v>
      </c>
      <c r="BM43" s="108">
        <v>31.356666666666669</v>
      </c>
      <c r="BN43" s="108">
        <v>35.180666666666667</v>
      </c>
      <c r="BO43" s="109">
        <v>40.872333333333337</v>
      </c>
      <c r="BP43" s="107">
        <v>55.826666666666675</v>
      </c>
      <c r="BQ43" s="108">
        <v>31.706666666666663</v>
      </c>
      <c r="BR43" s="108">
        <v>37.622</v>
      </c>
      <c r="BS43" s="109">
        <v>42.795999999999999</v>
      </c>
      <c r="BT43" s="107">
        <v>64.744749999999996</v>
      </c>
      <c r="BU43" s="111"/>
      <c r="BV43" s="111"/>
      <c r="BW43" s="26"/>
      <c r="BX43" s="29"/>
      <c r="BY43" s="29"/>
      <c r="BZ43" s="29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</row>
    <row r="44" spans="1:90" x14ac:dyDescent="0.25">
      <c r="A44" s="9"/>
      <c r="B44" s="9"/>
      <c r="C44" s="3" t="s">
        <v>13</v>
      </c>
      <c r="D44" s="3"/>
      <c r="E44" s="3"/>
      <c r="F44" s="20" t="s">
        <v>159</v>
      </c>
      <c r="G44" s="20" t="s">
        <v>198</v>
      </c>
      <c r="H44" s="107">
        <v>33.347884024577574</v>
      </c>
      <c r="I44" s="108">
        <v>30.961928315412184</v>
      </c>
      <c r="J44" s="108">
        <v>31.972670250896059</v>
      </c>
      <c r="K44" s="109">
        <v>30.547093189964158</v>
      </c>
      <c r="L44" s="108">
        <v>25.688824619948093</v>
      </c>
      <c r="M44" s="108">
        <v>21.720017921146951</v>
      </c>
      <c r="N44" s="108">
        <v>25.605992831541219</v>
      </c>
      <c r="O44" s="108">
        <v>29.721530465949822</v>
      </c>
      <c r="P44" s="107">
        <v>30.705595238095238</v>
      </c>
      <c r="Q44" s="108">
        <v>28.693759856630823</v>
      </c>
      <c r="R44" s="108">
        <v>26.279329749103947</v>
      </c>
      <c r="S44" s="108">
        <v>28.579713261648749</v>
      </c>
      <c r="T44" s="107">
        <v>55.541236559139783</v>
      </c>
      <c r="U44" s="108">
        <v>30.851795698924729</v>
      </c>
      <c r="V44" s="108">
        <v>26.495060931899644</v>
      </c>
      <c r="W44" s="109">
        <v>30.12110035842294</v>
      </c>
      <c r="X44" s="107">
        <v>33.94347107014849</v>
      </c>
      <c r="Y44" s="108">
        <v>24.430885304659498</v>
      </c>
      <c r="Z44" s="108">
        <v>22.768344086021504</v>
      </c>
      <c r="AA44" s="109">
        <v>22.008093189964157</v>
      </c>
      <c r="AB44" s="107">
        <v>21.947886540600667</v>
      </c>
      <c r="AC44" s="108">
        <v>21.22931899641577</v>
      </c>
      <c r="AD44" s="108">
        <v>22.398551971326167</v>
      </c>
      <c r="AE44" s="109">
        <v>25.043734890619206</v>
      </c>
      <c r="AF44" s="107">
        <v>25.45239247311828</v>
      </c>
      <c r="AG44" s="108">
        <v>22.470820788530471</v>
      </c>
      <c r="AH44" s="108">
        <v>22.564992831541218</v>
      </c>
      <c r="AI44" s="110">
        <v>26.184466073414907</v>
      </c>
      <c r="AJ44" s="107">
        <v>34.112392985151047</v>
      </c>
      <c r="AK44" s="108">
        <v>27.232039426523301</v>
      </c>
      <c r="AL44" s="108">
        <v>24.363473118279568</v>
      </c>
      <c r="AM44" s="110">
        <v>29.279265232974911</v>
      </c>
      <c r="AN44" s="107">
        <v>26.956123399897592</v>
      </c>
      <c r="AO44" s="108">
        <v>20.089566308243729</v>
      </c>
      <c r="AP44" s="108">
        <v>20.698157706093191</v>
      </c>
      <c r="AQ44" s="110">
        <v>23.335777777777775</v>
      </c>
      <c r="AR44" s="107">
        <v>17.674867383512545</v>
      </c>
      <c r="AS44" s="108">
        <v>14.84194982078853</v>
      </c>
      <c r="AT44" s="108">
        <v>17.344182795698927</v>
      </c>
      <c r="AU44" s="110">
        <v>19.694526881720432</v>
      </c>
      <c r="AV44" s="107">
        <v>26.505384024577577</v>
      </c>
      <c r="AW44" s="108">
        <v>23.336759856630824</v>
      </c>
      <c r="AX44" s="108">
        <v>32.231960573476705</v>
      </c>
      <c r="AY44" s="110">
        <v>46.117534050179216</v>
      </c>
      <c r="AZ44" s="107">
        <v>43.98985407066052</v>
      </c>
      <c r="BA44" s="108">
        <v>57.759818740399389</v>
      </c>
      <c r="BB44" s="108">
        <v>65.376225806451615</v>
      </c>
      <c r="BC44" s="110">
        <v>60.394781362007166</v>
      </c>
      <c r="BD44" s="107">
        <v>26.509850230414745</v>
      </c>
      <c r="BE44" s="108">
        <v>22.587222222222223</v>
      </c>
      <c r="BF44" s="108">
        <v>23.075562724014336</v>
      </c>
      <c r="BG44" s="109">
        <v>26.13768458781362</v>
      </c>
      <c r="BH44" s="107">
        <v>25.081234705228031</v>
      </c>
      <c r="BI44" s="108">
        <v>23.632151614668857</v>
      </c>
      <c r="BJ44" s="108">
        <v>24.912480106100798</v>
      </c>
      <c r="BK44" s="109">
        <v>32.717666666666666</v>
      </c>
      <c r="BL44" s="107">
        <v>41.298499999999997</v>
      </c>
      <c r="BM44" s="108">
        <v>29.673333333333332</v>
      </c>
      <c r="BN44" s="108">
        <v>32.814</v>
      </c>
      <c r="BO44" s="109">
        <v>37.472333333333331</v>
      </c>
      <c r="BP44" s="107">
        <v>45.06</v>
      </c>
      <c r="BQ44" s="108">
        <v>30.040000000000003</v>
      </c>
      <c r="BR44" s="108">
        <v>34.288666666666664</v>
      </c>
      <c r="BS44" s="109">
        <v>38.879333333333328</v>
      </c>
      <c r="BT44" s="107">
        <v>51.794750000000001</v>
      </c>
      <c r="BU44" s="111"/>
      <c r="BV44" s="111"/>
      <c r="BW44" s="26"/>
      <c r="BX44" s="29"/>
      <c r="BY44" s="29"/>
      <c r="BZ44" s="29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</row>
    <row r="45" spans="1:90" x14ac:dyDescent="0.25">
      <c r="A45" s="9"/>
      <c r="B45" s="9"/>
      <c r="C45" s="3" t="s">
        <v>14</v>
      </c>
      <c r="D45" s="3"/>
      <c r="E45" s="3"/>
      <c r="F45" s="20" t="s">
        <v>160</v>
      </c>
      <c r="G45" s="129"/>
      <c r="H45" s="107">
        <v>33.298033794162826</v>
      </c>
      <c r="I45" s="108">
        <v>31.009340501792114</v>
      </c>
      <c r="J45" s="108">
        <v>32.125118279569897</v>
      </c>
      <c r="K45" s="109">
        <v>30.676046594982079</v>
      </c>
      <c r="L45" s="108">
        <v>25.688591027067108</v>
      </c>
      <c r="M45" s="108">
        <v>21.837681003584226</v>
      </c>
      <c r="N45" s="108">
        <v>25.724408602150536</v>
      </c>
      <c r="O45" s="108">
        <v>29.811258064516128</v>
      </c>
      <c r="P45" s="107">
        <v>30.590199692780342</v>
      </c>
      <c r="Q45" s="108">
        <v>28.865225806451615</v>
      </c>
      <c r="R45" s="108">
        <v>26.415559139784946</v>
      </c>
      <c r="S45" s="108">
        <v>28.627401433691755</v>
      </c>
      <c r="T45" s="107">
        <v>55.214420122887866</v>
      </c>
      <c r="U45" s="108">
        <v>31.095670250896053</v>
      </c>
      <c r="V45" s="108">
        <v>26.585681003584227</v>
      </c>
      <c r="W45" s="109">
        <v>29.954075268817206</v>
      </c>
      <c r="X45" s="107">
        <v>33.825161546338968</v>
      </c>
      <c r="Y45" s="108">
        <v>24.376419354838713</v>
      </c>
      <c r="Z45" s="108">
        <v>22.842021505376341</v>
      </c>
      <c r="AA45" s="109">
        <v>21.997132616487452</v>
      </c>
      <c r="AB45" s="107">
        <v>22.072717834631067</v>
      </c>
      <c r="AC45" s="108">
        <v>21.379215053763442</v>
      </c>
      <c r="AD45" s="108">
        <v>22.513336917562725</v>
      </c>
      <c r="AE45" s="109">
        <v>24.973278581139539</v>
      </c>
      <c r="AF45" s="107">
        <v>25.481344086021505</v>
      </c>
      <c r="AG45" s="108">
        <v>22.570086021505375</v>
      </c>
      <c r="AH45" s="108">
        <v>22.690290322580648</v>
      </c>
      <c r="AI45" s="110">
        <v>26.094084538375977</v>
      </c>
      <c r="AJ45" s="107">
        <v>33.19622759856631</v>
      </c>
      <c r="AK45" s="108">
        <v>27.39832616487455</v>
      </c>
      <c r="AL45" s="108">
        <v>24.422025089605736</v>
      </c>
      <c r="AM45" s="110">
        <v>29.34837275985663</v>
      </c>
      <c r="AN45" s="107">
        <v>26.969953149001537</v>
      </c>
      <c r="AO45" s="108">
        <v>20.184967741935484</v>
      </c>
      <c r="AP45" s="108">
        <v>20.775709677419353</v>
      </c>
      <c r="AQ45" s="110">
        <v>23.38905376344086</v>
      </c>
      <c r="AR45" s="107">
        <v>17.671227660363368</v>
      </c>
      <c r="AS45" s="108">
        <v>14.852569892473118</v>
      </c>
      <c r="AT45" s="108">
        <v>17.429290322580645</v>
      </c>
      <c r="AU45" s="110">
        <v>19.592501792114696</v>
      </c>
      <c r="AV45" s="107">
        <v>26.498646953405018</v>
      </c>
      <c r="AW45" s="108">
        <v>23.430964157706089</v>
      </c>
      <c r="AX45" s="108">
        <v>32.313236559139789</v>
      </c>
      <c r="AY45" s="110">
        <v>45.306498207885305</v>
      </c>
      <c r="AZ45" s="107">
        <v>43.693049155145928</v>
      </c>
      <c r="BA45" s="108">
        <v>57.612471326164872</v>
      </c>
      <c r="BB45" s="108">
        <v>65.358139784946232</v>
      </c>
      <c r="BC45" s="110">
        <v>59.920229390681008</v>
      </c>
      <c r="BD45" s="107">
        <v>26.348091397849462</v>
      </c>
      <c r="BE45" s="108">
        <v>22.551111111111112</v>
      </c>
      <c r="BF45" s="108">
        <v>23.140146953405019</v>
      </c>
      <c r="BG45" s="109">
        <v>26.065799283154121</v>
      </c>
      <c r="BH45" s="107">
        <v>25.104175009269557</v>
      </c>
      <c r="BI45" s="108">
        <v>23.491459496442257</v>
      </c>
      <c r="BJ45" s="108">
        <v>24.342758620689654</v>
      </c>
      <c r="BK45" s="109"/>
      <c r="BL45" s="107"/>
      <c r="BM45" s="108"/>
      <c r="BN45" s="108"/>
      <c r="BO45" s="109"/>
      <c r="BP45" s="107"/>
      <c r="BQ45" s="108"/>
      <c r="BR45" s="108"/>
      <c r="BS45" s="109"/>
      <c r="BT45" s="107"/>
      <c r="BU45" s="111"/>
      <c r="BV45" s="111"/>
      <c r="BW45" s="26"/>
      <c r="BX45" s="29"/>
      <c r="BY45" s="29"/>
      <c r="BZ45" s="29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</row>
    <row r="46" spans="1:90" x14ac:dyDescent="0.25">
      <c r="A46" s="9"/>
      <c r="B46" s="9"/>
      <c r="C46" s="3" t="s">
        <v>15</v>
      </c>
      <c r="D46" s="3"/>
      <c r="E46" s="3"/>
      <c r="F46" s="20" t="s">
        <v>88</v>
      </c>
      <c r="G46" s="20" t="s">
        <v>179</v>
      </c>
      <c r="H46" s="107">
        <v>28.365737327188942</v>
      </c>
      <c r="I46" s="108">
        <v>24.09255555555556</v>
      </c>
      <c r="J46" s="108">
        <v>25.695250896057349</v>
      </c>
      <c r="K46" s="109">
        <v>20.59753405017921</v>
      </c>
      <c r="L46" s="108">
        <v>24.09860585836114</v>
      </c>
      <c r="M46" s="108">
        <v>19.812279569892471</v>
      </c>
      <c r="N46" s="108">
        <v>23.774541218637992</v>
      </c>
      <c r="O46" s="108">
        <v>23.10483870967742</v>
      </c>
      <c r="P46" s="107">
        <v>27.405944700460832</v>
      </c>
      <c r="Q46" s="108">
        <v>25.874584229390681</v>
      </c>
      <c r="R46" s="108">
        <v>23.870684587813617</v>
      </c>
      <c r="S46" s="108">
        <v>26.149584229390683</v>
      </c>
      <c r="T46" s="107">
        <v>46.07847542242704</v>
      </c>
      <c r="U46" s="108">
        <v>27.005200716845877</v>
      </c>
      <c r="V46" s="108">
        <v>24.014017921146955</v>
      </c>
      <c r="W46" s="109">
        <v>25.285017921146949</v>
      </c>
      <c r="X46" s="107">
        <v>27.835195852534564</v>
      </c>
      <c r="Y46" s="108">
        <v>18.379376344086022</v>
      </c>
      <c r="Z46" s="108">
        <v>21.306949820788532</v>
      </c>
      <c r="AA46" s="109">
        <v>19.738121863799282</v>
      </c>
      <c r="AB46" s="107">
        <v>19.842135706340379</v>
      </c>
      <c r="AC46" s="108">
        <v>18.19563082437276</v>
      </c>
      <c r="AD46" s="108">
        <v>21.276777777777777</v>
      </c>
      <c r="AE46" s="109">
        <v>23.444842293906806</v>
      </c>
      <c r="AF46" s="107">
        <v>23.188306451612902</v>
      </c>
      <c r="AG46" s="108">
        <v>20.113939068100358</v>
      </c>
      <c r="AH46" s="108">
        <v>18.337401433691756</v>
      </c>
      <c r="AI46" s="110">
        <v>21.493344086021505</v>
      </c>
      <c r="AJ46" s="107">
        <v>22.854642857142853</v>
      </c>
      <c r="AK46" s="108">
        <v>18.778000000000002</v>
      </c>
      <c r="AL46" s="108">
        <v>22.038691756272403</v>
      </c>
      <c r="AM46" s="110">
        <v>24.745315412186375</v>
      </c>
      <c r="AN46" s="107">
        <v>22.725783410138249</v>
      </c>
      <c r="AO46" s="108">
        <v>18.287035842293907</v>
      </c>
      <c r="AP46" s="108">
        <v>17.056290322580647</v>
      </c>
      <c r="AQ46" s="110">
        <v>16.944544802867384</v>
      </c>
      <c r="AR46" s="107">
        <v>16.37061920652577</v>
      </c>
      <c r="AS46" s="108">
        <v>12.41815770609319</v>
      </c>
      <c r="AT46" s="108">
        <v>15.267154121863799</v>
      </c>
      <c r="AU46" s="110">
        <v>16.659799283154122</v>
      </c>
      <c r="AV46" s="107">
        <v>24.988302611367128</v>
      </c>
      <c r="AW46" s="108">
        <v>21.212881720430108</v>
      </c>
      <c r="AX46" s="108">
        <v>30.059279569892471</v>
      </c>
      <c r="AY46" s="110">
        <v>36.044835125448024</v>
      </c>
      <c r="AZ46" s="107">
        <v>35.337546082949309</v>
      </c>
      <c r="BA46" s="108">
        <v>47.594390681003581</v>
      </c>
      <c r="BB46" s="108">
        <v>60.494186379928315</v>
      </c>
      <c r="BC46" s="110">
        <v>43.373978494623657</v>
      </c>
      <c r="BD46" s="107">
        <v>22.818207117255508</v>
      </c>
      <c r="BE46" s="108">
        <v>15.336743789395625</v>
      </c>
      <c r="BF46" s="108">
        <v>21.778172043010752</v>
      </c>
      <c r="BG46" s="109">
        <v>20.639609318996417</v>
      </c>
      <c r="BH46" s="107">
        <v>22.894942528735637</v>
      </c>
      <c r="BI46" s="108">
        <v>15.612743295019158</v>
      </c>
      <c r="BJ46" s="108">
        <v>19.230864350703062</v>
      </c>
      <c r="BK46" s="109">
        <v>25.667666666666666</v>
      </c>
      <c r="BL46" s="107">
        <v>35.031833333333331</v>
      </c>
      <c r="BM46" s="108">
        <v>24.189999999999998</v>
      </c>
      <c r="BN46" s="108">
        <v>29.547333333333331</v>
      </c>
      <c r="BO46" s="109">
        <v>29.939000000000004</v>
      </c>
      <c r="BP46" s="107">
        <v>39.326666666666661</v>
      </c>
      <c r="BQ46" s="108">
        <v>25.49</v>
      </c>
      <c r="BR46" s="108">
        <v>29.405333333333331</v>
      </c>
      <c r="BS46" s="109">
        <v>30.096</v>
      </c>
      <c r="BT46" s="107">
        <v>47.094750000000005</v>
      </c>
      <c r="BU46" s="111"/>
      <c r="BV46" s="111"/>
      <c r="BW46" s="26"/>
      <c r="BX46" s="29"/>
      <c r="BY46" s="29"/>
      <c r="BZ46" s="29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</row>
    <row r="47" spans="1:90" x14ac:dyDescent="0.25">
      <c r="A47" s="9"/>
      <c r="B47" s="9"/>
      <c r="C47" s="3" t="s">
        <v>16</v>
      </c>
      <c r="D47" s="3"/>
      <c r="E47" s="3"/>
      <c r="F47" s="20" t="s">
        <v>82</v>
      </c>
      <c r="G47" s="20" t="s">
        <v>215</v>
      </c>
      <c r="H47" s="107">
        <v>28.792995391705073</v>
      </c>
      <c r="I47" s="108">
        <v>26.111336917562724</v>
      </c>
      <c r="J47" s="108">
        <v>26.0621935483871</v>
      </c>
      <c r="K47" s="109">
        <v>21.418881720430107</v>
      </c>
      <c r="L47" s="108">
        <v>17.818427882832779</v>
      </c>
      <c r="M47" s="108">
        <v>15.593275985663084</v>
      </c>
      <c r="N47" s="108">
        <v>19.09759139784946</v>
      </c>
      <c r="O47" s="108">
        <v>21.150172043010752</v>
      </c>
      <c r="P47" s="107">
        <v>22.638437019969277</v>
      </c>
      <c r="Q47" s="108">
        <v>25.558698924731186</v>
      </c>
      <c r="R47" s="108">
        <v>24.006551971326164</v>
      </c>
      <c r="S47" s="108">
        <v>25.971541218637991</v>
      </c>
      <c r="T47" s="107">
        <v>32.398306451612903</v>
      </c>
      <c r="U47" s="108">
        <v>29.50877419354839</v>
      </c>
      <c r="V47" s="108">
        <v>26.784053763440863</v>
      </c>
      <c r="W47" s="109">
        <v>23.937885304659499</v>
      </c>
      <c r="X47" s="107">
        <v>19.345460829493089</v>
      </c>
      <c r="Y47" s="108">
        <v>18.209286738351253</v>
      </c>
      <c r="Z47" s="108">
        <v>18.644146953405016</v>
      </c>
      <c r="AA47" s="109">
        <v>15.067688172043011</v>
      </c>
      <c r="AB47" s="107">
        <v>12.695928809788654</v>
      </c>
      <c r="AC47" s="108">
        <v>12.968508960573478</v>
      </c>
      <c r="AD47" s="108">
        <v>18.55052329749104</v>
      </c>
      <c r="AE47" s="109">
        <v>16.590422939068102</v>
      </c>
      <c r="AF47" s="107">
        <v>17.379857910906299</v>
      </c>
      <c r="AG47" s="108">
        <v>20.988688172043013</v>
      </c>
      <c r="AH47" s="108">
        <v>19.935666666666666</v>
      </c>
      <c r="AI47" s="110">
        <v>18.296793968607094</v>
      </c>
      <c r="AJ47" s="107">
        <v>21.803218125960058</v>
      </c>
      <c r="AK47" s="108">
        <v>21.155616487455198</v>
      </c>
      <c r="AL47" s="108">
        <v>27.129236559139787</v>
      </c>
      <c r="AM47" s="110">
        <v>25.555974910394266</v>
      </c>
      <c r="AN47" s="107">
        <v>20.077050691244239</v>
      </c>
      <c r="AO47" s="108">
        <v>19.028960573476706</v>
      </c>
      <c r="AP47" s="108">
        <v>21.584390681003583</v>
      </c>
      <c r="AQ47" s="110">
        <v>17.980663082437278</v>
      </c>
      <c r="AR47" s="107">
        <v>14.836277345198368</v>
      </c>
      <c r="AS47" s="108">
        <v>13.490698924731182</v>
      </c>
      <c r="AT47" s="108">
        <v>18.018763440860216</v>
      </c>
      <c r="AU47" s="110">
        <v>18.575293906810035</v>
      </c>
      <c r="AV47" s="107">
        <v>513.02547619047607</v>
      </c>
      <c r="AW47" s="108">
        <v>22.95231541218638</v>
      </c>
      <c r="AX47" s="108">
        <v>31.178316648127549</v>
      </c>
      <c r="AY47" s="110">
        <v>31.927272401433687</v>
      </c>
      <c r="AZ47" s="107">
        <v>31.520698924731182</v>
      </c>
      <c r="BA47" s="108">
        <v>60.236752688172039</v>
      </c>
      <c r="BB47" s="108">
        <v>62.690230503028062</v>
      </c>
      <c r="BC47" s="110">
        <v>45.069310344827585</v>
      </c>
      <c r="BD47" s="107">
        <v>18.907290476190475</v>
      </c>
      <c r="BE47" s="108">
        <v>22.281172413793104</v>
      </c>
      <c r="BF47" s="108">
        <v>52.040743021346465</v>
      </c>
      <c r="BG47" s="109">
        <v>21.811176105137395</v>
      </c>
      <c r="BH47" s="107">
        <v>20.655462241997281</v>
      </c>
      <c r="BI47" s="108">
        <v>22.131288724685277</v>
      </c>
      <c r="BJ47" s="108">
        <v>24.820963606286188</v>
      </c>
      <c r="BK47" s="109">
        <v>28.161000000000001</v>
      </c>
      <c r="BL47" s="107">
        <v>50.095166666666671</v>
      </c>
      <c r="BM47" s="108">
        <v>37.866666666666667</v>
      </c>
      <c r="BN47" s="108">
        <v>46.520666666666671</v>
      </c>
      <c r="BO47" s="109">
        <v>38.535666666666664</v>
      </c>
      <c r="BP47" s="107">
        <v>50.573333333333331</v>
      </c>
      <c r="BQ47" s="108">
        <v>33.293333333333329</v>
      </c>
      <c r="BR47" s="108">
        <v>49.178666666666665</v>
      </c>
      <c r="BS47" s="109">
        <v>36.642666666666663</v>
      </c>
      <c r="BT47" s="107">
        <v>64.714749999999995</v>
      </c>
      <c r="BU47" s="111"/>
      <c r="BV47" s="111"/>
      <c r="BW47" s="26"/>
      <c r="BX47" s="29"/>
      <c r="BY47" s="29"/>
      <c r="BZ47" s="29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</row>
    <row r="48" spans="1:90" x14ac:dyDescent="0.25">
      <c r="A48" s="9"/>
      <c r="B48" s="9"/>
      <c r="C48" s="3" t="s">
        <v>17</v>
      </c>
      <c r="D48" s="3"/>
      <c r="E48" s="3"/>
      <c r="F48" s="20" t="s">
        <v>83</v>
      </c>
      <c r="G48" s="20" t="s">
        <v>216</v>
      </c>
      <c r="H48" s="107">
        <v>29.003844086021505</v>
      </c>
      <c r="I48" s="108">
        <v>26.346229390681003</v>
      </c>
      <c r="J48" s="108">
        <v>26.107856630824372</v>
      </c>
      <c r="K48" s="109">
        <v>21.513906810035845</v>
      </c>
      <c r="L48" s="108">
        <v>17.816566555431962</v>
      </c>
      <c r="M48" s="108">
        <v>15.571286738351255</v>
      </c>
      <c r="N48" s="108">
        <v>19.02774551971326</v>
      </c>
      <c r="O48" s="108">
        <v>21.266666666666666</v>
      </c>
      <c r="P48" s="107">
        <v>22.624662058371737</v>
      </c>
      <c r="Q48" s="108">
        <v>25.451759856630826</v>
      </c>
      <c r="R48" s="108">
        <v>23.878240143369172</v>
      </c>
      <c r="S48" s="108">
        <v>25.720634408602152</v>
      </c>
      <c r="T48" s="107">
        <v>32.577872503840247</v>
      </c>
      <c r="U48" s="108">
        <v>29.44930465949821</v>
      </c>
      <c r="V48" s="108">
        <v>26.556881720430109</v>
      </c>
      <c r="W48" s="109">
        <v>24.043465949820789</v>
      </c>
      <c r="X48" s="107">
        <v>19.339297235023043</v>
      </c>
      <c r="Y48" s="108">
        <v>18.067842293906811</v>
      </c>
      <c r="Z48" s="108">
        <v>18.545322580645159</v>
      </c>
      <c r="AA48" s="109">
        <v>14.238308243727596</v>
      </c>
      <c r="AB48" s="107">
        <v>12.646262513904338</v>
      </c>
      <c r="AC48" s="108">
        <v>12.810566308243727</v>
      </c>
      <c r="AD48" s="108">
        <v>18.317469534050179</v>
      </c>
      <c r="AE48" s="109">
        <v>15.990107526881722</v>
      </c>
      <c r="AF48" s="107">
        <v>16.282837941628262</v>
      </c>
      <c r="AG48" s="108">
        <v>18.168369175627237</v>
      </c>
      <c r="AH48" s="108">
        <v>19.25232258064516</v>
      </c>
      <c r="AI48" s="110">
        <v>16.476257570139662</v>
      </c>
      <c r="AJ48" s="107">
        <v>21.37513440860215</v>
      </c>
      <c r="AK48" s="108">
        <v>20.672218637992831</v>
      </c>
      <c r="AL48" s="108">
        <v>26.916129032258066</v>
      </c>
      <c r="AM48" s="110">
        <v>25.50283870967742</v>
      </c>
      <c r="AN48" s="107">
        <v>19.817665130568358</v>
      </c>
      <c r="AO48" s="108">
        <v>18.587881720430108</v>
      </c>
      <c r="AP48" s="108">
        <v>21.263225806451612</v>
      </c>
      <c r="AQ48" s="110">
        <v>17.345541218637994</v>
      </c>
      <c r="AR48" s="107">
        <v>14.66602892102336</v>
      </c>
      <c r="AS48" s="108">
        <v>12.988505376344087</v>
      </c>
      <c r="AT48" s="108">
        <v>17.702774193548386</v>
      </c>
      <c r="AU48" s="110">
        <v>18.241125448028676</v>
      </c>
      <c r="AV48" s="107">
        <v>512.98281490015358</v>
      </c>
      <c r="AW48" s="108">
        <v>21.789426523297493</v>
      </c>
      <c r="AX48" s="108">
        <v>31.067011494252871</v>
      </c>
      <c r="AY48" s="110">
        <v>31.017989247311828</v>
      </c>
      <c r="AZ48" s="107">
        <v>30.00269969278034</v>
      </c>
      <c r="BA48" s="108">
        <v>53.835942652329749</v>
      </c>
      <c r="BB48" s="108">
        <v>62.740220615498707</v>
      </c>
      <c r="BC48" s="110">
        <v>43.947701149425285</v>
      </c>
      <c r="BD48" s="107">
        <v>18.192825396825395</v>
      </c>
      <c r="BE48" s="108">
        <v>21.009445295870581</v>
      </c>
      <c r="BF48" s="108">
        <v>51.036227422003286</v>
      </c>
      <c r="BG48" s="109">
        <v>20.604227160493824</v>
      </c>
      <c r="BH48" s="107">
        <v>20.226492769744159</v>
      </c>
      <c r="BI48" s="108">
        <v>20.040283251231525</v>
      </c>
      <c r="BJ48" s="108">
        <v>24.500301902398679</v>
      </c>
      <c r="BK48" s="109">
        <v>28.384333333333331</v>
      </c>
      <c r="BL48" s="107">
        <v>46.451833333333333</v>
      </c>
      <c r="BM48" s="108">
        <v>32.716666666666669</v>
      </c>
      <c r="BN48" s="108">
        <v>49.367333333333335</v>
      </c>
      <c r="BO48" s="109">
        <v>33.32566666666667</v>
      </c>
      <c r="BP48" s="107">
        <v>49.526666666666664</v>
      </c>
      <c r="BQ48" s="108">
        <v>29.396666666666665</v>
      </c>
      <c r="BR48" s="108">
        <v>47.478666666666669</v>
      </c>
      <c r="BS48" s="109">
        <v>31.972666666666669</v>
      </c>
      <c r="BT48" s="107">
        <v>61.444749999999999</v>
      </c>
      <c r="BU48" s="111"/>
      <c r="BV48" s="111"/>
      <c r="BW48" s="26"/>
      <c r="BX48" s="29"/>
      <c r="BY48" s="29"/>
      <c r="BZ48" s="29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</row>
    <row r="49" spans="1:90" x14ac:dyDescent="0.25">
      <c r="A49" s="9"/>
      <c r="B49" s="9"/>
      <c r="C49" s="3" t="s">
        <v>18</v>
      </c>
      <c r="D49" s="3"/>
      <c r="E49" s="3"/>
      <c r="F49" s="20" t="s">
        <v>84</v>
      </c>
      <c r="G49" s="20" t="s">
        <v>217</v>
      </c>
      <c r="H49" s="107">
        <v>29.307730414746544</v>
      </c>
      <c r="I49" s="108">
        <v>25.41595340501792</v>
      </c>
      <c r="J49" s="108">
        <v>25.988645161290322</v>
      </c>
      <c r="K49" s="109">
        <v>21.65830107526882</v>
      </c>
      <c r="L49" s="108">
        <v>17.777211716722285</v>
      </c>
      <c r="M49" s="108">
        <v>15.539756272401434</v>
      </c>
      <c r="N49" s="108">
        <v>19.10936917562724</v>
      </c>
      <c r="O49" s="108">
        <v>21.240896057347669</v>
      </c>
      <c r="P49" s="107">
        <v>22.531132872503843</v>
      </c>
      <c r="Q49" s="108">
        <v>25.333698924731181</v>
      </c>
      <c r="R49" s="108">
        <v>23.979591397849461</v>
      </c>
      <c r="S49" s="108">
        <v>25.927888888888887</v>
      </c>
      <c r="T49" s="107">
        <v>32.387584485407068</v>
      </c>
      <c r="U49" s="108">
        <v>29.294706093189962</v>
      </c>
      <c r="V49" s="108">
        <v>26.635136200716847</v>
      </c>
      <c r="W49" s="109">
        <v>23.917440860215052</v>
      </c>
      <c r="X49" s="107">
        <v>19.304354838709678</v>
      </c>
      <c r="Y49" s="108">
        <v>18.188609318996416</v>
      </c>
      <c r="Z49" s="108">
        <v>18.671107526881723</v>
      </c>
      <c r="AA49" s="109">
        <v>14.719444444444443</v>
      </c>
      <c r="AB49" s="107">
        <v>12.527096774193547</v>
      </c>
      <c r="AC49" s="108">
        <v>12.826999999999998</v>
      </c>
      <c r="AD49" s="108">
        <v>18.289566308243725</v>
      </c>
      <c r="AE49" s="109">
        <v>16.416759856630822</v>
      </c>
      <c r="AF49" s="107">
        <v>16.314665898617509</v>
      </c>
      <c r="AG49" s="108">
        <v>19.308118279569893</v>
      </c>
      <c r="AH49" s="108">
        <v>19.839706093189964</v>
      </c>
      <c r="AI49" s="110">
        <v>17.755352490421455</v>
      </c>
      <c r="AJ49" s="107">
        <v>22.018913210445465</v>
      </c>
      <c r="AK49" s="108">
        <v>21.435057347670252</v>
      </c>
      <c r="AL49" s="108">
        <v>27.206935483870968</v>
      </c>
      <c r="AM49" s="110">
        <v>25.106508960573475</v>
      </c>
      <c r="AN49" s="107">
        <v>19.930218894009219</v>
      </c>
      <c r="AO49" s="108">
        <v>18.221025089605735</v>
      </c>
      <c r="AP49" s="108">
        <v>21.483820788530466</v>
      </c>
      <c r="AQ49" s="110">
        <v>18.204440860215055</v>
      </c>
      <c r="AR49" s="107">
        <v>15.030177975528366</v>
      </c>
      <c r="AS49" s="108">
        <v>13.468537634408603</v>
      </c>
      <c r="AT49" s="108">
        <v>17.787867383512545</v>
      </c>
      <c r="AU49" s="110">
        <v>17.943448028673831</v>
      </c>
      <c r="AV49" s="107">
        <v>510.20155913978493</v>
      </c>
      <c r="AW49" s="108">
        <v>21.441974910394265</v>
      </c>
      <c r="AX49" s="108">
        <v>30.441086392287726</v>
      </c>
      <c r="AY49" s="110">
        <v>29.854992831541221</v>
      </c>
      <c r="AZ49" s="107">
        <v>27.697215821812595</v>
      </c>
      <c r="BA49" s="108">
        <v>52.691172043010745</v>
      </c>
      <c r="BB49" s="108">
        <v>62.033410579656412</v>
      </c>
      <c r="BC49" s="110">
        <v>44.400804597701153</v>
      </c>
      <c r="BD49" s="107">
        <v>18.369550793650792</v>
      </c>
      <c r="BE49" s="108">
        <v>21.479169433801616</v>
      </c>
      <c r="BF49" s="108">
        <v>50.33062397372742</v>
      </c>
      <c r="BG49" s="109">
        <v>21.945762007168458</v>
      </c>
      <c r="BH49" s="107">
        <v>20.123234705228029</v>
      </c>
      <c r="BI49" s="108">
        <v>22.238017515051997</v>
      </c>
      <c r="BJ49" s="108">
        <v>25.641162117452438</v>
      </c>
      <c r="BK49" s="109">
        <v>31.361000000000001</v>
      </c>
      <c r="BL49" s="107">
        <v>47.335166666666659</v>
      </c>
      <c r="BM49" s="108">
        <v>35.473333333333336</v>
      </c>
      <c r="BN49" s="108">
        <v>51.477333333333327</v>
      </c>
      <c r="BO49" s="109">
        <v>36.902333333333331</v>
      </c>
      <c r="BP49" s="107">
        <v>52.88</v>
      </c>
      <c r="BQ49" s="108">
        <v>34.923333333333339</v>
      </c>
      <c r="BR49" s="108">
        <v>49.722000000000001</v>
      </c>
      <c r="BS49" s="109">
        <v>33.552666666666667</v>
      </c>
      <c r="BT49" s="107">
        <v>66.434750000000008</v>
      </c>
      <c r="BU49" s="111"/>
      <c r="BV49" s="111"/>
      <c r="BW49" s="26"/>
      <c r="BX49" s="29"/>
      <c r="BY49" s="29"/>
      <c r="BZ49" s="29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</row>
    <row r="50" spans="1:90" x14ac:dyDescent="0.25">
      <c r="A50" s="9"/>
      <c r="B50" s="9"/>
      <c r="C50" s="3" t="s">
        <v>19</v>
      </c>
      <c r="D50" s="3"/>
      <c r="E50" s="3"/>
      <c r="F50" s="20" t="s">
        <v>93</v>
      </c>
      <c r="G50" s="20" t="s">
        <v>180</v>
      </c>
      <c r="H50" s="107">
        <v>20.989451563691841</v>
      </c>
      <c r="I50" s="108">
        <v>14.849151515151513</v>
      </c>
      <c r="J50" s="108">
        <v>24.74194927536232</v>
      </c>
      <c r="K50" s="109">
        <v>24.26255931495405</v>
      </c>
      <c r="L50" s="108">
        <v>19.155257575757577</v>
      </c>
      <c r="M50" s="108">
        <v>16.328321789321787</v>
      </c>
      <c r="N50" s="108">
        <v>20.926206094947513</v>
      </c>
      <c r="O50" s="108">
        <v>25.647444698703282</v>
      </c>
      <c r="P50" s="107">
        <v>26.908888053466999</v>
      </c>
      <c r="Q50" s="108">
        <v>27.335878787878784</v>
      </c>
      <c r="R50" s="108">
        <v>26.463727272727272</v>
      </c>
      <c r="S50" s="108">
        <v>31.073770531400967</v>
      </c>
      <c r="T50" s="107">
        <v>39.368287385129491</v>
      </c>
      <c r="U50" s="108">
        <v>32.674200083542189</v>
      </c>
      <c r="V50" s="108">
        <v>32.55665656565656</v>
      </c>
      <c r="W50" s="109">
        <v>30.011954288961963</v>
      </c>
      <c r="X50" s="107">
        <v>22.383044657097287</v>
      </c>
      <c r="Y50" s="108">
        <v>21.426091630591628</v>
      </c>
      <c r="Z50" s="108">
        <v>23.656327561327561</v>
      </c>
      <c r="AA50" s="109">
        <v>20.409894179894181</v>
      </c>
      <c r="AB50" s="107">
        <v>17.046860446570971</v>
      </c>
      <c r="AC50" s="108">
        <v>16.609292929292931</v>
      </c>
      <c r="AD50" s="108">
        <v>22.506254313319531</v>
      </c>
      <c r="AE50" s="109">
        <v>22.253646616541356</v>
      </c>
      <c r="AF50" s="107">
        <v>21.032033492822965</v>
      </c>
      <c r="AG50" s="108">
        <v>22.83050505050505</v>
      </c>
      <c r="AH50" s="108">
        <v>24.718803030303025</v>
      </c>
      <c r="AI50" s="110">
        <v>24.505534670008355</v>
      </c>
      <c r="AJ50" s="107">
        <v>24.928521303258147</v>
      </c>
      <c r="AK50" s="108">
        <v>19.439353383458648</v>
      </c>
      <c r="AL50" s="108">
        <v>32.849931731502672</v>
      </c>
      <c r="AM50" s="110">
        <v>34.045535638613444</v>
      </c>
      <c r="AN50" s="107">
        <v>37.928294068504592</v>
      </c>
      <c r="AO50" s="108">
        <v>14.95165162907268</v>
      </c>
      <c r="AP50" s="108">
        <v>22.892712121212124</v>
      </c>
      <c r="AQ50" s="110">
        <v>28.293421900161032</v>
      </c>
      <c r="AR50" s="107">
        <v>21.179055593529274</v>
      </c>
      <c r="AS50" s="108">
        <v>17.163253968253969</v>
      </c>
      <c r="AT50" s="108">
        <v>37.381248196248201</v>
      </c>
      <c r="AU50" s="110">
        <v>28.951308321308321</v>
      </c>
      <c r="AV50" s="107">
        <v>39.14651411136537</v>
      </c>
      <c r="AW50" s="108">
        <v>35.742676767676762</v>
      </c>
      <c r="AX50" s="108">
        <v>49.872604617604622</v>
      </c>
      <c r="AY50" s="110">
        <v>46.433987886382624</v>
      </c>
      <c r="AZ50" s="107">
        <v>41.855087337909993</v>
      </c>
      <c r="BA50" s="108">
        <v>66.260388888888883</v>
      </c>
      <c r="BB50" s="108">
        <v>85.078994824016561</v>
      </c>
      <c r="BC50" s="110">
        <v>119.44634795321637</v>
      </c>
      <c r="BD50" s="107">
        <v>91.846847826086957</v>
      </c>
      <c r="BE50" s="108">
        <v>42.127301587301588</v>
      </c>
      <c r="BF50" s="108">
        <v>56.599007246376807</v>
      </c>
      <c r="BG50" s="109">
        <v>50.674330143540665</v>
      </c>
      <c r="BH50" s="107">
        <v>44.364428571428569</v>
      </c>
      <c r="BI50" s="108">
        <v>24.906148325358853</v>
      </c>
      <c r="BJ50" s="108">
        <v>45.075168350168347</v>
      </c>
      <c r="BK50" s="109">
        <v>45.67433333333333</v>
      </c>
      <c r="BL50" s="107">
        <v>51.771833333333326</v>
      </c>
      <c r="BM50" s="108">
        <v>37.863333333333337</v>
      </c>
      <c r="BN50" s="108">
        <v>67.38066666666667</v>
      </c>
      <c r="BO50" s="109">
        <v>58.205666666666666</v>
      </c>
      <c r="BP50" s="107">
        <v>61.256666666666668</v>
      </c>
      <c r="BQ50" s="108">
        <v>36.426666666666669</v>
      </c>
      <c r="BR50" s="108">
        <v>76.148666666666671</v>
      </c>
      <c r="BS50" s="109">
        <v>62.642666666666663</v>
      </c>
      <c r="BT50" s="107">
        <v>79.109749999999991</v>
      </c>
      <c r="BU50" s="111"/>
      <c r="BV50" s="111"/>
      <c r="BW50" s="26"/>
      <c r="BX50" s="29"/>
      <c r="BY50" s="29"/>
      <c r="BZ50" s="29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</row>
    <row r="51" spans="1:90" x14ac:dyDescent="0.25">
      <c r="A51" s="9"/>
      <c r="B51" s="9"/>
      <c r="C51" s="3" t="s">
        <v>20</v>
      </c>
      <c r="D51" s="3"/>
      <c r="E51" s="3"/>
      <c r="F51" s="20" t="s">
        <v>94</v>
      </c>
      <c r="G51" s="20" t="s">
        <v>181</v>
      </c>
      <c r="H51" s="107">
        <v>22.127334858886346</v>
      </c>
      <c r="I51" s="108">
        <v>13.350181818181818</v>
      </c>
      <c r="J51" s="108">
        <v>25.059927536231882</v>
      </c>
      <c r="K51" s="109">
        <v>24.971964076858814</v>
      </c>
      <c r="L51" s="108">
        <v>20.408272727272728</v>
      </c>
      <c r="M51" s="108">
        <v>18.388093073593073</v>
      </c>
      <c r="N51" s="108">
        <v>23.608646236804134</v>
      </c>
      <c r="O51" s="108">
        <v>29.146674718196454</v>
      </c>
      <c r="P51" s="107">
        <v>38.534333333333336</v>
      </c>
      <c r="Q51" s="108">
        <v>36.508088751289989</v>
      </c>
      <c r="R51" s="108">
        <v>34.90521843825249</v>
      </c>
      <c r="S51" s="108">
        <v>38.032250233426701</v>
      </c>
      <c r="T51" s="107">
        <v>47.029963659147874</v>
      </c>
      <c r="U51" s="108">
        <v>38.568959694989104</v>
      </c>
      <c r="V51" s="108">
        <v>38.907664473684214</v>
      </c>
      <c r="W51" s="109">
        <v>37.020208333333336</v>
      </c>
      <c r="X51" s="107">
        <v>27.473252136752137</v>
      </c>
      <c r="Y51" s="108">
        <v>27.601428571428571</v>
      </c>
      <c r="Z51" s="108">
        <v>30.380361111111114</v>
      </c>
      <c r="AA51" s="109">
        <v>27.161861111111108</v>
      </c>
      <c r="AB51" s="107">
        <v>21.459458333333334</v>
      </c>
      <c r="AC51" s="108">
        <v>20.368954248366013</v>
      </c>
      <c r="AD51" s="108">
        <v>29.029335839599</v>
      </c>
      <c r="AE51" s="109">
        <v>28.461124183006536</v>
      </c>
      <c r="AF51" s="107">
        <v>24.177423245614037</v>
      </c>
      <c r="AG51" s="108">
        <v>25.267759259259261</v>
      </c>
      <c r="AH51" s="108">
        <v>33.730138888888888</v>
      </c>
      <c r="AI51" s="110">
        <v>34.067380952380951</v>
      </c>
      <c r="AJ51" s="107">
        <v>31.483999999999998</v>
      </c>
      <c r="AK51" s="108">
        <v>23.269603174603176</v>
      </c>
      <c r="AL51" s="108">
        <v>42.804829059829054</v>
      </c>
      <c r="AM51" s="110">
        <v>47.844141414141411</v>
      </c>
      <c r="AN51" s="107">
        <v>48.233333333333327</v>
      </c>
      <c r="AO51" s="108">
        <v>22.206</v>
      </c>
      <c r="AP51" s="108">
        <v>29.849067599067599</v>
      </c>
      <c r="AQ51" s="110">
        <v>36.166287878787877</v>
      </c>
      <c r="AR51" s="107">
        <v>25.186666666666667</v>
      </c>
      <c r="AS51" s="108">
        <v>16.94488888888889</v>
      </c>
      <c r="AT51" s="108">
        <v>46.142714285714284</v>
      </c>
      <c r="AU51" s="110">
        <v>38.042222222222222</v>
      </c>
      <c r="AV51" s="107">
        <v>78.562121212121212</v>
      </c>
      <c r="AW51" s="108">
        <v>37.064923076923073</v>
      </c>
      <c r="AX51" s="108">
        <v>57.398179487179483</v>
      </c>
      <c r="AY51" s="110">
        <v>56.125595238095237</v>
      </c>
      <c r="AZ51" s="107">
        <v>46.687681818181822</v>
      </c>
      <c r="BA51" s="108">
        <v>65.39991666666667</v>
      </c>
      <c r="BB51" s="108">
        <v>86.690388888888876</v>
      </c>
      <c r="BC51" s="110">
        <v>127.57222222222224</v>
      </c>
      <c r="BD51" s="107">
        <v>102.93873626373625</v>
      </c>
      <c r="BE51" s="108">
        <v>38.709694989106758</v>
      </c>
      <c r="BF51" s="108">
        <v>52.231697478991599</v>
      </c>
      <c r="BG51" s="109">
        <v>59.033888888888896</v>
      </c>
      <c r="BH51" s="107">
        <v>44.776404040404039</v>
      </c>
      <c r="BI51" s="108">
        <v>26.504185463659152</v>
      </c>
      <c r="BJ51" s="108">
        <v>40.904047619047617</v>
      </c>
      <c r="BK51" s="109">
        <v>47.87766666666667</v>
      </c>
      <c r="BL51" s="107">
        <v>53.311833333333333</v>
      </c>
      <c r="BM51" s="108">
        <v>33.869999999999997</v>
      </c>
      <c r="BN51" s="108">
        <v>54.604000000000006</v>
      </c>
      <c r="BO51" s="109">
        <v>60.778999999999996</v>
      </c>
      <c r="BP51" s="107">
        <v>62.73</v>
      </c>
      <c r="BQ51" s="108">
        <v>34.089999999999996</v>
      </c>
      <c r="BR51" s="108">
        <v>60.472000000000001</v>
      </c>
      <c r="BS51" s="109">
        <v>66.449333333333328</v>
      </c>
      <c r="BT51" s="107">
        <v>82.664749999999998</v>
      </c>
      <c r="BU51" s="111"/>
      <c r="BV51" s="111"/>
      <c r="BW51" s="26"/>
      <c r="BX51" s="29"/>
      <c r="BY51" s="29"/>
      <c r="BZ51" s="29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</row>
    <row r="52" spans="1:90" x14ac:dyDescent="0.25">
      <c r="A52" s="9"/>
      <c r="B52" s="9"/>
      <c r="C52" s="3" t="s">
        <v>21</v>
      </c>
      <c r="D52" s="3"/>
      <c r="E52" s="3"/>
      <c r="F52" s="20" t="s">
        <v>95</v>
      </c>
      <c r="G52" s="20" t="s">
        <v>182</v>
      </c>
      <c r="H52" s="107">
        <v>21.658611111111114</v>
      </c>
      <c r="I52" s="108">
        <v>9.6194052287581702</v>
      </c>
      <c r="J52" s="108">
        <v>24.193944444444444</v>
      </c>
      <c r="K52" s="109">
        <v>26.605211640211639</v>
      </c>
      <c r="L52" s="108">
        <v>20.140202020202022</v>
      </c>
      <c r="M52" s="108">
        <v>17.586916666666667</v>
      </c>
      <c r="N52" s="108">
        <v>22.187713675213672</v>
      </c>
      <c r="O52" s="108">
        <v>28.533804487179484</v>
      </c>
      <c r="P52" s="107">
        <v>34.392973901098898</v>
      </c>
      <c r="Q52" s="108">
        <v>33.279719169719165</v>
      </c>
      <c r="R52" s="108">
        <v>34.749194139194138</v>
      </c>
      <c r="S52" s="108">
        <v>39.196435185185187</v>
      </c>
      <c r="T52" s="107">
        <v>48.911060606060609</v>
      </c>
      <c r="U52" s="108">
        <v>39.273771043771042</v>
      </c>
      <c r="V52" s="108">
        <v>38.924444444444447</v>
      </c>
      <c r="W52" s="109">
        <v>36.6</v>
      </c>
      <c r="X52" s="107">
        <v>28.31</v>
      </c>
      <c r="Y52" s="108">
        <v>27.900000000000002</v>
      </c>
      <c r="Z52" s="108"/>
      <c r="AA52" s="109">
        <v>29.168333333333333</v>
      </c>
      <c r="AB52" s="107">
        <v>17.7</v>
      </c>
      <c r="AC52" s="108">
        <v>18.666666666666668</v>
      </c>
      <c r="AD52" s="108">
        <v>30.319444444444443</v>
      </c>
      <c r="AE52" s="109">
        <v>29.027777777777775</v>
      </c>
      <c r="AF52" s="107">
        <v>28.625</v>
      </c>
      <c r="AG52" s="108">
        <v>22.375</v>
      </c>
      <c r="AH52" s="108">
        <v>31.25</v>
      </c>
      <c r="AI52" s="110"/>
      <c r="AJ52" s="107"/>
      <c r="AK52" s="108"/>
      <c r="AL52" s="108"/>
      <c r="AM52" s="110"/>
      <c r="AN52" s="107">
        <v>65.658333333333331</v>
      </c>
      <c r="AO52" s="108"/>
      <c r="AP52" s="108"/>
      <c r="AQ52" s="110"/>
      <c r="AR52" s="107"/>
      <c r="AS52" s="108"/>
      <c r="AT52" s="108"/>
      <c r="AU52" s="110"/>
      <c r="AV52" s="107">
        <v>158.04999999999998</v>
      </c>
      <c r="AW52" s="108">
        <v>36</v>
      </c>
      <c r="AX52" s="108"/>
      <c r="AY52" s="110">
        <v>52</v>
      </c>
      <c r="AZ52" s="107">
        <v>44.666666666666664</v>
      </c>
      <c r="BA52" s="108"/>
      <c r="BB52" s="108"/>
      <c r="BC52" s="110"/>
      <c r="BD52" s="107">
        <v>70</v>
      </c>
      <c r="BE52" s="108">
        <v>24</v>
      </c>
      <c r="BF52" s="108">
        <v>44.479166666666671</v>
      </c>
      <c r="BG52" s="109">
        <v>60.3</v>
      </c>
      <c r="BH52" s="107">
        <v>146.66666666666666</v>
      </c>
      <c r="BI52" s="108"/>
      <c r="BJ52" s="108">
        <v>39.239444444444445</v>
      </c>
      <c r="BK52" s="109">
        <v>54.457666666666661</v>
      </c>
      <c r="BL52" s="107">
        <v>59.601833333333332</v>
      </c>
      <c r="BM52" s="108">
        <v>39.446666666666665</v>
      </c>
      <c r="BN52" s="108">
        <v>55.607333333333337</v>
      </c>
      <c r="BO52" s="109">
        <v>67.948999999999998</v>
      </c>
      <c r="BP52" s="107">
        <v>71.286666666666662</v>
      </c>
      <c r="BQ52" s="108">
        <v>40.906666666666666</v>
      </c>
      <c r="BR52" s="108">
        <v>63.915333333333336</v>
      </c>
      <c r="BS52" s="109">
        <v>74.659333333333336</v>
      </c>
      <c r="BT52" s="107">
        <v>90.214750000000009</v>
      </c>
      <c r="BU52" s="111"/>
      <c r="BV52" s="111"/>
      <c r="BW52" s="26"/>
      <c r="BX52" s="29"/>
      <c r="BY52" s="29"/>
      <c r="BZ52" s="29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</row>
    <row r="53" spans="1:90" x14ac:dyDescent="0.25">
      <c r="A53" s="9"/>
      <c r="B53" s="9"/>
      <c r="C53" s="3" t="s">
        <v>22</v>
      </c>
      <c r="D53" s="3"/>
      <c r="E53" s="3"/>
      <c r="F53" s="20" t="s">
        <v>96</v>
      </c>
      <c r="G53" s="20" t="s">
        <v>183</v>
      </c>
      <c r="H53" s="107">
        <v>15.853194889397406</v>
      </c>
      <c r="I53" s="108">
        <v>3.5539393939393942</v>
      </c>
      <c r="J53" s="108">
        <v>17.875231884057971</v>
      </c>
      <c r="K53" s="109">
        <v>27.452083124477863</v>
      </c>
      <c r="L53" s="108">
        <v>19.306015151515151</v>
      </c>
      <c r="M53" s="108">
        <v>-4.7837662337662325E-2</v>
      </c>
      <c r="N53" s="108">
        <v>14.080325088082526</v>
      </c>
      <c r="O53" s="108">
        <v>24.986628527841344</v>
      </c>
      <c r="P53" s="107">
        <v>27.86434962406015</v>
      </c>
      <c r="Q53" s="108">
        <v>16.729742424242424</v>
      </c>
      <c r="R53" s="108">
        <v>25.292666666666666</v>
      </c>
      <c r="S53" s="108">
        <v>34.797674718196454</v>
      </c>
      <c r="T53" s="107">
        <v>40.334193817878031</v>
      </c>
      <c r="U53" s="108">
        <v>11.424515873015872</v>
      </c>
      <c r="V53" s="108">
        <v>29.903761183261185</v>
      </c>
      <c r="W53" s="109">
        <v>28.144519546949216</v>
      </c>
      <c r="X53" s="107">
        <v>15.090196172248804</v>
      </c>
      <c r="Y53" s="108">
        <v>22.063629870129873</v>
      </c>
      <c r="Z53" s="108">
        <v>23.19210678210678</v>
      </c>
      <c r="AA53" s="109">
        <v>20.35431216931217</v>
      </c>
      <c r="AB53" s="107">
        <v>15.267507974481658</v>
      </c>
      <c r="AC53" s="108">
        <v>10.421464646464647</v>
      </c>
      <c r="AD53" s="108">
        <v>22.990583160800551</v>
      </c>
      <c r="AE53" s="109">
        <v>19.566411445279865</v>
      </c>
      <c r="AF53" s="107">
        <v>15.932524790236462</v>
      </c>
      <c r="AG53" s="108">
        <v>1.9659259259259263</v>
      </c>
      <c r="AH53" s="108">
        <v>24.159954545454543</v>
      </c>
      <c r="AI53" s="110">
        <v>23.530912002227794</v>
      </c>
      <c r="AJ53" s="107">
        <v>16.7052798663325</v>
      </c>
      <c r="AK53" s="108">
        <v>5.1253358395989972</v>
      </c>
      <c r="AL53" s="108">
        <v>30.704371090770405</v>
      </c>
      <c r="AM53" s="110">
        <v>43.097686668361725</v>
      </c>
      <c r="AN53" s="107">
        <v>62.480718462823724</v>
      </c>
      <c r="AO53" s="108">
        <v>12.694347535505429</v>
      </c>
      <c r="AP53" s="108">
        <v>24.059106060606059</v>
      </c>
      <c r="AQ53" s="110">
        <v>29.681182769726249</v>
      </c>
      <c r="AR53" s="107">
        <v>18.864641148325358</v>
      </c>
      <c r="AS53" s="108">
        <v>7.0575057720057721</v>
      </c>
      <c r="AT53" s="108">
        <v>16.296334776334778</v>
      </c>
      <c r="AU53" s="110">
        <v>25.561132756132753</v>
      </c>
      <c r="AV53" s="107">
        <v>28.072074752097635</v>
      </c>
      <c r="AW53" s="108">
        <v>31.181957545378598</v>
      </c>
      <c r="AX53" s="108">
        <v>45.886392496392489</v>
      </c>
      <c r="AY53" s="110">
        <v>45.727908103592313</v>
      </c>
      <c r="AZ53" s="107">
        <v>34.666482837528605</v>
      </c>
      <c r="BA53" s="108">
        <v>41.768920634920633</v>
      </c>
      <c r="BB53" s="108">
        <v>62.453201173222908</v>
      </c>
      <c r="BC53" s="110">
        <v>133.58834419381787</v>
      </c>
      <c r="BD53" s="107">
        <v>100.25704538520215</v>
      </c>
      <c r="BE53" s="108">
        <v>44.369314954051788</v>
      </c>
      <c r="BF53" s="108">
        <v>50.917260869565219</v>
      </c>
      <c r="BG53" s="109">
        <v>64.21924242424241</v>
      </c>
      <c r="BH53" s="107">
        <v>79.346634920634926</v>
      </c>
      <c r="BI53" s="108">
        <v>26.752256778309413</v>
      </c>
      <c r="BJ53" s="108">
        <v>40.358939393939394</v>
      </c>
      <c r="BK53" s="109">
        <v>60.267666666666663</v>
      </c>
      <c r="BL53" s="107">
        <v>65.745166666666663</v>
      </c>
      <c r="BM53" s="108">
        <v>28.283333333333331</v>
      </c>
      <c r="BN53" s="108">
        <v>49.274000000000001</v>
      </c>
      <c r="BO53" s="109">
        <v>71.492333333333335</v>
      </c>
      <c r="BP53" s="107">
        <v>78.103336666666664</v>
      </c>
      <c r="BQ53" s="108">
        <v>25.823343333333337</v>
      </c>
      <c r="BR53" s="108">
        <v>58.335333333333331</v>
      </c>
      <c r="BS53" s="109">
        <v>77.119336666666655</v>
      </c>
      <c r="BT53" s="107">
        <v>82.144750000000002</v>
      </c>
      <c r="BU53" s="127"/>
      <c r="BV53" s="127"/>
      <c r="BW53" s="51"/>
      <c r="BX53" s="29"/>
      <c r="BY53" s="29"/>
      <c r="BZ53" s="29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</row>
    <row r="54" spans="1:90" x14ac:dyDescent="0.25">
      <c r="A54" s="9"/>
      <c r="B54" s="9"/>
      <c r="C54" s="3" t="s">
        <v>23</v>
      </c>
      <c r="D54" s="3"/>
      <c r="E54" s="3"/>
      <c r="F54" s="20" t="s">
        <v>85</v>
      </c>
      <c r="G54" s="20" t="s">
        <v>218</v>
      </c>
      <c r="H54" s="107">
        <v>19.985549155145929</v>
      </c>
      <c r="I54" s="108">
        <v>12.548634408602149</v>
      </c>
      <c r="J54" s="108">
        <v>25.589032258064517</v>
      </c>
      <c r="K54" s="109">
        <v>15.205093189964158</v>
      </c>
      <c r="L54" s="108">
        <v>12.79</v>
      </c>
      <c r="M54" s="108">
        <v>11.478275985663082</v>
      </c>
      <c r="N54" s="108">
        <v>18.0467311827957</v>
      </c>
      <c r="O54" s="108">
        <v>18.457243727598566</v>
      </c>
      <c r="P54" s="107">
        <v>20.108966973886329</v>
      </c>
      <c r="Q54" s="108">
        <v>22.777971326164874</v>
      </c>
      <c r="R54" s="108">
        <v>23.914996415770606</v>
      </c>
      <c r="S54" s="108">
        <v>25.287232974910395</v>
      </c>
      <c r="T54" s="107">
        <v>32.584043778801842</v>
      </c>
      <c r="U54" s="108">
        <v>29.419641577060929</v>
      </c>
      <c r="V54" s="108">
        <v>26.507587813620074</v>
      </c>
      <c r="W54" s="109">
        <v>23.808146953405018</v>
      </c>
      <c r="X54" s="107">
        <v>19.392753456221197</v>
      </c>
      <c r="Y54" s="108">
        <v>18.055315412186378</v>
      </c>
      <c r="Z54" s="108">
        <v>18.548544802867383</v>
      </c>
      <c r="AA54" s="109">
        <v>13.892340501792114</v>
      </c>
      <c r="AB54" s="107">
        <v>12.307619577308122</v>
      </c>
      <c r="AC54" s="108">
        <v>12.378688172043011</v>
      </c>
      <c r="AD54" s="108">
        <v>18.189164874551974</v>
      </c>
      <c r="AE54" s="109">
        <v>15.707799283154122</v>
      </c>
      <c r="AF54" s="107">
        <v>13.998310291858679</v>
      </c>
      <c r="AG54" s="108">
        <v>16.686964157706093</v>
      </c>
      <c r="AH54" s="108">
        <v>19.225845878136202</v>
      </c>
      <c r="AI54" s="110">
        <v>15.937682363119514</v>
      </c>
      <c r="AJ54" s="107">
        <v>19.4427688172043</v>
      </c>
      <c r="AK54" s="108">
        <v>16.229175627240142</v>
      </c>
      <c r="AL54" s="108">
        <v>26.71393189964158</v>
      </c>
      <c r="AM54" s="110">
        <v>24.071724014336919</v>
      </c>
      <c r="AN54" s="107">
        <v>18.551117511520737</v>
      </c>
      <c r="AO54" s="108">
        <v>17.16941218637993</v>
      </c>
      <c r="AP54" s="108">
        <v>20.695071684587813</v>
      </c>
      <c r="AQ54" s="110">
        <v>15.421043010752689</v>
      </c>
      <c r="AR54" s="107">
        <v>12.662365591397849</v>
      </c>
      <c r="AS54" s="108">
        <v>11.537845878136201</v>
      </c>
      <c r="AT54" s="108">
        <v>17.37268100358423</v>
      </c>
      <c r="AU54" s="110">
        <v>14.2456164874552</v>
      </c>
      <c r="AV54" s="107">
        <v>512.24398233486943</v>
      </c>
      <c r="AW54" s="108">
        <v>19.448559139784948</v>
      </c>
      <c r="AX54" s="108">
        <v>29.713055246570264</v>
      </c>
      <c r="AY54" s="110">
        <v>23.791387096774191</v>
      </c>
      <c r="AZ54" s="107">
        <v>24.241482334869431</v>
      </c>
      <c r="BA54" s="108">
        <v>49.451161290322581</v>
      </c>
      <c r="BB54" s="108">
        <v>62.753097886540594</v>
      </c>
      <c r="BC54" s="110">
        <v>42.741609195402297</v>
      </c>
      <c r="BD54" s="107">
        <v>20.350577777777776</v>
      </c>
      <c r="BE54" s="108">
        <v>22.340263942103022</v>
      </c>
      <c r="BF54" s="108">
        <v>53.78913382594417</v>
      </c>
      <c r="BG54" s="109">
        <v>25.26274950219036</v>
      </c>
      <c r="BH54" s="107">
        <v>26.592841923124457</v>
      </c>
      <c r="BI54" s="108">
        <v>21.345093048713739</v>
      </c>
      <c r="BJ54" s="108">
        <v>28.144073614557485</v>
      </c>
      <c r="BK54" s="109">
        <v>33.434333333333335</v>
      </c>
      <c r="BL54" s="107">
        <v>52.021833333333326</v>
      </c>
      <c r="BM54" s="108">
        <v>37.340000000000003</v>
      </c>
      <c r="BN54" s="108">
        <v>48.734000000000002</v>
      </c>
      <c r="BO54" s="109">
        <v>38.979000000000006</v>
      </c>
      <c r="BP54" s="107">
        <v>51.843333333333334</v>
      </c>
      <c r="BQ54" s="108">
        <v>30.736666666666665</v>
      </c>
      <c r="BR54" s="108">
        <v>47.552</v>
      </c>
      <c r="BS54" s="109">
        <v>35.679333333333332</v>
      </c>
      <c r="BT54" s="107">
        <v>65.389750000000006</v>
      </c>
      <c r="BU54" s="111"/>
      <c r="BV54" s="111"/>
      <c r="BW54" s="26"/>
      <c r="BX54" s="29"/>
      <c r="BY54" s="29"/>
      <c r="BZ54" s="29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</row>
    <row r="55" spans="1:90" x14ac:dyDescent="0.25">
      <c r="A55" s="9"/>
      <c r="B55" s="9"/>
      <c r="C55" s="3"/>
      <c r="D55" s="3"/>
      <c r="E55" s="3"/>
      <c r="F55" s="20"/>
      <c r="G55" s="20"/>
      <c r="H55" s="48"/>
      <c r="I55" s="49"/>
      <c r="J55" s="49"/>
      <c r="K55" s="50"/>
      <c r="L55" s="48"/>
      <c r="M55" s="49"/>
      <c r="N55" s="49"/>
      <c r="O55" s="49"/>
      <c r="P55" s="48"/>
      <c r="Q55" s="49"/>
      <c r="R55" s="49"/>
      <c r="S55" s="50"/>
      <c r="T55" s="49"/>
      <c r="U55" s="49"/>
      <c r="V55" s="49"/>
      <c r="W55" s="50"/>
      <c r="X55" s="49"/>
      <c r="Y55" s="49"/>
      <c r="Z55" s="49"/>
      <c r="AA55" s="50"/>
      <c r="AB55" s="49"/>
      <c r="AC55" s="49"/>
      <c r="AD55" s="49"/>
      <c r="AE55" s="50"/>
      <c r="AF55" s="49"/>
      <c r="AG55" s="49"/>
      <c r="AH55" s="49"/>
      <c r="AI55" s="24"/>
      <c r="AJ55" s="49"/>
      <c r="AK55" s="49"/>
      <c r="AL55" s="49"/>
      <c r="AM55" s="24"/>
      <c r="AN55" s="49"/>
      <c r="AO55" s="49"/>
      <c r="AP55" s="49"/>
      <c r="AQ55" s="24"/>
      <c r="AR55" s="49"/>
      <c r="AS55" s="49"/>
      <c r="AT55" s="49"/>
      <c r="AU55" s="24"/>
      <c r="AV55" s="49"/>
      <c r="AW55" s="49"/>
      <c r="AX55" s="49"/>
      <c r="AY55" s="24"/>
      <c r="AZ55" s="49"/>
      <c r="BA55" s="49"/>
      <c r="BB55" s="49"/>
      <c r="BC55" s="24"/>
      <c r="BD55" s="49"/>
      <c r="BE55" s="49"/>
      <c r="BF55" s="49"/>
      <c r="BG55" s="23"/>
      <c r="BH55" s="49"/>
      <c r="BI55" s="25"/>
      <c r="BJ55" s="25"/>
      <c r="BK55" s="26"/>
      <c r="BL55" s="25"/>
      <c r="BM55" s="25"/>
      <c r="BN55" s="25"/>
      <c r="BO55" s="26"/>
      <c r="BP55" s="25"/>
      <c r="BQ55" s="25"/>
      <c r="BR55" s="25"/>
      <c r="BS55" s="26"/>
      <c r="BT55" s="25"/>
      <c r="BU55" s="25"/>
      <c r="BV55" s="25"/>
      <c r="BW55" s="26"/>
      <c r="BX55" s="29"/>
      <c r="BY55" s="29"/>
      <c r="BZ55" s="29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</row>
    <row r="56" spans="1:90" x14ac:dyDescent="0.25">
      <c r="A56" s="9"/>
      <c r="B56" s="9"/>
      <c r="C56" s="1" t="s">
        <v>25</v>
      </c>
      <c r="D56" s="41"/>
      <c r="E56" s="41"/>
      <c r="F56" s="78"/>
      <c r="G56" s="78"/>
      <c r="H56" s="30"/>
      <c r="I56" s="31"/>
      <c r="J56" s="31"/>
      <c r="K56" s="32"/>
      <c r="L56" s="30"/>
      <c r="M56" s="31"/>
      <c r="N56" s="31"/>
      <c r="O56" s="31"/>
      <c r="P56" s="47"/>
      <c r="Q56" s="33"/>
      <c r="R56" s="33"/>
      <c r="S56" s="34"/>
      <c r="T56" s="33"/>
      <c r="U56" s="33"/>
      <c r="V56" s="33"/>
      <c r="W56" s="34"/>
      <c r="X56" s="33"/>
      <c r="Y56" s="35"/>
      <c r="Z56" s="35"/>
      <c r="AA56" s="36"/>
      <c r="AB56" s="33"/>
      <c r="AC56" s="35"/>
      <c r="AD56" s="35"/>
      <c r="AE56" s="36"/>
      <c r="AF56" s="33"/>
      <c r="AG56" s="35"/>
      <c r="AH56" s="35"/>
      <c r="AI56" s="37"/>
      <c r="AJ56" s="33"/>
      <c r="AK56" s="35"/>
      <c r="AL56" s="35"/>
      <c r="AM56" s="37"/>
      <c r="AN56" s="33"/>
      <c r="AO56" s="35"/>
      <c r="AP56" s="35"/>
      <c r="AQ56" s="37"/>
      <c r="AR56" s="35"/>
      <c r="AS56" s="35"/>
      <c r="AT56" s="35"/>
      <c r="AU56" s="37"/>
      <c r="AV56" s="35"/>
      <c r="AW56" s="35"/>
      <c r="AX56" s="35"/>
      <c r="AY56" s="36"/>
      <c r="AZ56" s="35"/>
      <c r="BA56" s="35"/>
      <c r="BB56" s="35"/>
      <c r="BC56" s="36"/>
      <c r="BD56" s="38"/>
      <c r="BE56" s="38"/>
      <c r="BF56" s="38"/>
      <c r="BG56" s="39"/>
      <c r="BH56" s="35"/>
      <c r="BI56" s="35"/>
      <c r="BJ56" s="35"/>
      <c r="BK56" s="36"/>
      <c r="BL56" s="35"/>
      <c r="BM56" s="35"/>
      <c r="BN56" s="35"/>
      <c r="BO56" s="36"/>
      <c r="BP56" s="35"/>
      <c r="BQ56" s="35"/>
      <c r="BR56" s="35"/>
      <c r="BS56" s="36"/>
      <c r="BT56" s="35"/>
      <c r="BU56" s="35"/>
      <c r="BV56" s="35"/>
      <c r="BW56" s="36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</row>
    <row r="57" spans="1:90" x14ac:dyDescent="0.25">
      <c r="A57" s="9"/>
      <c r="B57" s="9"/>
      <c r="C57" s="5" t="s">
        <v>224</v>
      </c>
      <c r="D57" s="3" t="s">
        <v>213</v>
      </c>
      <c r="E57" s="131" t="s">
        <v>208</v>
      </c>
      <c r="F57" s="20"/>
      <c r="G57" s="20"/>
      <c r="H57" s="107"/>
      <c r="I57" s="22"/>
      <c r="J57" s="22"/>
      <c r="K57" s="23"/>
      <c r="L57" s="21"/>
      <c r="M57" s="22"/>
      <c r="N57" s="22"/>
      <c r="O57" s="22"/>
      <c r="P57" s="21"/>
      <c r="Q57" s="25"/>
      <c r="R57" s="25"/>
      <c r="S57" s="26"/>
      <c r="T57" s="25"/>
      <c r="U57" s="25"/>
      <c r="V57" s="25"/>
      <c r="W57" s="26"/>
      <c r="X57" s="25"/>
      <c r="Y57" s="25"/>
      <c r="Z57" s="25"/>
      <c r="AA57" s="26"/>
      <c r="AB57" s="25"/>
      <c r="AC57" s="25"/>
      <c r="AD57" s="25"/>
      <c r="AE57" s="26"/>
      <c r="AF57" s="25"/>
      <c r="AG57" s="25"/>
      <c r="AH57" s="25"/>
      <c r="AI57" s="24"/>
      <c r="AJ57" s="25"/>
      <c r="AK57" s="25"/>
      <c r="AL57" s="25"/>
      <c r="AM57" s="24"/>
      <c r="AN57" s="25"/>
      <c r="AO57" s="25"/>
      <c r="AP57" s="25"/>
      <c r="AQ57" s="24"/>
      <c r="AR57" s="25"/>
      <c r="AS57" s="25"/>
      <c r="AT57" s="25"/>
      <c r="AU57" s="24"/>
      <c r="AV57" s="25"/>
      <c r="AW57" s="25"/>
      <c r="AX57" s="25"/>
      <c r="AY57" s="26"/>
      <c r="AZ57" s="25"/>
      <c r="BA57" s="25"/>
      <c r="BB57" s="25"/>
      <c r="BC57" s="26"/>
      <c r="BD57" s="22"/>
      <c r="BE57" s="22"/>
      <c r="BF57" s="22"/>
      <c r="BG57" s="23"/>
      <c r="BH57" s="25"/>
      <c r="BI57" s="25"/>
      <c r="BJ57" s="25"/>
      <c r="BK57" s="26"/>
      <c r="BL57" s="25"/>
      <c r="BM57" s="25"/>
      <c r="BN57" s="25"/>
      <c r="BO57" s="26"/>
      <c r="BP57" s="25"/>
      <c r="BQ57" s="25"/>
      <c r="BR57" s="25"/>
      <c r="BS57" s="26"/>
      <c r="BT57" s="25"/>
      <c r="BU57" s="25"/>
      <c r="BV57" s="25"/>
      <c r="BW57" s="26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</row>
    <row r="58" spans="1:90" x14ac:dyDescent="0.25">
      <c r="A58" s="9"/>
      <c r="B58" s="9"/>
      <c r="C58" s="3" t="s">
        <v>7</v>
      </c>
      <c r="D58" s="130" t="s">
        <v>205</v>
      </c>
      <c r="E58" s="3" t="s">
        <v>206</v>
      </c>
      <c r="F58" s="20"/>
      <c r="G58" s="20"/>
      <c r="H58" s="107">
        <v>2.8901563691838295</v>
      </c>
      <c r="I58" s="108">
        <v>0.38814069264069317</v>
      </c>
      <c r="J58" s="108">
        <v>0.604976190476191</v>
      </c>
      <c r="K58" s="109">
        <v>0.49117460317460404</v>
      </c>
      <c r="L58" s="107">
        <v>0.71131020733652361</v>
      </c>
      <c r="M58" s="108">
        <v>0.20786078833447208</v>
      </c>
      <c r="N58" s="108">
        <v>0.1801402220967443</v>
      </c>
      <c r="O58" s="109">
        <v>0.77668379446640268</v>
      </c>
      <c r="P58" s="107">
        <v>4.1908244467377589</v>
      </c>
      <c r="Q58" s="108">
        <v>0.28893145743145698</v>
      </c>
      <c r="R58" s="108">
        <v>0.2976666666666663</v>
      </c>
      <c r="S58" s="109">
        <v>0.66396937997166861</v>
      </c>
      <c r="T58" s="107">
        <v>11.191780182780182</v>
      </c>
      <c r="U58" s="108">
        <v>-0.88089091192032365</v>
      </c>
      <c r="V58" s="108">
        <v>-1.3679588744588744</v>
      </c>
      <c r="W58" s="109">
        <v>-0.58599470899470862</v>
      </c>
      <c r="X58" s="107">
        <v>6.3359398148148136</v>
      </c>
      <c r="Y58" s="108">
        <v>-1.8976190476190702E-2</v>
      </c>
      <c r="Z58" s="108">
        <v>2.2908400673400675</v>
      </c>
      <c r="AA58" s="109">
        <v>1.8920833333333331</v>
      </c>
      <c r="AB58" s="107">
        <v>0.55239821159232938</v>
      </c>
      <c r="AC58" s="108">
        <v>-0.315625937392501</v>
      </c>
      <c r="AD58" s="108">
        <v>-1.1342986425339363</v>
      </c>
      <c r="AE58" s="109">
        <v>-0.11176190476190495</v>
      </c>
      <c r="AF58" s="107">
        <v>0.56011764705882383</v>
      </c>
      <c r="AG58" s="108">
        <v>-0.26336385836385778</v>
      </c>
      <c r="AH58" s="108">
        <v>2.5445726495726499</v>
      </c>
      <c r="AI58" s="109">
        <v>0.82550427350427391</v>
      </c>
      <c r="AJ58" s="107">
        <v>4.0249144921126341</v>
      </c>
      <c r="AK58" s="108">
        <v>-0.1179417862838914</v>
      </c>
      <c r="AL58" s="108">
        <v>6.4424400923255298E-3</v>
      </c>
      <c r="AM58" s="109">
        <v>-1.5252892194253853E-2</v>
      </c>
      <c r="AN58" s="107">
        <v>0.7728199665831248</v>
      </c>
      <c r="AO58" s="108">
        <v>-0.28140740740740755</v>
      </c>
      <c r="AP58" s="108">
        <v>-0.4081669704564439</v>
      </c>
      <c r="AQ58" s="109">
        <v>2.0476735316552475E-2</v>
      </c>
      <c r="AR58" s="107">
        <v>-8.5402407533986535E-2</v>
      </c>
      <c r="AS58" s="108">
        <v>-0.23452869352869343</v>
      </c>
      <c r="AT58" s="108">
        <v>-0.46663595262666457</v>
      </c>
      <c r="AU58" s="109">
        <v>-0.4796595860566446</v>
      </c>
      <c r="AV58" s="107">
        <v>0.1305929038281981</v>
      </c>
      <c r="AW58" s="108">
        <v>-0.50680340557275505</v>
      </c>
      <c r="AX58" s="108">
        <v>-0.50902738873327191</v>
      </c>
      <c r="AY58" s="109">
        <v>-0.32816855865153016</v>
      </c>
      <c r="AZ58" s="107">
        <v>2.4039294113907967</v>
      </c>
      <c r="BA58" s="108">
        <v>-0.70661422346716396</v>
      </c>
      <c r="BB58" s="108">
        <v>-0.58339539026206211</v>
      </c>
      <c r="BC58" s="109">
        <v>1.0507568172568176</v>
      </c>
      <c r="BD58" s="107">
        <v>0.40559077432142443</v>
      </c>
      <c r="BE58" s="108">
        <v>-0.62866427432216931</v>
      </c>
      <c r="BF58" s="108">
        <v>-1.0716845913393231</v>
      </c>
      <c r="BG58" s="109">
        <v>-0.769126187423401</v>
      </c>
      <c r="BH58" s="107">
        <v>0.41450326797385628</v>
      </c>
      <c r="BI58" s="108">
        <v>-0.46960667600373474</v>
      </c>
      <c r="BJ58" s="108">
        <v>-0.53593957115009738</v>
      </c>
      <c r="BK58" s="109">
        <v>-0.31599999999999984</v>
      </c>
      <c r="BL58" s="107">
        <v>1.7423333333333337</v>
      </c>
      <c r="BM58" s="108">
        <v>-0.71766666666666667</v>
      </c>
      <c r="BN58" s="108">
        <v>-0.88700000000000001</v>
      </c>
      <c r="BO58" s="109">
        <v>-0.43100000000000049</v>
      </c>
      <c r="BP58" s="107">
        <v>2.0983333333333332</v>
      </c>
      <c r="BQ58" s="108">
        <v>-0.73499999999999988</v>
      </c>
      <c r="BR58" s="108">
        <v>-0.88999999999999968</v>
      </c>
      <c r="BS58" s="109">
        <v>-0.22399999999999931</v>
      </c>
      <c r="BT58" s="107">
        <v>3.2590000000000003</v>
      </c>
      <c r="BU58" s="108"/>
      <c r="BV58" s="108"/>
      <c r="BW58" s="109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</row>
    <row r="59" spans="1:90" x14ac:dyDescent="0.25">
      <c r="A59" s="9"/>
      <c r="B59" s="9"/>
      <c r="C59" s="3" t="s">
        <v>8</v>
      </c>
      <c r="D59" s="130" t="s">
        <v>205</v>
      </c>
      <c r="E59" s="3" t="s">
        <v>207</v>
      </c>
      <c r="F59" s="20"/>
      <c r="G59" s="20"/>
      <c r="H59" s="107">
        <v>1.7494298245614033</v>
      </c>
      <c r="I59" s="108">
        <v>0.28882972582972677</v>
      </c>
      <c r="J59" s="108">
        <v>0.25620841959972473</v>
      </c>
      <c r="K59" s="109">
        <v>0.27394444444444455</v>
      </c>
      <c r="L59" s="107">
        <v>0.29753748006379643</v>
      </c>
      <c r="M59" s="108">
        <v>0.16276987924356368</v>
      </c>
      <c r="N59" s="108">
        <v>0.16539793158786331</v>
      </c>
      <c r="O59" s="109">
        <v>0.28000724637681085</v>
      </c>
      <c r="P59" s="107">
        <v>0.72228643504185319</v>
      </c>
      <c r="Q59" s="108">
        <v>0.1070829725829725</v>
      </c>
      <c r="R59" s="108">
        <v>8.0530303030303063E-2</v>
      </c>
      <c r="S59" s="109">
        <v>0.19774185463659144</v>
      </c>
      <c r="T59" s="107">
        <v>7.825910926305661</v>
      </c>
      <c r="U59" s="108">
        <v>-0.90806022408963605</v>
      </c>
      <c r="V59" s="108">
        <v>-1.4397914862914858</v>
      </c>
      <c r="W59" s="109">
        <v>-1.1032962962962962</v>
      </c>
      <c r="X59" s="107">
        <v>3.0571331738436998</v>
      </c>
      <c r="Y59" s="108">
        <v>-0.94385714285714273</v>
      </c>
      <c r="Z59" s="108">
        <v>1.3712525252525254</v>
      </c>
      <c r="AA59" s="109">
        <v>1.2871212121212121</v>
      </c>
      <c r="AB59" s="107">
        <v>-2.9919576719576568E-2</v>
      </c>
      <c r="AC59" s="108">
        <v>-0.47020476190476201</v>
      </c>
      <c r="AD59" s="108">
        <v>-1.7379955141476879</v>
      </c>
      <c r="AE59" s="109">
        <v>-0.70884920634920645</v>
      </c>
      <c r="AF59" s="107">
        <v>5.0556826849733394E-2</v>
      </c>
      <c r="AG59" s="108">
        <v>-0.49294486215538802</v>
      </c>
      <c r="AH59" s="108">
        <v>1.7192185354691076</v>
      </c>
      <c r="AI59" s="109">
        <v>0.21595454545454551</v>
      </c>
      <c r="AJ59" s="107">
        <v>3.043785935426802</v>
      </c>
      <c r="AK59" s="108">
        <v>-0.44818774208247891</v>
      </c>
      <c r="AL59" s="108">
        <v>-0.42400251286978952</v>
      </c>
      <c r="AM59" s="109">
        <v>-0.18357780801916901</v>
      </c>
      <c r="AN59" s="107">
        <v>0.34248955722639929</v>
      </c>
      <c r="AO59" s="108">
        <v>-0.33522414622414631</v>
      </c>
      <c r="AP59" s="108">
        <v>-0.48076148705096022</v>
      </c>
      <c r="AQ59" s="109">
        <v>-0.11430184761420437</v>
      </c>
      <c r="AR59" s="107">
        <v>-0.17016594516594519</v>
      </c>
      <c r="AS59" s="108">
        <v>-0.23708513708513701</v>
      </c>
      <c r="AT59" s="108">
        <v>-0.47520315941368585</v>
      </c>
      <c r="AU59" s="109">
        <v>-0.66868905217589414</v>
      </c>
      <c r="AV59" s="107">
        <v>-0.18492968904733642</v>
      </c>
      <c r="AW59" s="108">
        <v>-0.56048941798941776</v>
      </c>
      <c r="AX59" s="108">
        <v>-0.44569487890850201</v>
      </c>
      <c r="AY59" s="109">
        <v>-0.42553550543024166</v>
      </c>
      <c r="AZ59" s="107">
        <v>1.8157354287252669</v>
      </c>
      <c r="BA59" s="108">
        <v>-0.635851851851851</v>
      </c>
      <c r="BB59" s="108">
        <v>-0.82457131465026201</v>
      </c>
      <c r="BC59" s="109">
        <v>0.52437493305914451</v>
      </c>
      <c r="BD59" s="107">
        <v>0.37663797174094649</v>
      </c>
      <c r="BE59" s="108">
        <v>-0.64684609250398717</v>
      </c>
      <c r="BF59" s="108">
        <v>-1.1496334185848256</v>
      </c>
      <c r="BG59" s="109">
        <v>-0.8642636738906091</v>
      </c>
      <c r="BH59" s="107">
        <v>0.4338174029845856</v>
      </c>
      <c r="BI59" s="108">
        <v>-0.52807539682539684</v>
      </c>
      <c r="BJ59" s="108">
        <v>-0.58078084099136684</v>
      </c>
      <c r="BK59" s="109">
        <v>-0.44133333333333313</v>
      </c>
      <c r="BL59" s="107">
        <v>0.99700000000000077</v>
      </c>
      <c r="BM59" s="108">
        <v>-0.63599999999999968</v>
      </c>
      <c r="BN59" s="108">
        <v>-0.92200000000000015</v>
      </c>
      <c r="BO59" s="109">
        <v>-0.53300000000000081</v>
      </c>
      <c r="BP59" s="107">
        <v>1.2460000000000009</v>
      </c>
      <c r="BQ59" s="108">
        <v>-0.74933333333333296</v>
      </c>
      <c r="BR59" s="108">
        <v>-0.95833333333333304</v>
      </c>
      <c r="BS59" s="109">
        <v>-0.54399999999999959</v>
      </c>
      <c r="BT59" s="107">
        <v>2.1364999999999998</v>
      </c>
      <c r="BU59" s="108"/>
      <c r="BV59" s="108"/>
      <c r="BW59" s="109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</row>
    <row r="60" spans="1:90" x14ac:dyDescent="0.25">
      <c r="A60" s="9"/>
      <c r="B60" s="9"/>
      <c r="C60" s="3" t="s">
        <v>9</v>
      </c>
      <c r="D60" s="130" t="s">
        <v>205</v>
      </c>
      <c r="E60" s="3" t="s">
        <v>206</v>
      </c>
      <c r="F60" s="20"/>
      <c r="G60" s="20"/>
      <c r="H60" s="107">
        <v>2.8901563691838295</v>
      </c>
      <c r="I60" s="108">
        <v>0.38814069264069317</v>
      </c>
      <c r="J60" s="108">
        <v>0.604976190476191</v>
      </c>
      <c r="K60" s="109">
        <v>0.49117460317460404</v>
      </c>
      <c r="L60" s="107">
        <v>0.71131020733652361</v>
      </c>
      <c r="M60" s="108">
        <v>0.20786078833447208</v>
      </c>
      <c r="N60" s="108">
        <v>0.1801402220967443</v>
      </c>
      <c r="O60" s="109">
        <v>0.77668379446640268</v>
      </c>
      <c r="P60" s="107">
        <v>4.1908244467377589</v>
      </c>
      <c r="Q60" s="108">
        <v>0.28893145743145698</v>
      </c>
      <c r="R60" s="108">
        <v>0.2976666666666663</v>
      </c>
      <c r="S60" s="109">
        <v>0.66396937997166861</v>
      </c>
      <c r="T60" s="107">
        <v>11.191780182780182</v>
      </c>
      <c r="U60" s="108">
        <v>-0.88089091192032365</v>
      </c>
      <c r="V60" s="108">
        <v>-1.3679588744588744</v>
      </c>
      <c r="W60" s="109">
        <v>-0.58599470899470862</v>
      </c>
      <c r="X60" s="107">
        <v>6.3359398148148136</v>
      </c>
      <c r="Y60" s="108">
        <v>-1.8976190476190702E-2</v>
      </c>
      <c r="Z60" s="108">
        <v>2.2908400673400675</v>
      </c>
      <c r="AA60" s="109">
        <v>1.8920833333333331</v>
      </c>
      <c r="AB60" s="107">
        <v>0.55239821159232938</v>
      </c>
      <c r="AC60" s="108">
        <v>-0.315625937392501</v>
      </c>
      <c r="AD60" s="108">
        <v>-1.1342986425339363</v>
      </c>
      <c r="AE60" s="109">
        <v>-0.11176190476190495</v>
      </c>
      <c r="AF60" s="107">
        <v>0.56011764705882383</v>
      </c>
      <c r="AG60" s="108">
        <v>-0.26336385836385778</v>
      </c>
      <c r="AH60" s="108">
        <v>2.5445726495726499</v>
      </c>
      <c r="AI60" s="109">
        <v>0.82550427350427391</v>
      </c>
      <c r="AJ60" s="107">
        <v>4.0249144921126341</v>
      </c>
      <c r="AK60" s="108">
        <v>-0.1179417862838914</v>
      </c>
      <c r="AL60" s="108">
        <v>6.4424400923255298E-3</v>
      </c>
      <c r="AM60" s="109">
        <v>-1.5252892194253853E-2</v>
      </c>
      <c r="AN60" s="107">
        <v>0.7728199665831248</v>
      </c>
      <c r="AO60" s="108">
        <v>-0.28140740740740755</v>
      </c>
      <c r="AP60" s="108">
        <v>-0.4081669704564439</v>
      </c>
      <c r="AQ60" s="109">
        <v>2.0476735316552475E-2</v>
      </c>
      <c r="AR60" s="107">
        <v>-8.5402407533986535E-2</v>
      </c>
      <c r="AS60" s="108">
        <v>-0.23452869352869343</v>
      </c>
      <c r="AT60" s="108">
        <v>-0.46663595262666457</v>
      </c>
      <c r="AU60" s="109">
        <v>-0.4796595860566446</v>
      </c>
      <c r="AV60" s="107">
        <v>0.1305929038281981</v>
      </c>
      <c r="AW60" s="108">
        <v>-0.50680340557275505</v>
      </c>
      <c r="AX60" s="108">
        <v>-0.50902738873327191</v>
      </c>
      <c r="AY60" s="109">
        <v>-0.32816855865153016</v>
      </c>
      <c r="AZ60" s="107">
        <v>2.4039294113907967</v>
      </c>
      <c r="BA60" s="108">
        <v>-0.70661422346716396</v>
      </c>
      <c r="BB60" s="108">
        <v>-0.58339539026206211</v>
      </c>
      <c r="BC60" s="109">
        <v>1.0507568172568176</v>
      </c>
      <c r="BD60" s="107">
        <v>0.40559077432142443</v>
      </c>
      <c r="BE60" s="108">
        <v>-0.62866427432216931</v>
      </c>
      <c r="BF60" s="108">
        <v>-1.0716845913393231</v>
      </c>
      <c r="BG60" s="109">
        <v>-0.769126187423401</v>
      </c>
      <c r="BH60" s="107">
        <v>0.41450326797385628</v>
      </c>
      <c r="BI60" s="108">
        <v>-0.46960667600373474</v>
      </c>
      <c r="BJ60" s="108">
        <v>-0.53593957115009738</v>
      </c>
      <c r="BK60" s="109">
        <v>-0.31599999999999984</v>
      </c>
      <c r="BL60" s="107">
        <v>1.7423333333333337</v>
      </c>
      <c r="BM60" s="108">
        <v>-0.71766666666666667</v>
      </c>
      <c r="BN60" s="108">
        <v>-0.88700000000000001</v>
      </c>
      <c r="BO60" s="109">
        <v>-0.43100000000000049</v>
      </c>
      <c r="BP60" s="107">
        <v>2.0983333333333332</v>
      </c>
      <c r="BQ60" s="108">
        <v>-0.73499999999999988</v>
      </c>
      <c r="BR60" s="108">
        <v>-0.88999999999999968</v>
      </c>
      <c r="BS60" s="109">
        <v>-0.22399999999999931</v>
      </c>
      <c r="BT60" s="107">
        <v>3.2590000000000003</v>
      </c>
      <c r="BU60" s="108"/>
      <c r="BV60" s="108"/>
      <c r="BW60" s="109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</row>
    <row r="61" spans="1:90" x14ac:dyDescent="0.25">
      <c r="A61" s="9"/>
      <c r="B61" s="9"/>
      <c r="C61" s="3" t="s">
        <v>10</v>
      </c>
      <c r="D61" s="130" t="s">
        <v>205</v>
      </c>
      <c r="E61" s="3" t="s">
        <v>206</v>
      </c>
      <c r="F61" s="20"/>
      <c r="G61" s="20"/>
      <c r="H61" s="107">
        <v>2.8901563691838295</v>
      </c>
      <c r="I61" s="108">
        <v>0.38814069264069317</v>
      </c>
      <c r="J61" s="108">
        <v>0.604976190476191</v>
      </c>
      <c r="K61" s="109">
        <v>0.49117460317460404</v>
      </c>
      <c r="L61" s="107">
        <v>0.71131020733652361</v>
      </c>
      <c r="M61" s="108">
        <v>0.20786078833447208</v>
      </c>
      <c r="N61" s="108">
        <v>0.1801402220967443</v>
      </c>
      <c r="O61" s="109">
        <v>0.77668379446640268</v>
      </c>
      <c r="P61" s="107">
        <v>4.1908244467377589</v>
      </c>
      <c r="Q61" s="108">
        <v>0.28893145743145698</v>
      </c>
      <c r="R61" s="108">
        <v>0.2976666666666663</v>
      </c>
      <c r="S61" s="109">
        <v>0.66396937997166861</v>
      </c>
      <c r="T61" s="107">
        <v>11.191780182780182</v>
      </c>
      <c r="U61" s="108">
        <v>-0.88089091192032365</v>
      </c>
      <c r="V61" s="108">
        <v>-1.3679588744588744</v>
      </c>
      <c r="W61" s="109">
        <v>-0.58599470899470862</v>
      </c>
      <c r="X61" s="107">
        <v>6.3359398148148136</v>
      </c>
      <c r="Y61" s="108">
        <v>-1.8976190476190702E-2</v>
      </c>
      <c r="Z61" s="108">
        <v>2.2908400673400675</v>
      </c>
      <c r="AA61" s="109">
        <v>1.8920833333333331</v>
      </c>
      <c r="AB61" s="107">
        <v>0.55239821159232938</v>
      </c>
      <c r="AC61" s="108">
        <v>-0.315625937392501</v>
      </c>
      <c r="AD61" s="108">
        <v>-1.1342986425339363</v>
      </c>
      <c r="AE61" s="109">
        <v>-0.11176190476190495</v>
      </c>
      <c r="AF61" s="107">
        <v>0.56011764705882383</v>
      </c>
      <c r="AG61" s="108">
        <v>-0.26336385836385778</v>
      </c>
      <c r="AH61" s="108">
        <v>2.5445726495726499</v>
      </c>
      <c r="AI61" s="109">
        <v>0.82550427350427391</v>
      </c>
      <c r="AJ61" s="107">
        <v>4.0249144921126341</v>
      </c>
      <c r="AK61" s="108">
        <v>-0.1179417862838914</v>
      </c>
      <c r="AL61" s="108">
        <v>6.4424400923255298E-3</v>
      </c>
      <c r="AM61" s="109">
        <v>-1.5252892194253853E-2</v>
      </c>
      <c r="AN61" s="107">
        <v>0.7728199665831248</v>
      </c>
      <c r="AO61" s="108">
        <v>-0.28140740740740755</v>
      </c>
      <c r="AP61" s="108">
        <v>-0.4081669704564439</v>
      </c>
      <c r="AQ61" s="109">
        <v>2.0476735316552475E-2</v>
      </c>
      <c r="AR61" s="107">
        <v>-8.5402407533986535E-2</v>
      </c>
      <c r="AS61" s="108">
        <v>-0.23452869352869343</v>
      </c>
      <c r="AT61" s="108">
        <v>-0.46663595262666457</v>
      </c>
      <c r="AU61" s="109">
        <v>-0.4796595860566446</v>
      </c>
      <c r="AV61" s="107">
        <v>0.1305929038281981</v>
      </c>
      <c r="AW61" s="108">
        <v>-0.50680340557275505</v>
      </c>
      <c r="AX61" s="108">
        <v>-0.50902738873327191</v>
      </c>
      <c r="AY61" s="109">
        <v>-0.32816855865153016</v>
      </c>
      <c r="AZ61" s="107">
        <v>2.4039294113907967</v>
      </c>
      <c r="BA61" s="108">
        <v>-0.70661422346716396</v>
      </c>
      <c r="BB61" s="108">
        <v>-0.58339539026206211</v>
      </c>
      <c r="BC61" s="109">
        <v>1.0507568172568176</v>
      </c>
      <c r="BD61" s="107">
        <v>0.40559077432142443</v>
      </c>
      <c r="BE61" s="108">
        <v>-0.62866427432216931</v>
      </c>
      <c r="BF61" s="108">
        <v>-1.0716845913393231</v>
      </c>
      <c r="BG61" s="109">
        <v>-0.769126187423401</v>
      </c>
      <c r="BH61" s="107">
        <v>0.41450326797385628</v>
      </c>
      <c r="BI61" s="108">
        <v>-0.46960667600373474</v>
      </c>
      <c r="BJ61" s="108">
        <v>-0.53593957115009738</v>
      </c>
      <c r="BK61" s="109">
        <v>-0.31599999999999984</v>
      </c>
      <c r="BL61" s="107">
        <v>1.7423333333333337</v>
      </c>
      <c r="BM61" s="108">
        <v>-0.71766666666666667</v>
      </c>
      <c r="BN61" s="108">
        <v>-0.88700000000000001</v>
      </c>
      <c r="BO61" s="109">
        <v>-0.43100000000000049</v>
      </c>
      <c r="BP61" s="107">
        <v>2.0983333333333332</v>
      </c>
      <c r="BQ61" s="108">
        <v>-0.73499999999999988</v>
      </c>
      <c r="BR61" s="108">
        <v>-0.88999999999999968</v>
      </c>
      <c r="BS61" s="109">
        <v>-0.22399999999999931</v>
      </c>
      <c r="BT61" s="107">
        <v>3.2590000000000003</v>
      </c>
      <c r="BU61" s="108"/>
      <c r="BV61" s="108"/>
      <c r="BW61" s="109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</row>
    <row r="62" spans="1:90" x14ac:dyDescent="0.25">
      <c r="A62" s="9"/>
      <c r="B62" s="9"/>
      <c r="C62" s="3" t="s">
        <v>11</v>
      </c>
      <c r="D62" s="130" t="s">
        <v>205</v>
      </c>
      <c r="E62" s="3" t="s">
        <v>207</v>
      </c>
      <c r="F62" s="20"/>
      <c r="G62" s="20"/>
      <c r="H62" s="107">
        <v>1.7494298245614033</v>
      </c>
      <c r="I62" s="108">
        <v>0.28882972582972677</v>
      </c>
      <c r="J62" s="108">
        <v>0.25620841959972473</v>
      </c>
      <c r="K62" s="109">
        <v>0.27394444444444455</v>
      </c>
      <c r="L62" s="107">
        <v>0.29753748006379643</v>
      </c>
      <c r="M62" s="108">
        <v>0.16276987924356368</v>
      </c>
      <c r="N62" s="108">
        <v>0.16539793158786331</v>
      </c>
      <c r="O62" s="109">
        <v>0.28000724637681085</v>
      </c>
      <c r="P62" s="107">
        <v>0.72228643504185319</v>
      </c>
      <c r="Q62" s="108">
        <v>0.1070829725829725</v>
      </c>
      <c r="R62" s="108">
        <v>8.0530303030303063E-2</v>
      </c>
      <c r="S62" s="109">
        <v>0.19774185463659144</v>
      </c>
      <c r="T62" s="107">
        <v>7.825910926305661</v>
      </c>
      <c r="U62" s="108">
        <v>-0.90806022408963605</v>
      </c>
      <c r="V62" s="108">
        <v>-1.4397914862914858</v>
      </c>
      <c r="W62" s="109">
        <v>-1.1032962962962962</v>
      </c>
      <c r="X62" s="107">
        <v>3.0571331738436998</v>
      </c>
      <c r="Y62" s="108">
        <v>-0.94385714285714273</v>
      </c>
      <c r="Z62" s="108">
        <v>1.3712525252525254</v>
      </c>
      <c r="AA62" s="109">
        <v>1.2871212121212121</v>
      </c>
      <c r="AB62" s="107">
        <v>-2.9919576719576568E-2</v>
      </c>
      <c r="AC62" s="108">
        <v>-0.47020476190476201</v>
      </c>
      <c r="AD62" s="108">
        <v>-1.7379955141476879</v>
      </c>
      <c r="AE62" s="109">
        <v>-0.70884920634920645</v>
      </c>
      <c r="AF62" s="107">
        <v>5.0556826849733394E-2</v>
      </c>
      <c r="AG62" s="108">
        <v>-0.49294486215538802</v>
      </c>
      <c r="AH62" s="108">
        <v>1.7192185354691076</v>
      </c>
      <c r="AI62" s="109">
        <v>0.21595454545454551</v>
      </c>
      <c r="AJ62" s="107">
        <v>3.043785935426802</v>
      </c>
      <c r="AK62" s="108">
        <v>-0.44818774208247891</v>
      </c>
      <c r="AL62" s="108">
        <v>-0.42400251286978952</v>
      </c>
      <c r="AM62" s="109">
        <v>-0.18357780801916901</v>
      </c>
      <c r="AN62" s="107">
        <v>0.34248955722639929</v>
      </c>
      <c r="AO62" s="108">
        <v>-0.33522414622414631</v>
      </c>
      <c r="AP62" s="108">
        <v>-0.48076148705096022</v>
      </c>
      <c r="AQ62" s="109">
        <v>-0.11430184761420437</v>
      </c>
      <c r="AR62" s="107">
        <v>-0.17016594516594519</v>
      </c>
      <c r="AS62" s="108">
        <v>-0.23708513708513701</v>
      </c>
      <c r="AT62" s="108">
        <v>-0.47520315941368585</v>
      </c>
      <c r="AU62" s="109">
        <v>-0.66868905217589414</v>
      </c>
      <c r="AV62" s="107">
        <v>-0.18492968904733642</v>
      </c>
      <c r="AW62" s="108">
        <v>-0.56048941798941776</v>
      </c>
      <c r="AX62" s="108">
        <v>-0.44569487890850201</v>
      </c>
      <c r="AY62" s="109">
        <v>-0.42553550543024166</v>
      </c>
      <c r="AZ62" s="107">
        <v>1.8157354287252669</v>
      </c>
      <c r="BA62" s="108">
        <v>-0.635851851851851</v>
      </c>
      <c r="BB62" s="108">
        <v>-0.82457131465026201</v>
      </c>
      <c r="BC62" s="109">
        <v>0.52437493305914451</v>
      </c>
      <c r="BD62" s="107">
        <v>0.37663797174094649</v>
      </c>
      <c r="BE62" s="108">
        <v>-0.64684609250398717</v>
      </c>
      <c r="BF62" s="108">
        <v>-1.1496334185848256</v>
      </c>
      <c r="BG62" s="109">
        <v>-0.8642636738906091</v>
      </c>
      <c r="BH62" s="107">
        <v>0.4338174029845856</v>
      </c>
      <c r="BI62" s="108">
        <v>-0.52807539682539684</v>
      </c>
      <c r="BJ62" s="108">
        <v>-0.58078084099136684</v>
      </c>
      <c r="BK62" s="109">
        <v>-0.44133333333333313</v>
      </c>
      <c r="BL62" s="107">
        <v>0.99700000000000077</v>
      </c>
      <c r="BM62" s="108">
        <v>-0.63599999999999968</v>
      </c>
      <c r="BN62" s="108">
        <v>-0.92200000000000015</v>
      </c>
      <c r="BO62" s="109">
        <v>-0.53300000000000081</v>
      </c>
      <c r="BP62" s="107">
        <v>1.2460000000000009</v>
      </c>
      <c r="BQ62" s="108">
        <v>-0.74933333333333296</v>
      </c>
      <c r="BR62" s="108">
        <v>-0.95833333333333304</v>
      </c>
      <c r="BS62" s="109">
        <v>-0.54399999999999959</v>
      </c>
      <c r="BT62" s="107">
        <v>2.1364999999999998</v>
      </c>
      <c r="BU62" s="108"/>
      <c r="BV62" s="108"/>
      <c r="BW62" s="109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</row>
    <row r="63" spans="1:90" x14ac:dyDescent="0.25">
      <c r="A63" s="9"/>
      <c r="B63" s="9"/>
      <c r="C63" s="3" t="s">
        <v>12</v>
      </c>
      <c r="D63" s="130" t="s">
        <v>205</v>
      </c>
      <c r="E63" s="3" t="s">
        <v>207</v>
      </c>
      <c r="F63" s="20"/>
      <c r="G63" s="20"/>
      <c r="H63" s="107">
        <v>1.7494298245614033</v>
      </c>
      <c r="I63" s="108">
        <v>0.28882972582972677</v>
      </c>
      <c r="J63" s="108">
        <v>0.25620841959972473</v>
      </c>
      <c r="K63" s="109">
        <v>0.27394444444444455</v>
      </c>
      <c r="L63" s="107">
        <v>0.29753748006379643</v>
      </c>
      <c r="M63" s="108">
        <v>0.16276987924356368</v>
      </c>
      <c r="N63" s="108">
        <v>0.16539793158786331</v>
      </c>
      <c r="O63" s="109">
        <v>0.28000724637681085</v>
      </c>
      <c r="P63" s="107">
        <v>0.72228643504185319</v>
      </c>
      <c r="Q63" s="108">
        <v>0.1070829725829725</v>
      </c>
      <c r="R63" s="108">
        <v>8.0530303030303063E-2</v>
      </c>
      <c r="S63" s="109">
        <v>0.19774185463659144</v>
      </c>
      <c r="T63" s="107">
        <v>7.825910926305661</v>
      </c>
      <c r="U63" s="108">
        <v>-0.90806022408963605</v>
      </c>
      <c r="V63" s="108">
        <v>-1.4397914862914858</v>
      </c>
      <c r="W63" s="109">
        <v>-1.1032962962962962</v>
      </c>
      <c r="X63" s="107">
        <v>3.0571331738436998</v>
      </c>
      <c r="Y63" s="108">
        <v>-0.94385714285714273</v>
      </c>
      <c r="Z63" s="108">
        <v>1.3712525252525254</v>
      </c>
      <c r="AA63" s="109">
        <v>1.2871212121212121</v>
      </c>
      <c r="AB63" s="107">
        <v>-2.9919576719576568E-2</v>
      </c>
      <c r="AC63" s="108">
        <v>-0.47020476190476201</v>
      </c>
      <c r="AD63" s="108">
        <v>-1.7379955141476879</v>
      </c>
      <c r="AE63" s="109">
        <v>-0.70884920634920645</v>
      </c>
      <c r="AF63" s="107">
        <v>5.0556826849733394E-2</v>
      </c>
      <c r="AG63" s="108">
        <v>-0.49294486215538802</v>
      </c>
      <c r="AH63" s="108">
        <v>1.7192185354691076</v>
      </c>
      <c r="AI63" s="109">
        <v>0.21595454545454551</v>
      </c>
      <c r="AJ63" s="107">
        <v>3.043785935426802</v>
      </c>
      <c r="AK63" s="108">
        <v>-0.44818774208247891</v>
      </c>
      <c r="AL63" s="108">
        <v>-0.42400251286978952</v>
      </c>
      <c r="AM63" s="109">
        <v>-0.18357780801916901</v>
      </c>
      <c r="AN63" s="107">
        <v>0.34248955722639929</v>
      </c>
      <c r="AO63" s="108">
        <v>-0.33522414622414631</v>
      </c>
      <c r="AP63" s="108">
        <v>-0.48076148705096022</v>
      </c>
      <c r="AQ63" s="109">
        <v>-0.11430184761420437</v>
      </c>
      <c r="AR63" s="107">
        <v>-0.17016594516594519</v>
      </c>
      <c r="AS63" s="108">
        <v>-0.23708513708513701</v>
      </c>
      <c r="AT63" s="108">
        <v>-0.47520315941368585</v>
      </c>
      <c r="AU63" s="109">
        <v>-0.66868905217589414</v>
      </c>
      <c r="AV63" s="107">
        <v>-0.18492968904733642</v>
      </c>
      <c r="AW63" s="108">
        <v>-0.56048941798941776</v>
      </c>
      <c r="AX63" s="108">
        <v>-0.44569487890850201</v>
      </c>
      <c r="AY63" s="109">
        <v>-0.42553550543024166</v>
      </c>
      <c r="AZ63" s="107">
        <v>1.8157354287252669</v>
      </c>
      <c r="BA63" s="108">
        <v>-0.635851851851851</v>
      </c>
      <c r="BB63" s="108">
        <v>-0.82457131465026201</v>
      </c>
      <c r="BC63" s="109">
        <v>0.52437493305914451</v>
      </c>
      <c r="BD63" s="107">
        <v>0.37663797174094649</v>
      </c>
      <c r="BE63" s="108">
        <v>-0.64684609250398717</v>
      </c>
      <c r="BF63" s="108">
        <v>-1.1496334185848256</v>
      </c>
      <c r="BG63" s="109">
        <v>-0.8642636738906091</v>
      </c>
      <c r="BH63" s="107">
        <v>0.4338174029845856</v>
      </c>
      <c r="BI63" s="108">
        <v>-0.52807539682539684</v>
      </c>
      <c r="BJ63" s="108">
        <v>-0.58078084099136684</v>
      </c>
      <c r="BK63" s="109">
        <v>-0.44133333333333313</v>
      </c>
      <c r="BL63" s="107">
        <v>0.99700000000000077</v>
      </c>
      <c r="BM63" s="108">
        <v>-0.63599999999999968</v>
      </c>
      <c r="BN63" s="108">
        <v>-0.92200000000000015</v>
      </c>
      <c r="BO63" s="109">
        <v>-0.53300000000000081</v>
      </c>
      <c r="BP63" s="107">
        <v>1.2460000000000009</v>
      </c>
      <c r="BQ63" s="108">
        <v>-0.74933333333333296</v>
      </c>
      <c r="BR63" s="108">
        <v>-0.95833333333333304</v>
      </c>
      <c r="BS63" s="109">
        <v>-0.54399999999999959</v>
      </c>
      <c r="BT63" s="107">
        <v>2.1364999999999998</v>
      </c>
      <c r="BU63" s="108"/>
      <c r="BV63" s="108"/>
      <c r="BW63" s="109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</row>
    <row r="64" spans="1:90" x14ac:dyDescent="0.25">
      <c r="A64" s="9"/>
      <c r="B64" s="9"/>
      <c r="C64" s="3" t="s">
        <v>13</v>
      </c>
      <c r="D64" s="130" t="s">
        <v>205</v>
      </c>
      <c r="E64" s="3" t="s">
        <v>207</v>
      </c>
      <c r="F64" s="20"/>
      <c r="G64" s="20"/>
      <c r="H64" s="107">
        <v>1.7494298245614033</v>
      </c>
      <c r="I64" s="108">
        <v>0.28882972582972677</v>
      </c>
      <c r="J64" s="108">
        <v>0.25620841959972473</v>
      </c>
      <c r="K64" s="109">
        <v>0.27394444444444455</v>
      </c>
      <c r="L64" s="107">
        <v>0.29753748006379643</v>
      </c>
      <c r="M64" s="108">
        <v>0.16276987924356368</v>
      </c>
      <c r="N64" s="108">
        <v>0.16539793158786331</v>
      </c>
      <c r="O64" s="109">
        <v>0.28000724637681085</v>
      </c>
      <c r="P64" s="107">
        <v>0.72228643504185319</v>
      </c>
      <c r="Q64" s="108">
        <v>0.1070829725829725</v>
      </c>
      <c r="R64" s="108">
        <v>8.0530303030303063E-2</v>
      </c>
      <c r="S64" s="109">
        <v>0.19774185463659144</v>
      </c>
      <c r="T64" s="107">
        <v>7.825910926305661</v>
      </c>
      <c r="U64" s="108">
        <v>-0.90806022408963605</v>
      </c>
      <c r="V64" s="108">
        <v>-1.4397914862914858</v>
      </c>
      <c r="W64" s="109">
        <v>-1.1032962962962962</v>
      </c>
      <c r="X64" s="107">
        <v>3.0571331738436998</v>
      </c>
      <c r="Y64" s="108">
        <v>-0.94385714285714273</v>
      </c>
      <c r="Z64" s="108">
        <v>1.3712525252525254</v>
      </c>
      <c r="AA64" s="109">
        <v>1.2871212121212121</v>
      </c>
      <c r="AB64" s="107">
        <v>-2.9919576719576568E-2</v>
      </c>
      <c r="AC64" s="108">
        <v>-0.47020476190476201</v>
      </c>
      <c r="AD64" s="108">
        <v>-1.7379955141476879</v>
      </c>
      <c r="AE64" s="109">
        <v>-0.70884920634920645</v>
      </c>
      <c r="AF64" s="107">
        <v>5.0556826849733394E-2</v>
      </c>
      <c r="AG64" s="108">
        <v>-0.49294486215538802</v>
      </c>
      <c r="AH64" s="108">
        <v>1.7192185354691076</v>
      </c>
      <c r="AI64" s="109">
        <v>0.21595454545454551</v>
      </c>
      <c r="AJ64" s="107">
        <v>3.043785935426802</v>
      </c>
      <c r="AK64" s="108">
        <v>-0.44818774208247891</v>
      </c>
      <c r="AL64" s="108">
        <v>-0.42400251286978952</v>
      </c>
      <c r="AM64" s="109">
        <v>-0.18357780801916901</v>
      </c>
      <c r="AN64" s="107">
        <v>0.34248955722639929</v>
      </c>
      <c r="AO64" s="108">
        <v>-0.33522414622414631</v>
      </c>
      <c r="AP64" s="108">
        <v>-0.48076148705096022</v>
      </c>
      <c r="AQ64" s="109">
        <v>-0.11430184761420437</v>
      </c>
      <c r="AR64" s="107">
        <v>-0.17016594516594519</v>
      </c>
      <c r="AS64" s="108">
        <v>-0.23708513708513701</v>
      </c>
      <c r="AT64" s="108">
        <v>-0.47520315941368585</v>
      </c>
      <c r="AU64" s="109">
        <v>-0.66868905217589414</v>
      </c>
      <c r="AV64" s="107">
        <v>-0.18492968904733642</v>
      </c>
      <c r="AW64" s="108">
        <v>-0.56048941798941776</v>
      </c>
      <c r="AX64" s="108">
        <v>-0.44569487890850201</v>
      </c>
      <c r="AY64" s="109">
        <v>-0.42553550543024166</v>
      </c>
      <c r="AZ64" s="107">
        <v>1.8157354287252669</v>
      </c>
      <c r="BA64" s="108">
        <v>-0.635851851851851</v>
      </c>
      <c r="BB64" s="108">
        <v>-0.82457131465026201</v>
      </c>
      <c r="BC64" s="109">
        <v>0.52437493305914451</v>
      </c>
      <c r="BD64" s="107">
        <v>0.37663797174094649</v>
      </c>
      <c r="BE64" s="108">
        <v>-0.64684609250398717</v>
      </c>
      <c r="BF64" s="108">
        <v>-1.1496334185848256</v>
      </c>
      <c r="BG64" s="109">
        <v>-0.8642636738906091</v>
      </c>
      <c r="BH64" s="107">
        <v>0.4338174029845856</v>
      </c>
      <c r="BI64" s="108">
        <v>-0.52807539682539684</v>
      </c>
      <c r="BJ64" s="108">
        <v>-0.58078084099136684</v>
      </c>
      <c r="BK64" s="109">
        <v>-0.44133333333333313</v>
      </c>
      <c r="BL64" s="107">
        <v>0.99700000000000077</v>
      </c>
      <c r="BM64" s="108">
        <v>-0.63599999999999968</v>
      </c>
      <c r="BN64" s="108">
        <v>-0.92200000000000015</v>
      </c>
      <c r="BO64" s="109">
        <v>-0.53300000000000081</v>
      </c>
      <c r="BP64" s="107">
        <v>1.2460000000000009</v>
      </c>
      <c r="BQ64" s="108">
        <v>-0.74933333333333296</v>
      </c>
      <c r="BR64" s="108">
        <v>-0.95833333333333304</v>
      </c>
      <c r="BS64" s="109">
        <v>-0.54399999999999959</v>
      </c>
      <c r="BT64" s="107">
        <v>2.1364999999999998</v>
      </c>
      <c r="BU64" s="108"/>
      <c r="BV64" s="108"/>
      <c r="BW64" s="109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</row>
    <row r="65" spans="1:90" x14ac:dyDescent="0.25">
      <c r="A65" s="9"/>
      <c r="B65" s="9"/>
      <c r="C65" s="3" t="s">
        <v>14</v>
      </c>
      <c r="D65" s="130" t="s">
        <v>205</v>
      </c>
      <c r="E65" s="3" t="s">
        <v>208</v>
      </c>
      <c r="F65" s="20"/>
      <c r="G65" s="20"/>
      <c r="H65" s="107">
        <v>0</v>
      </c>
      <c r="I65" s="108">
        <v>0</v>
      </c>
      <c r="J65" s="108">
        <v>0</v>
      </c>
      <c r="K65" s="109">
        <v>0</v>
      </c>
      <c r="L65" s="107">
        <v>0</v>
      </c>
      <c r="M65" s="108">
        <v>0</v>
      </c>
      <c r="N65" s="108">
        <v>0</v>
      </c>
      <c r="O65" s="109">
        <v>0</v>
      </c>
      <c r="P65" s="107">
        <v>0</v>
      </c>
      <c r="Q65" s="108">
        <v>0</v>
      </c>
      <c r="R65" s="108">
        <v>0</v>
      </c>
      <c r="S65" s="109">
        <v>0</v>
      </c>
      <c r="T65" s="107">
        <v>0</v>
      </c>
      <c r="U65" s="108">
        <v>0</v>
      </c>
      <c r="V65" s="108">
        <v>0</v>
      </c>
      <c r="W65" s="109">
        <v>0</v>
      </c>
      <c r="X65" s="107">
        <v>0</v>
      </c>
      <c r="Y65" s="108">
        <v>0</v>
      </c>
      <c r="Z65" s="108">
        <v>0</v>
      </c>
      <c r="AA65" s="109">
        <v>0</v>
      </c>
      <c r="AB65" s="107">
        <v>0</v>
      </c>
      <c r="AC65" s="108">
        <v>0</v>
      </c>
      <c r="AD65" s="108">
        <v>0</v>
      </c>
      <c r="AE65" s="109">
        <v>0</v>
      </c>
      <c r="AF65" s="107">
        <v>0</v>
      </c>
      <c r="AG65" s="108">
        <v>0</v>
      </c>
      <c r="AH65" s="108">
        <v>0</v>
      </c>
      <c r="AI65" s="109">
        <v>0</v>
      </c>
      <c r="AJ65" s="107">
        <v>0</v>
      </c>
      <c r="AK65" s="108">
        <v>0</v>
      </c>
      <c r="AL65" s="108">
        <v>0</v>
      </c>
      <c r="AM65" s="109">
        <v>0</v>
      </c>
      <c r="AN65" s="107">
        <v>0</v>
      </c>
      <c r="AO65" s="108">
        <v>0</v>
      </c>
      <c r="AP65" s="108">
        <v>0</v>
      </c>
      <c r="AQ65" s="109">
        <v>0</v>
      </c>
      <c r="AR65" s="107">
        <v>0</v>
      </c>
      <c r="AS65" s="108">
        <v>0</v>
      </c>
      <c r="AT65" s="108">
        <v>0</v>
      </c>
      <c r="AU65" s="109">
        <v>0</v>
      </c>
      <c r="AV65" s="107">
        <v>0</v>
      </c>
      <c r="AW65" s="108">
        <v>0</v>
      </c>
      <c r="AX65" s="108">
        <v>0</v>
      </c>
      <c r="AY65" s="109">
        <v>0</v>
      </c>
      <c r="AZ65" s="107">
        <v>0</v>
      </c>
      <c r="BA65" s="108">
        <v>0</v>
      </c>
      <c r="BB65" s="108">
        <v>0</v>
      </c>
      <c r="BC65" s="109">
        <v>0</v>
      </c>
      <c r="BD65" s="107">
        <v>0</v>
      </c>
      <c r="BE65" s="108">
        <v>0</v>
      </c>
      <c r="BF65" s="108">
        <v>0</v>
      </c>
      <c r="BG65" s="109">
        <v>0</v>
      </c>
      <c r="BH65" s="107">
        <v>0</v>
      </c>
      <c r="BI65" s="108">
        <v>0</v>
      </c>
      <c r="BJ65" s="108">
        <v>0</v>
      </c>
      <c r="BK65" s="109">
        <v>0</v>
      </c>
      <c r="BL65" s="107">
        <v>0</v>
      </c>
      <c r="BM65" s="108">
        <v>0</v>
      </c>
      <c r="BN65" s="108">
        <v>0</v>
      </c>
      <c r="BO65" s="109">
        <v>0</v>
      </c>
      <c r="BP65" s="107">
        <v>0</v>
      </c>
      <c r="BQ65" s="108">
        <v>0</v>
      </c>
      <c r="BR65" s="108">
        <v>0</v>
      </c>
      <c r="BS65" s="109">
        <v>0</v>
      </c>
      <c r="BT65" s="107">
        <v>0</v>
      </c>
      <c r="BU65" s="108"/>
      <c r="BV65" s="108"/>
      <c r="BW65" s="109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</row>
    <row r="66" spans="1:90" x14ac:dyDescent="0.25">
      <c r="A66" s="9"/>
      <c r="B66" s="9"/>
      <c r="C66" s="3" t="s">
        <v>15</v>
      </c>
      <c r="D66" s="130" t="s">
        <v>205</v>
      </c>
      <c r="E66" s="3" t="s">
        <v>208</v>
      </c>
      <c r="F66" s="20"/>
      <c r="G66" s="20"/>
      <c r="H66" s="107">
        <v>0</v>
      </c>
      <c r="I66" s="108">
        <v>0</v>
      </c>
      <c r="J66" s="108">
        <v>0</v>
      </c>
      <c r="K66" s="109">
        <v>0</v>
      </c>
      <c r="L66" s="107">
        <v>0</v>
      </c>
      <c r="M66" s="108">
        <v>0</v>
      </c>
      <c r="N66" s="108">
        <v>0</v>
      </c>
      <c r="O66" s="109">
        <v>0</v>
      </c>
      <c r="P66" s="107">
        <v>0</v>
      </c>
      <c r="Q66" s="108">
        <v>0</v>
      </c>
      <c r="R66" s="108">
        <v>0</v>
      </c>
      <c r="S66" s="109">
        <v>0</v>
      </c>
      <c r="T66" s="107">
        <v>0</v>
      </c>
      <c r="U66" s="108">
        <v>0</v>
      </c>
      <c r="V66" s="108">
        <v>0</v>
      </c>
      <c r="W66" s="109">
        <v>0</v>
      </c>
      <c r="X66" s="107">
        <v>0</v>
      </c>
      <c r="Y66" s="108">
        <v>0</v>
      </c>
      <c r="Z66" s="108">
        <v>0</v>
      </c>
      <c r="AA66" s="109">
        <v>0</v>
      </c>
      <c r="AB66" s="107">
        <v>0</v>
      </c>
      <c r="AC66" s="108">
        <v>0</v>
      </c>
      <c r="AD66" s="108">
        <v>0</v>
      </c>
      <c r="AE66" s="109">
        <v>0</v>
      </c>
      <c r="AF66" s="107">
        <v>0</v>
      </c>
      <c r="AG66" s="108">
        <v>0</v>
      </c>
      <c r="AH66" s="108">
        <v>0</v>
      </c>
      <c r="AI66" s="109">
        <v>0</v>
      </c>
      <c r="AJ66" s="107">
        <v>0</v>
      </c>
      <c r="AK66" s="108">
        <v>0</v>
      </c>
      <c r="AL66" s="108">
        <v>0</v>
      </c>
      <c r="AM66" s="109">
        <v>0</v>
      </c>
      <c r="AN66" s="107">
        <v>0</v>
      </c>
      <c r="AO66" s="108">
        <v>0</v>
      </c>
      <c r="AP66" s="108">
        <v>0</v>
      </c>
      <c r="AQ66" s="109">
        <v>0</v>
      </c>
      <c r="AR66" s="107">
        <v>0</v>
      </c>
      <c r="AS66" s="108">
        <v>0</v>
      </c>
      <c r="AT66" s="108">
        <v>0</v>
      </c>
      <c r="AU66" s="109">
        <v>0</v>
      </c>
      <c r="AV66" s="107">
        <v>0</v>
      </c>
      <c r="AW66" s="108">
        <v>0</v>
      </c>
      <c r="AX66" s="108">
        <v>0</v>
      </c>
      <c r="AY66" s="109">
        <v>0</v>
      </c>
      <c r="AZ66" s="107">
        <v>0</v>
      </c>
      <c r="BA66" s="108">
        <v>0</v>
      </c>
      <c r="BB66" s="108">
        <v>0</v>
      </c>
      <c r="BC66" s="109">
        <v>0</v>
      </c>
      <c r="BD66" s="107">
        <v>0</v>
      </c>
      <c r="BE66" s="108">
        <v>0</v>
      </c>
      <c r="BF66" s="108">
        <v>0</v>
      </c>
      <c r="BG66" s="109">
        <v>0</v>
      </c>
      <c r="BH66" s="107">
        <v>0</v>
      </c>
      <c r="BI66" s="108">
        <v>0</v>
      </c>
      <c r="BJ66" s="108">
        <v>0</v>
      </c>
      <c r="BK66" s="109">
        <v>0</v>
      </c>
      <c r="BL66" s="107">
        <v>0</v>
      </c>
      <c r="BM66" s="108">
        <v>0</v>
      </c>
      <c r="BN66" s="108">
        <v>0</v>
      </c>
      <c r="BO66" s="109">
        <v>0</v>
      </c>
      <c r="BP66" s="107">
        <v>0</v>
      </c>
      <c r="BQ66" s="108">
        <v>0</v>
      </c>
      <c r="BR66" s="108">
        <v>0</v>
      </c>
      <c r="BS66" s="109">
        <v>0</v>
      </c>
      <c r="BT66" s="107">
        <v>0</v>
      </c>
      <c r="BU66" s="108"/>
      <c r="BV66" s="108"/>
      <c r="BW66" s="109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</row>
    <row r="67" spans="1:90" x14ac:dyDescent="0.25">
      <c r="A67" s="9"/>
      <c r="B67" s="9"/>
      <c r="C67" s="3" t="s">
        <v>16</v>
      </c>
      <c r="D67" s="130" t="s">
        <v>205</v>
      </c>
      <c r="E67" s="3" t="s">
        <v>208</v>
      </c>
      <c r="F67" s="20"/>
      <c r="G67" s="20"/>
      <c r="H67" s="107">
        <v>0</v>
      </c>
      <c r="I67" s="108">
        <v>0</v>
      </c>
      <c r="J67" s="108">
        <v>0</v>
      </c>
      <c r="K67" s="109">
        <v>0</v>
      </c>
      <c r="L67" s="107">
        <v>0</v>
      </c>
      <c r="M67" s="108">
        <v>0</v>
      </c>
      <c r="N67" s="108">
        <v>0</v>
      </c>
      <c r="O67" s="109">
        <v>0</v>
      </c>
      <c r="P67" s="107">
        <v>0</v>
      </c>
      <c r="Q67" s="108">
        <v>0</v>
      </c>
      <c r="R67" s="108">
        <v>0</v>
      </c>
      <c r="S67" s="109">
        <v>0</v>
      </c>
      <c r="T67" s="107">
        <v>0</v>
      </c>
      <c r="U67" s="108">
        <v>0</v>
      </c>
      <c r="V67" s="108">
        <v>0</v>
      </c>
      <c r="W67" s="109">
        <v>0</v>
      </c>
      <c r="X67" s="107">
        <v>0</v>
      </c>
      <c r="Y67" s="108">
        <v>0</v>
      </c>
      <c r="Z67" s="108">
        <v>0</v>
      </c>
      <c r="AA67" s="109">
        <v>0</v>
      </c>
      <c r="AB67" s="107">
        <v>0</v>
      </c>
      <c r="AC67" s="108">
        <v>0</v>
      </c>
      <c r="AD67" s="108">
        <v>0</v>
      </c>
      <c r="AE67" s="109">
        <v>0</v>
      </c>
      <c r="AF67" s="107">
        <v>0</v>
      </c>
      <c r="AG67" s="108">
        <v>0</v>
      </c>
      <c r="AH67" s="108">
        <v>0</v>
      </c>
      <c r="AI67" s="109">
        <v>0</v>
      </c>
      <c r="AJ67" s="107">
        <v>0</v>
      </c>
      <c r="AK67" s="108">
        <v>0</v>
      </c>
      <c r="AL67" s="108">
        <v>0</v>
      </c>
      <c r="AM67" s="109">
        <v>0</v>
      </c>
      <c r="AN67" s="107">
        <v>0</v>
      </c>
      <c r="AO67" s="108">
        <v>0</v>
      </c>
      <c r="AP67" s="108">
        <v>0</v>
      </c>
      <c r="AQ67" s="109">
        <v>0</v>
      </c>
      <c r="AR67" s="107">
        <v>0</v>
      </c>
      <c r="AS67" s="108">
        <v>0</v>
      </c>
      <c r="AT67" s="108">
        <v>0</v>
      </c>
      <c r="AU67" s="109">
        <v>0</v>
      </c>
      <c r="AV67" s="107">
        <v>0</v>
      </c>
      <c r="AW67" s="108">
        <v>0</v>
      </c>
      <c r="AX67" s="108">
        <v>0</v>
      </c>
      <c r="AY67" s="109">
        <v>0</v>
      </c>
      <c r="AZ67" s="107">
        <v>0</v>
      </c>
      <c r="BA67" s="108">
        <v>0</v>
      </c>
      <c r="BB67" s="108">
        <v>0</v>
      </c>
      <c r="BC67" s="109">
        <v>0</v>
      </c>
      <c r="BD67" s="107">
        <v>0</v>
      </c>
      <c r="BE67" s="108">
        <v>0</v>
      </c>
      <c r="BF67" s="108">
        <v>0</v>
      </c>
      <c r="BG67" s="109">
        <v>0</v>
      </c>
      <c r="BH67" s="107">
        <v>0</v>
      </c>
      <c r="BI67" s="108">
        <v>0</v>
      </c>
      <c r="BJ67" s="108">
        <v>0</v>
      </c>
      <c r="BK67" s="109">
        <v>0</v>
      </c>
      <c r="BL67" s="107">
        <v>0</v>
      </c>
      <c r="BM67" s="108">
        <v>0</v>
      </c>
      <c r="BN67" s="108">
        <v>0</v>
      </c>
      <c r="BO67" s="109">
        <v>0</v>
      </c>
      <c r="BP67" s="107">
        <v>0</v>
      </c>
      <c r="BQ67" s="108">
        <v>0</v>
      </c>
      <c r="BR67" s="108">
        <v>0</v>
      </c>
      <c r="BS67" s="109">
        <v>0</v>
      </c>
      <c r="BT67" s="107">
        <v>0</v>
      </c>
      <c r="BU67" s="108"/>
      <c r="BV67" s="108"/>
      <c r="BW67" s="109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</row>
    <row r="68" spans="1:90" x14ac:dyDescent="0.25">
      <c r="A68" s="9"/>
      <c r="B68" s="9"/>
      <c r="C68" s="3" t="s">
        <v>17</v>
      </c>
      <c r="D68" s="130" t="s">
        <v>205</v>
      </c>
      <c r="E68" s="3" t="s">
        <v>208</v>
      </c>
      <c r="F68" s="20"/>
      <c r="G68" s="20"/>
      <c r="H68" s="107">
        <v>0</v>
      </c>
      <c r="I68" s="108">
        <v>0</v>
      </c>
      <c r="J68" s="108">
        <v>0</v>
      </c>
      <c r="K68" s="109">
        <v>0</v>
      </c>
      <c r="L68" s="107">
        <v>0</v>
      </c>
      <c r="M68" s="108">
        <v>0</v>
      </c>
      <c r="N68" s="108">
        <v>0</v>
      </c>
      <c r="O68" s="109">
        <v>0</v>
      </c>
      <c r="P68" s="107">
        <v>0</v>
      </c>
      <c r="Q68" s="108">
        <v>0</v>
      </c>
      <c r="R68" s="108">
        <v>0</v>
      </c>
      <c r="S68" s="109">
        <v>0</v>
      </c>
      <c r="T68" s="107">
        <v>0</v>
      </c>
      <c r="U68" s="108">
        <v>0</v>
      </c>
      <c r="V68" s="108">
        <v>0</v>
      </c>
      <c r="W68" s="109">
        <v>0</v>
      </c>
      <c r="X68" s="107">
        <v>0</v>
      </c>
      <c r="Y68" s="108">
        <v>0</v>
      </c>
      <c r="Z68" s="108">
        <v>0</v>
      </c>
      <c r="AA68" s="109">
        <v>0</v>
      </c>
      <c r="AB68" s="107">
        <v>0</v>
      </c>
      <c r="AC68" s="108">
        <v>0</v>
      </c>
      <c r="AD68" s="108">
        <v>0</v>
      </c>
      <c r="AE68" s="109">
        <v>0</v>
      </c>
      <c r="AF68" s="107">
        <v>0</v>
      </c>
      <c r="AG68" s="108">
        <v>0</v>
      </c>
      <c r="AH68" s="108">
        <v>0</v>
      </c>
      <c r="AI68" s="109">
        <v>0</v>
      </c>
      <c r="AJ68" s="107">
        <v>0</v>
      </c>
      <c r="AK68" s="108">
        <v>0</v>
      </c>
      <c r="AL68" s="108">
        <v>0</v>
      </c>
      <c r="AM68" s="109">
        <v>0</v>
      </c>
      <c r="AN68" s="107">
        <v>0</v>
      </c>
      <c r="AO68" s="108">
        <v>0</v>
      </c>
      <c r="AP68" s="108">
        <v>0</v>
      </c>
      <c r="AQ68" s="109">
        <v>0</v>
      </c>
      <c r="AR68" s="107">
        <v>0</v>
      </c>
      <c r="AS68" s="108">
        <v>0</v>
      </c>
      <c r="AT68" s="108">
        <v>0</v>
      </c>
      <c r="AU68" s="109">
        <v>0</v>
      </c>
      <c r="AV68" s="107">
        <v>0</v>
      </c>
      <c r="AW68" s="108">
        <v>0</v>
      </c>
      <c r="AX68" s="108">
        <v>0</v>
      </c>
      <c r="AY68" s="109">
        <v>0</v>
      </c>
      <c r="AZ68" s="107">
        <v>0</v>
      </c>
      <c r="BA68" s="108">
        <v>0</v>
      </c>
      <c r="BB68" s="108">
        <v>0</v>
      </c>
      <c r="BC68" s="109">
        <v>0</v>
      </c>
      <c r="BD68" s="107">
        <v>0</v>
      </c>
      <c r="BE68" s="108">
        <v>0</v>
      </c>
      <c r="BF68" s="108">
        <v>0</v>
      </c>
      <c r="BG68" s="109">
        <v>0</v>
      </c>
      <c r="BH68" s="107">
        <v>0</v>
      </c>
      <c r="BI68" s="108">
        <v>0</v>
      </c>
      <c r="BJ68" s="108">
        <v>0</v>
      </c>
      <c r="BK68" s="109">
        <v>0</v>
      </c>
      <c r="BL68" s="107">
        <v>0</v>
      </c>
      <c r="BM68" s="108">
        <v>0</v>
      </c>
      <c r="BN68" s="108">
        <v>0</v>
      </c>
      <c r="BO68" s="109">
        <v>0</v>
      </c>
      <c r="BP68" s="107">
        <v>0</v>
      </c>
      <c r="BQ68" s="108">
        <v>0</v>
      </c>
      <c r="BR68" s="108">
        <v>0</v>
      </c>
      <c r="BS68" s="109">
        <v>0</v>
      </c>
      <c r="BT68" s="107">
        <v>0</v>
      </c>
      <c r="BU68" s="108"/>
      <c r="BV68" s="108"/>
      <c r="BW68" s="109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</row>
    <row r="69" spans="1:90" x14ac:dyDescent="0.25">
      <c r="A69" s="9"/>
      <c r="B69" s="9"/>
      <c r="C69" s="3" t="s">
        <v>18</v>
      </c>
      <c r="D69" s="130" t="s">
        <v>205</v>
      </c>
      <c r="E69" s="3" t="s">
        <v>208</v>
      </c>
      <c r="F69" s="20"/>
      <c r="G69" s="20"/>
      <c r="H69" s="107">
        <v>0</v>
      </c>
      <c r="I69" s="108">
        <v>0</v>
      </c>
      <c r="J69" s="108">
        <v>0</v>
      </c>
      <c r="K69" s="109">
        <v>0</v>
      </c>
      <c r="L69" s="107">
        <v>0</v>
      </c>
      <c r="M69" s="108">
        <v>0</v>
      </c>
      <c r="N69" s="108">
        <v>0</v>
      </c>
      <c r="O69" s="109">
        <v>0</v>
      </c>
      <c r="P69" s="107">
        <v>0</v>
      </c>
      <c r="Q69" s="108">
        <v>0</v>
      </c>
      <c r="R69" s="108">
        <v>0</v>
      </c>
      <c r="S69" s="109">
        <v>0</v>
      </c>
      <c r="T69" s="107">
        <v>0</v>
      </c>
      <c r="U69" s="108">
        <v>0</v>
      </c>
      <c r="V69" s="108">
        <v>0</v>
      </c>
      <c r="W69" s="109">
        <v>0</v>
      </c>
      <c r="X69" s="107">
        <v>0</v>
      </c>
      <c r="Y69" s="108">
        <v>0</v>
      </c>
      <c r="Z69" s="108">
        <v>0</v>
      </c>
      <c r="AA69" s="109">
        <v>0</v>
      </c>
      <c r="AB69" s="107">
        <v>0</v>
      </c>
      <c r="AC69" s="108">
        <v>0</v>
      </c>
      <c r="AD69" s="108">
        <v>0</v>
      </c>
      <c r="AE69" s="109">
        <v>0</v>
      </c>
      <c r="AF69" s="107">
        <v>0</v>
      </c>
      <c r="AG69" s="108">
        <v>0</v>
      </c>
      <c r="AH69" s="108">
        <v>0</v>
      </c>
      <c r="AI69" s="109">
        <v>0</v>
      </c>
      <c r="AJ69" s="107">
        <v>0</v>
      </c>
      <c r="AK69" s="108">
        <v>0</v>
      </c>
      <c r="AL69" s="108">
        <v>0</v>
      </c>
      <c r="AM69" s="109">
        <v>0</v>
      </c>
      <c r="AN69" s="107">
        <v>0</v>
      </c>
      <c r="AO69" s="108">
        <v>0</v>
      </c>
      <c r="AP69" s="108">
        <v>0</v>
      </c>
      <c r="AQ69" s="109">
        <v>0</v>
      </c>
      <c r="AR69" s="107">
        <v>0</v>
      </c>
      <c r="AS69" s="108">
        <v>0</v>
      </c>
      <c r="AT69" s="108">
        <v>0</v>
      </c>
      <c r="AU69" s="109">
        <v>0</v>
      </c>
      <c r="AV69" s="107">
        <v>0</v>
      </c>
      <c r="AW69" s="108">
        <v>0</v>
      </c>
      <c r="AX69" s="108">
        <v>0</v>
      </c>
      <c r="AY69" s="109">
        <v>0</v>
      </c>
      <c r="AZ69" s="107">
        <v>0</v>
      </c>
      <c r="BA69" s="108">
        <v>0</v>
      </c>
      <c r="BB69" s="108">
        <v>0</v>
      </c>
      <c r="BC69" s="109">
        <v>0</v>
      </c>
      <c r="BD69" s="107">
        <v>0</v>
      </c>
      <c r="BE69" s="108">
        <v>0</v>
      </c>
      <c r="BF69" s="108">
        <v>0</v>
      </c>
      <c r="BG69" s="109">
        <v>0</v>
      </c>
      <c r="BH69" s="107">
        <v>0</v>
      </c>
      <c r="BI69" s="108">
        <v>0</v>
      </c>
      <c r="BJ69" s="108">
        <v>0</v>
      </c>
      <c r="BK69" s="109">
        <v>0</v>
      </c>
      <c r="BL69" s="107">
        <v>0</v>
      </c>
      <c r="BM69" s="108">
        <v>0</v>
      </c>
      <c r="BN69" s="108">
        <v>0</v>
      </c>
      <c r="BO69" s="109">
        <v>0</v>
      </c>
      <c r="BP69" s="107">
        <v>0</v>
      </c>
      <c r="BQ69" s="108">
        <v>0</v>
      </c>
      <c r="BR69" s="108">
        <v>0</v>
      </c>
      <c r="BS69" s="109">
        <v>0</v>
      </c>
      <c r="BT69" s="107">
        <v>0</v>
      </c>
      <c r="BU69" s="108"/>
      <c r="BV69" s="108"/>
      <c r="BW69" s="109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</row>
    <row r="70" spans="1:90" x14ac:dyDescent="0.25">
      <c r="A70" s="9"/>
      <c r="B70" s="9"/>
      <c r="C70" s="3" t="s">
        <v>19</v>
      </c>
      <c r="D70" s="130" t="s">
        <v>205</v>
      </c>
      <c r="E70" s="3" t="s">
        <v>209</v>
      </c>
      <c r="F70" s="20"/>
      <c r="G70" s="20"/>
      <c r="H70" s="107">
        <v>-3.4329900839054517E-2</v>
      </c>
      <c r="I70" s="108">
        <v>2.6424603174604044E-2</v>
      </c>
      <c r="J70" s="108">
        <v>0.14779629629629731</v>
      </c>
      <c r="K70" s="109">
        <v>0.31662799154749655</v>
      </c>
      <c r="L70" s="107">
        <v>0.32185220627325917</v>
      </c>
      <c r="M70" s="108">
        <v>0.27271352772900759</v>
      </c>
      <c r="N70" s="108">
        <v>0.21824526731849403</v>
      </c>
      <c r="O70" s="109">
        <v>0.32701970256701651</v>
      </c>
      <c r="P70" s="107">
        <v>0.26670485288132362</v>
      </c>
      <c r="Q70" s="108">
        <v>0.15449513449513397</v>
      </c>
      <c r="R70" s="108">
        <v>0.31230880230880231</v>
      </c>
      <c r="S70" s="109">
        <v>0.31175980392156921</v>
      </c>
      <c r="T70" s="107">
        <v>0.50265197765197733</v>
      </c>
      <c r="U70" s="108">
        <v>0.30527433780529734</v>
      </c>
      <c r="V70" s="108">
        <v>0.52326100530589725</v>
      </c>
      <c r="W70" s="109">
        <v>0.11419047619047662</v>
      </c>
      <c r="X70" s="107">
        <v>-8.0208333333333659E-2</v>
      </c>
      <c r="Y70" s="108">
        <v>0.27747712418300674</v>
      </c>
      <c r="Z70" s="108">
        <v>3.0173606237816766</v>
      </c>
      <c r="AA70" s="109">
        <v>2.5278095238095237</v>
      </c>
      <c r="AB70" s="107">
        <v>0.29793928571428574</v>
      </c>
      <c r="AC70" s="108">
        <v>0.15017385620915036</v>
      </c>
      <c r="AD70" s="108">
        <v>-0.14299771167048059</v>
      </c>
      <c r="AE70" s="109">
        <v>9.5501253132831643E-2</v>
      </c>
      <c r="AF70" s="107">
        <v>0.25017450142450226</v>
      </c>
      <c r="AG70" s="108">
        <v>0.18115715983363057</v>
      </c>
      <c r="AH70" s="108">
        <v>3.2436414754835812</v>
      </c>
      <c r="AI70" s="109">
        <v>1.3857407407407409</v>
      </c>
      <c r="AJ70" s="107">
        <v>0.96738103428505928</v>
      </c>
      <c r="AK70" s="108">
        <v>0.19134215068270777</v>
      </c>
      <c r="AL70" s="108">
        <v>4.8859118261177743</v>
      </c>
      <c r="AM70" s="109">
        <v>2.6667931706753385</v>
      </c>
      <c r="AN70" s="107">
        <v>3.7040421888053467</v>
      </c>
      <c r="AO70" s="108">
        <v>6.4640211640211831E-2</v>
      </c>
      <c r="AP70" s="108">
        <v>0.63307769423558913</v>
      </c>
      <c r="AQ70" s="109">
        <v>2.1900410392990151</v>
      </c>
      <c r="AR70" s="107">
        <v>0.95993886230728354</v>
      </c>
      <c r="AS70" s="108">
        <v>0.16350889478598485</v>
      </c>
      <c r="AT70" s="108">
        <v>1.2246645654540391</v>
      </c>
      <c r="AU70" s="109">
        <v>1.8085396825396827</v>
      </c>
      <c r="AV70" s="107">
        <v>4.9556084656084654</v>
      </c>
      <c r="AW70" s="108">
        <v>1.0379595959595962</v>
      </c>
      <c r="AX70" s="108">
        <v>2.6683286647992519</v>
      </c>
      <c r="AY70" s="109">
        <v>1.7255068226120862</v>
      </c>
      <c r="AZ70" s="107">
        <v>0.31792753623188474</v>
      </c>
      <c r="BA70" s="108">
        <v>0.30360052910052993</v>
      </c>
      <c r="BB70" s="108">
        <v>1.3113383409115675</v>
      </c>
      <c r="BC70" s="109">
        <v>9.9792287342287338</v>
      </c>
      <c r="BD70" s="107">
        <v>8.5705822890559737</v>
      </c>
      <c r="BE70" s="108">
        <v>2.1793341307814997</v>
      </c>
      <c r="BF70" s="108">
        <v>2.7392440286564663</v>
      </c>
      <c r="BG70" s="109">
        <v>3.1176206961253405</v>
      </c>
      <c r="BH70" s="107">
        <v>0.91271241830065319</v>
      </c>
      <c r="BI70" s="108">
        <v>-0.32522354497354478</v>
      </c>
      <c r="BJ70" s="108">
        <v>0.37163352826510732</v>
      </c>
      <c r="BK70" s="109">
        <v>1.3986666666666672</v>
      </c>
      <c r="BL70" s="107">
        <v>2.3476666666666661</v>
      </c>
      <c r="BM70" s="108">
        <v>0.37566666666666704</v>
      </c>
      <c r="BN70" s="108">
        <v>1.8930000000000002</v>
      </c>
      <c r="BO70" s="109">
        <v>2.1239999999999997</v>
      </c>
      <c r="BP70" s="107">
        <v>2.3573333333333335</v>
      </c>
      <c r="BQ70" s="108">
        <v>0.49033333333333351</v>
      </c>
      <c r="BR70" s="108">
        <v>2.1846666666666672</v>
      </c>
      <c r="BS70" s="109">
        <v>2.2296666666666671</v>
      </c>
      <c r="BT70" s="107">
        <v>3.3634999999999993</v>
      </c>
      <c r="BU70" s="108"/>
      <c r="BV70" s="108"/>
      <c r="BW70" s="109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</row>
    <row r="71" spans="1:90" x14ac:dyDescent="0.25">
      <c r="A71" s="9"/>
      <c r="B71" s="9"/>
      <c r="C71" s="3" t="s">
        <v>20</v>
      </c>
      <c r="D71" s="130" t="s">
        <v>205</v>
      </c>
      <c r="E71" s="3" t="s">
        <v>209</v>
      </c>
      <c r="F71" s="20"/>
      <c r="G71" s="20"/>
      <c r="H71" s="107">
        <v>-3.4329900839054517E-2</v>
      </c>
      <c r="I71" s="108">
        <v>2.6424603174604044E-2</v>
      </c>
      <c r="J71" s="108">
        <v>0.14779629629629731</v>
      </c>
      <c r="K71" s="109">
        <v>0.31662799154749655</v>
      </c>
      <c r="L71" s="107">
        <v>0.32185220627325917</v>
      </c>
      <c r="M71" s="108">
        <v>0.27271352772900759</v>
      </c>
      <c r="N71" s="108">
        <v>0.21824526731849403</v>
      </c>
      <c r="O71" s="109">
        <v>0.32701970256701651</v>
      </c>
      <c r="P71" s="107">
        <v>0.26670485288132362</v>
      </c>
      <c r="Q71" s="108">
        <v>0.15449513449513397</v>
      </c>
      <c r="R71" s="108">
        <v>0.31230880230880231</v>
      </c>
      <c r="S71" s="109">
        <v>0.31175980392156921</v>
      </c>
      <c r="T71" s="107">
        <v>0.50265197765197733</v>
      </c>
      <c r="U71" s="108">
        <v>0.30527433780529734</v>
      </c>
      <c r="V71" s="108">
        <v>0.52326100530589725</v>
      </c>
      <c r="W71" s="109">
        <v>0.11419047619047662</v>
      </c>
      <c r="X71" s="107">
        <v>-8.0208333333333659E-2</v>
      </c>
      <c r="Y71" s="108">
        <v>0.27747712418300674</v>
      </c>
      <c r="Z71" s="108">
        <v>3.0173606237816766</v>
      </c>
      <c r="AA71" s="109">
        <v>2.5278095238095237</v>
      </c>
      <c r="AB71" s="107">
        <v>0.29793928571428574</v>
      </c>
      <c r="AC71" s="108">
        <v>0.15017385620915036</v>
      </c>
      <c r="AD71" s="108">
        <v>-0.14299771167048059</v>
      </c>
      <c r="AE71" s="109">
        <v>9.5501253132831643E-2</v>
      </c>
      <c r="AF71" s="107">
        <v>0.25017450142450226</v>
      </c>
      <c r="AG71" s="108">
        <v>0.18115715983363057</v>
      </c>
      <c r="AH71" s="108">
        <v>3.2436414754835812</v>
      </c>
      <c r="AI71" s="109">
        <v>1.3857407407407409</v>
      </c>
      <c r="AJ71" s="107">
        <v>0.96738103428505928</v>
      </c>
      <c r="AK71" s="108">
        <v>0.19134215068270777</v>
      </c>
      <c r="AL71" s="108">
        <v>4.8859118261177743</v>
      </c>
      <c r="AM71" s="109">
        <v>2.6667931706753385</v>
      </c>
      <c r="AN71" s="107">
        <v>3.7040421888053467</v>
      </c>
      <c r="AO71" s="108">
        <v>6.4640211640211831E-2</v>
      </c>
      <c r="AP71" s="108">
        <v>0.63307769423558913</v>
      </c>
      <c r="AQ71" s="109">
        <v>2.1900410392990151</v>
      </c>
      <c r="AR71" s="107">
        <v>0.95993886230728354</v>
      </c>
      <c r="AS71" s="108">
        <v>0.16350889478598485</v>
      </c>
      <c r="AT71" s="108">
        <v>1.2246645654540391</v>
      </c>
      <c r="AU71" s="109">
        <v>1.8085396825396827</v>
      </c>
      <c r="AV71" s="107">
        <v>4.9556084656084654</v>
      </c>
      <c r="AW71" s="108">
        <v>1.0379595959595962</v>
      </c>
      <c r="AX71" s="108">
        <v>2.6683286647992519</v>
      </c>
      <c r="AY71" s="109">
        <v>1.7255068226120862</v>
      </c>
      <c r="AZ71" s="107">
        <v>0.31792753623188474</v>
      </c>
      <c r="BA71" s="108">
        <v>0.30360052910052993</v>
      </c>
      <c r="BB71" s="108">
        <v>1.3113383409115675</v>
      </c>
      <c r="BC71" s="109">
        <v>9.9792287342287338</v>
      </c>
      <c r="BD71" s="107">
        <v>8.5705822890559737</v>
      </c>
      <c r="BE71" s="108">
        <v>2.1793341307814997</v>
      </c>
      <c r="BF71" s="108">
        <v>2.7392440286564663</v>
      </c>
      <c r="BG71" s="109">
        <v>3.1176206961253405</v>
      </c>
      <c r="BH71" s="107">
        <v>0.91271241830065319</v>
      </c>
      <c r="BI71" s="108">
        <v>-0.32522354497354478</v>
      </c>
      <c r="BJ71" s="108">
        <v>0.37163352826510732</v>
      </c>
      <c r="BK71" s="109">
        <v>1.3986666666666672</v>
      </c>
      <c r="BL71" s="107">
        <v>2.3476666666666661</v>
      </c>
      <c r="BM71" s="108">
        <v>0.37566666666666704</v>
      </c>
      <c r="BN71" s="108">
        <v>1.8930000000000002</v>
      </c>
      <c r="BO71" s="109">
        <v>2.1239999999999997</v>
      </c>
      <c r="BP71" s="107">
        <v>2.3573333333333335</v>
      </c>
      <c r="BQ71" s="108">
        <v>0.49033333333333351</v>
      </c>
      <c r="BR71" s="108">
        <v>2.1846666666666672</v>
      </c>
      <c r="BS71" s="109">
        <v>2.2296666666666671</v>
      </c>
      <c r="BT71" s="107">
        <v>3.3634999999999993</v>
      </c>
      <c r="BU71" s="108"/>
      <c r="BV71" s="108"/>
      <c r="BW71" s="109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</row>
    <row r="72" spans="1:90" x14ac:dyDescent="0.25">
      <c r="A72" s="9"/>
      <c r="B72" s="9"/>
      <c r="C72" s="3" t="s">
        <v>21</v>
      </c>
      <c r="D72" s="130" t="s">
        <v>205</v>
      </c>
      <c r="E72" s="3" t="s">
        <v>209</v>
      </c>
      <c r="F72" s="20"/>
      <c r="G72" s="20"/>
      <c r="H72" s="107">
        <v>-3.4329900839054517E-2</v>
      </c>
      <c r="I72" s="108">
        <v>2.6424603174604044E-2</v>
      </c>
      <c r="J72" s="108">
        <v>0.14779629629629731</v>
      </c>
      <c r="K72" s="109">
        <v>0.31662799154749655</v>
      </c>
      <c r="L72" s="107">
        <v>0.32185220627325917</v>
      </c>
      <c r="M72" s="108">
        <v>0.27271352772900759</v>
      </c>
      <c r="N72" s="108">
        <v>0.21824526731849403</v>
      </c>
      <c r="O72" s="109">
        <v>0.32701970256701651</v>
      </c>
      <c r="P72" s="107">
        <v>0.26670485288132362</v>
      </c>
      <c r="Q72" s="108">
        <v>0.15449513449513397</v>
      </c>
      <c r="R72" s="108">
        <v>0.31230880230880231</v>
      </c>
      <c r="S72" s="109">
        <v>0.31175980392156921</v>
      </c>
      <c r="T72" s="107">
        <v>0.50265197765197733</v>
      </c>
      <c r="U72" s="108">
        <v>0.30527433780529734</v>
      </c>
      <c r="V72" s="108">
        <v>0.52326100530589725</v>
      </c>
      <c r="W72" s="109">
        <v>0.11419047619047662</v>
      </c>
      <c r="X72" s="107">
        <v>-8.0208333333333659E-2</v>
      </c>
      <c r="Y72" s="108">
        <v>0.27747712418300674</v>
      </c>
      <c r="Z72" s="108">
        <v>3.0173606237816766</v>
      </c>
      <c r="AA72" s="109">
        <v>2.5278095238095237</v>
      </c>
      <c r="AB72" s="107">
        <v>0.29793928571428574</v>
      </c>
      <c r="AC72" s="108">
        <v>0.15017385620915036</v>
      </c>
      <c r="AD72" s="108">
        <v>-0.14299771167048059</v>
      </c>
      <c r="AE72" s="109">
        <v>9.5501253132831643E-2</v>
      </c>
      <c r="AF72" s="107">
        <v>0.25017450142450226</v>
      </c>
      <c r="AG72" s="108">
        <v>0.18115715983363057</v>
      </c>
      <c r="AH72" s="108">
        <v>3.2436414754835812</v>
      </c>
      <c r="AI72" s="109">
        <v>1.3857407407407409</v>
      </c>
      <c r="AJ72" s="107">
        <v>0.96738103428505928</v>
      </c>
      <c r="AK72" s="108">
        <v>0.19134215068270777</v>
      </c>
      <c r="AL72" s="108">
        <v>4.8859118261177743</v>
      </c>
      <c r="AM72" s="109">
        <v>2.6667931706753385</v>
      </c>
      <c r="AN72" s="107">
        <v>3.7040421888053467</v>
      </c>
      <c r="AO72" s="108">
        <v>6.4640211640211831E-2</v>
      </c>
      <c r="AP72" s="108">
        <v>0.63307769423558913</v>
      </c>
      <c r="AQ72" s="109">
        <v>2.1900410392990151</v>
      </c>
      <c r="AR72" s="107">
        <v>0.95993886230728354</v>
      </c>
      <c r="AS72" s="108">
        <v>0.16350889478598485</v>
      </c>
      <c r="AT72" s="108">
        <v>1.2246645654540391</v>
      </c>
      <c r="AU72" s="109">
        <v>1.8085396825396827</v>
      </c>
      <c r="AV72" s="107">
        <v>4.9556084656084654</v>
      </c>
      <c r="AW72" s="108">
        <v>1.0379595959595962</v>
      </c>
      <c r="AX72" s="108">
        <v>2.6683286647992519</v>
      </c>
      <c r="AY72" s="109">
        <v>1.7255068226120862</v>
      </c>
      <c r="AZ72" s="107">
        <v>0.31792753623188474</v>
      </c>
      <c r="BA72" s="108">
        <v>0.30360052910052993</v>
      </c>
      <c r="BB72" s="108">
        <v>1.3113383409115675</v>
      </c>
      <c r="BC72" s="109">
        <v>9.9792287342287338</v>
      </c>
      <c r="BD72" s="107">
        <v>8.5705822890559737</v>
      </c>
      <c r="BE72" s="108">
        <v>2.1793341307814997</v>
      </c>
      <c r="BF72" s="108">
        <v>2.7392440286564663</v>
      </c>
      <c r="BG72" s="109">
        <v>3.1176206961253405</v>
      </c>
      <c r="BH72" s="107">
        <v>0.91271241830065319</v>
      </c>
      <c r="BI72" s="108">
        <v>-0.32522354497354478</v>
      </c>
      <c r="BJ72" s="108">
        <v>0.37163352826510732</v>
      </c>
      <c r="BK72" s="109">
        <v>1.3986666666666672</v>
      </c>
      <c r="BL72" s="107">
        <v>2.3476666666666661</v>
      </c>
      <c r="BM72" s="108">
        <v>0.37566666666666704</v>
      </c>
      <c r="BN72" s="108">
        <v>1.8930000000000002</v>
      </c>
      <c r="BO72" s="109">
        <v>2.1239999999999997</v>
      </c>
      <c r="BP72" s="107">
        <v>2.3573333333333335</v>
      </c>
      <c r="BQ72" s="108">
        <v>0.49033333333333351</v>
      </c>
      <c r="BR72" s="108">
        <v>2.1846666666666672</v>
      </c>
      <c r="BS72" s="109">
        <v>2.2296666666666671</v>
      </c>
      <c r="BT72" s="107">
        <v>3.3634999999999993</v>
      </c>
      <c r="BU72" s="108"/>
      <c r="BV72" s="108"/>
      <c r="BW72" s="109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</row>
    <row r="73" spans="1:90" x14ac:dyDescent="0.25">
      <c r="A73" s="9"/>
      <c r="B73" s="9"/>
      <c r="C73" s="3" t="s">
        <v>22</v>
      </c>
      <c r="D73" s="130" t="s">
        <v>205</v>
      </c>
      <c r="E73" s="3" t="s">
        <v>209</v>
      </c>
      <c r="F73" s="20"/>
      <c r="G73" s="20"/>
      <c r="H73" s="123">
        <v>-3.4329900839054517E-2</v>
      </c>
      <c r="I73" s="124">
        <v>2.6424603174604044E-2</v>
      </c>
      <c r="J73" s="124">
        <v>0.14779629629629731</v>
      </c>
      <c r="K73" s="125">
        <v>0.31662799154749655</v>
      </c>
      <c r="L73" s="123">
        <v>0.32185220627325917</v>
      </c>
      <c r="M73" s="124">
        <v>0.27271352772900759</v>
      </c>
      <c r="N73" s="124">
        <v>0.21824526731849403</v>
      </c>
      <c r="O73" s="125">
        <v>0.32701970256701651</v>
      </c>
      <c r="P73" s="123">
        <v>0.26670485288132362</v>
      </c>
      <c r="Q73" s="124">
        <v>0.15449513449513397</v>
      </c>
      <c r="R73" s="124">
        <v>0.31230880230880231</v>
      </c>
      <c r="S73" s="125">
        <v>0.31175980392156921</v>
      </c>
      <c r="T73" s="123">
        <v>0.50265197765197733</v>
      </c>
      <c r="U73" s="124">
        <v>0.30527433780529734</v>
      </c>
      <c r="V73" s="124">
        <v>0.52326100530589725</v>
      </c>
      <c r="W73" s="125">
        <v>0.11419047619047662</v>
      </c>
      <c r="X73" s="123">
        <v>-8.0208333333333659E-2</v>
      </c>
      <c r="Y73" s="124">
        <v>0.27747712418300674</v>
      </c>
      <c r="Z73" s="124">
        <v>3.0173606237816766</v>
      </c>
      <c r="AA73" s="125">
        <v>2.5278095238095237</v>
      </c>
      <c r="AB73" s="123">
        <v>0.29793928571428574</v>
      </c>
      <c r="AC73" s="124">
        <v>0.15017385620915036</v>
      </c>
      <c r="AD73" s="124">
        <v>-0.14299771167048059</v>
      </c>
      <c r="AE73" s="125">
        <v>9.5501253132831643E-2</v>
      </c>
      <c r="AF73" s="123">
        <v>0.25017450142450226</v>
      </c>
      <c r="AG73" s="124">
        <v>0.18115715983363057</v>
      </c>
      <c r="AH73" s="124">
        <v>3.2436414754835812</v>
      </c>
      <c r="AI73" s="125">
        <v>1.3857407407407409</v>
      </c>
      <c r="AJ73" s="123">
        <v>0.96738103428505928</v>
      </c>
      <c r="AK73" s="124">
        <v>0.19134215068270777</v>
      </c>
      <c r="AL73" s="124">
        <v>4.8859118261177743</v>
      </c>
      <c r="AM73" s="125">
        <v>2.6667931706753385</v>
      </c>
      <c r="AN73" s="123">
        <v>3.7040421888053467</v>
      </c>
      <c r="AO73" s="124">
        <v>6.4640211640211831E-2</v>
      </c>
      <c r="AP73" s="124">
        <v>0.63307769423558913</v>
      </c>
      <c r="AQ73" s="125">
        <v>2.1900410392990151</v>
      </c>
      <c r="AR73" s="123">
        <v>0.95993886230728354</v>
      </c>
      <c r="AS73" s="124">
        <v>0.16350889478598485</v>
      </c>
      <c r="AT73" s="124">
        <v>1.2246645654540391</v>
      </c>
      <c r="AU73" s="125">
        <v>1.8085396825396827</v>
      </c>
      <c r="AV73" s="123">
        <v>4.9556084656084654</v>
      </c>
      <c r="AW73" s="124">
        <v>1.0379595959595962</v>
      </c>
      <c r="AX73" s="124">
        <v>2.6683286647992519</v>
      </c>
      <c r="AY73" s="125">
        <v>1.7255068226120862</v>
      </c>
      <c r="AZ73" s="123">
        <v>0.31792753623188474</v>
      </c>
      <c r="BA73" s="124">
        <v>0.30360052910052993</v>
      </c>
      <c r="BB73" s="124">
        <v>1.3113383409115675</v>
      </c>
      <c r="BC73" s="125">
        <v>9.9792287342287338</v>
      </c>
      <c r="BD73" s="123">
        <v>8.5705822890559737</v>
      </c>
      <c r="BE73" s="124">
        <v>2.1793341307814997</v>
      </c>
      <c r="BF73" s="124">
        <v>2.7392440286564663</v>
      </c>
      <c r="BG73" s="125">
        <v>3.1176206961253405</v>
      </c>
      <c r="BH73" s="123">
        <v>0.91271241830065319</v>
      </c>
      <c r="BI73" s="124">
        <v>-0.32522354497354478</v>
      </c>
      <c r="BJ73" s="124">
        <v>0.37163352826510732</v>
      </c>
      <c r="BK73" s="125">
        <v>1.3986666666666672</v>
      </c>
      <c r="BL73" s="123">
        <v>2.3476666666666661</v>
      </c>
      <c r="BM73" s="124">
        <v>0.37566666666666704</v>
      </c>
      <c r="BN73" s="124">
        <v>1.8930000000000002</v>
      </c>
      <c r="BO73" s="125">
        <v>2.1239999999999997</v>
      </c>
      <c r="BP73" s="123">
        <v>2.3573333333333335</v>
      </c>
      <c r="BQ73" s="124">
        <v>0.49033333333333351</v>
      </c>
      <c r="BR73" s="124">
        <v>2.1846666666666672</v>
      </c>
      <c r="BS73" s="125">
        <v>2.2296666666666671</v>
      </c>
      <c r="BT73" s="123">
        <v>3.3634999999999993</v>
      </c>
      <c r="BU73" s="124"/>
      <c r="BV73" s="124"/>
      <c r="BW73" s="125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</row>
    <row r="74" spans="1:90" x14ac:dyDescent="0.25">
      <c r="A74" s="9"/>
      <c r="B74" s="9"/>
      <c r="C74" s="3" t="s">
        <v>23</v>
      </c>
      <c r="D74" s="130" t="s">
        <v>205</v>
      </c>
      <c r="E74" s="3" t="s">
        <v>214</v>
      </c>
      <c r="F74" s="20"/>
      <c r="G74" s="20"/>
      <c r="H74" s="123">
        <v>-8.6147978642259204E-3</v>
      </c>
      <c r="I74" s="124">
        <v>-9.9861459203564706E-2</v>
      </c>
      <c r="J74" s="124">
        <v>-7.9329600351338847E-2</v>
      </c>
      <c r="K74" s="125">
        <v>-8.4566276803118345E-2</v>
      </c>
      <c r="L74" s="123">
        <v>-6.1935406698564233E-2</v>
      </c>
      <c r="M74" s="124">
        <v>-5.015278838808257E-2</v>
      </c>
      <c r="N74" s="124">
        <v>-8.1751100412426947E-2</v>
      </c>
      <c r="O74" s="125">
        <v>-7.8472328163404548E-2</v>
      </c>
      <c r="P74" s="123">
        <v>-7.6272462201254054E-2</v>
      </c>
      <c r="Q74" s="124">
        <v>-0.10543926661573755</v>
      </c>
      <c r="R74" s="124">
        <v>2.3643939393939828E-2</v>
      </c>
      <c r="S74" s="125">
        <v>1.3748015873015884E-2</v>
      </c>
      <c r="T74" s="123">
        <v>0.42111046361046345</v>
      </c>
      <c r="U74" s="124">
        <v>-0.18024067521745479</v>
      </c>
      <c r="V74" s="124">
        <v>-7.1429216981848231E-2</v>
      </c>
      <c r="W74" s="125">
        <v>-0.26401610889110838</v>
      </c>
      <c r="X74" s="123">
        <v>-0.35391941391941417</v>
      </c>
      <c r="Y74" s="124">
        <v>1.855521155830786E-2</v>
      </c>
      <c r="Z74" s="124">
        <v>2.5668482905982906</v>
      </c>
      <c r="AA74" s="125">
        <v>2.0339999999999998</v>
      </c>
      <c r="AB74" s="123">
        <v>6.1794451158389885E-2</v>
      </c>
      <c r="AC74" s="124">
        <v>-7.8683625730994411E-2</v>
      </c>
      <c r="AD74" s="124">
        <v>-0.35561821219715961</v>
      </c>
      <c r="AE74" s="125">
        <v>-0.15923297827903138</v>
      </c>
      <c r="AF74" s="123">
        <v>-0.16034391534391501</v>
      </c>
      <c r="AG74" s="124">
        <v>-0.28297979797979789</v>
      </c>
      <c r="AH74" s="124">
        <v>2.6726201372997713</v>
      </c>
      <c r="AI74" s="125">
        <v>-0.3838772338772336</v>
      </c>
      <c r="AJ74" s="123">
        <v>-0.53887906039608824</v>
      </c>
      <c r="AK74" s="124">
        <v>-0.87750231639705345</v>
      </c>
      <c r="AL74" s="124">
        <v>-1.0572813621669457</v>
      </c>
      <c r="AM74" s="125">
        <v>-2.0197867086193741</v>
      </c>
      <c r="AN74" s="123">
        <v>-1.5033583959899748</v>
      </c>
      <c r="AO74" s="124">
        <v>-2.5448551996151996</v>
      </c>
      <c r="AP74" s="124">
        <v>-1.4265565808460541</v>
      </c>
      <c r="AQ74" s="125">
        <v>-1.2013095238095237</v>
      </c>
      <c r="AR74" s="123">
        <v>-1.4083508012455379</v>
      </c>
      <c r="AS74" s="124">
        <v>-0.61455285942128035</v>
      </c>
      <c r="AT74" s="124">
        <v>-0.6914935064935066</v>
      </c>
      <c r="AU74" s="125">
        <v>-0.68214314194577352</v>
      </c>
      <c r="AV74" s="123">
        <v>7.1954881769641492</v>
      </c>
      <c r="AW74" s="124">
        <v>-0.24350793650793578</v>
      </c>
      <c r="AX74" s="124">
        <v>-0.25848739495798423</v>
      </c>
      <c r="AY74" s="125">
        <v>-0.47366861598440568</v>
      </c>
      <c r="AZ74" s="123">
        <v>-0.50649715692393116</v>
      </c>
      <c r="BA74" s="124">
        <v>-0.62973611111111083</v>
      </c>
      <c r="BB74" s="124">
        <v>-1.2918134516132227</v>
      </c>
      <c r="BC74" s="125">
        <v>-2.3496045991045986</v>
      </c>
      <c r="BD74" s="123">
        <v>-1.0308400772462558</v>
      </c>
      <c r="BE74" s="124">
        <v>-0.64584339636971211</v>
      </c>
      <c r="BF74" s="124">
        <v>-0.55796993015360252</v>
      </c>
      <c r="BG74" s="125">
        <v>-1.2239893517215499</v>
      </c>
      <c r="BH74" s="123">
        <v>-1.1337796451914099</v>
      </c>
      <c r="BI74" s="124">
        <v>-2.6512043049543048</v>
      </c>
      <c r="BJ74" s="124">
        <v>-2.5249902534113056</v>
      </c>
      <c r="BK74" s="125">
        <v>-1.0889999999999997</v>
      </c>
      <c r="BL74" s="123">
        <v>-0.64466666666666628</v>
      </c>
      <c r="BM74" s="124">
        <v>-1.5173333333333332</v>
      </c>
      <c r="BN74" s="124">
        <v>-0.91233333333333366</v>
      </c>
      <c r="BO74" s="125">
        <v>-1.2896666666666672</v>
      </c>
      <c r="BP74" s="123">
        <v>-0.66266666666666652</v>
      </c>
      <c r="BQ74" s="124">
        <v>-1.9169999999999998</v>
      </c>
      <c r="BR74" s="124">
        <v>-1.0653333333333332</v>
      </c>
      <c r="BS74" s="125">
        <v>-0.83799999999999963</v>
      </c>
      <c r="BT74" s="123">
        <v>-0.13149999999999995</v>
      </c>
      <c r="BU74" s="124"/>
      <c r="BV74" s="124"/>
      <c r="BW74" s="125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</row>
    <row r="75" spans="1:90" x14ac:dyDescent="0.25">
      <c r="A75" s="9"/>
      <c r="B75" s="9"/>
      <c r="C75" s="3"/>
      <c r="D75" s="3"/>
      <c r="E75" s="3"/>
      <c r="F75" s="20"/>
      <c r="G75" s="20"/>
      <c r="H75" s="21"/>
      <c r="I75" s="22"/>
      <c r="J75" s="22"/>
      <c r="K75" s="23"/>
      <c r="L75" s="21"/>
      <c r="M75" s="22"/>
      <c r="N75" s="22"/>
      <c r="O75" s="22"/>
      <c r="P75" s="21"/>
      <c r="Q75" s="25"/>
      <c r="R75" s="25"/>
      <c r="S75" s="26"/>
      <c r="T75" s="25"/>
      <c r="U75" s="25"/>
      <c r="V75" s="25"/>
      <c r="W75" s="26"/>
      <c r="X75" s="25"/>
      <c r="Y75" s="25"/>
      <c r="Z75" s="25"/>
      <c r="AA75" s="26"/>
      <c r="AB75" s="25"/>
      <c r="AC75" s="25"/>
      <c r="AD75" s="25"/>
      <c r="AE75" s="26"/>
      <c r="AF75" s="25"/>
      <c r="AG75" s="25"/>
      <c r="AH75" s="25"/>
      <c r="AI75" s="26"/>
      <c r="AJ75" s="25"/>
      <c r="AK75" s="25"/>
      <c r="AL75" s="25"/>
      <c r="AM75" s="26"/>
      <c r="AN75" s="25"/>
      <c r="AO75" s="25"/>
      <c r="AP75" s="25"/>
      <c r="AQ75" s="26"/>
      <c r="AR75" s="25"/>
      <c r="AS75" s="25"/>
      <c r="AT75" s="25"/>
      <c r="AU75" s="26"/>
      <c r="AV75" s="25"/>
      <c r="AW75" s="25"/>
      <c r="AX75" s="25"/>
      <c r="AY75" s="26"/>
      <c r="AZ75" s="25"/>
      <c r="BA75" s="25"/>
      <c r="BB75" s="25"/>
      <c r="BC75" s="26"/>
      <c r="BD75" s="25"/>
      <c r="BE75" s="25"/>
      <c r="BF75" s="25"/>
      <c r="BG75" s="26"/>
      <c r="BH75" s="25"/>
      <c r="BI75" s="25"/>
      <c r="BJ75" s="25"/>
      <c r="BK75" s="26"/>
      <c r="BL75" s="25"/>
      <c r="BM75" s="25"/>
      <c r="BN75" s="25"/>
      <c r="BO75" s="26"/>
      <c r="BP75" s="25"/>
      <c r="BQ75" s="25"/>
      <c r="BR75" s="25"/>
      <c r="BS75" s="26"/>
      <c r="BT75" s="25"/>
      <c r="BU75" s="25"/>
      <c r="BV75" s="25"/>
      <c r="BW75" s="26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</row>
    <row r="76" spans="1:90" x14ac:dyDescent="0.25">
      <c r="A76" s="9"/>
      <c r="B76" s="9"/>
      <c r="C76" s="1" t="s">
        <v>26</v>
      </c>
      <c r="D76" s="41"/>
      <c r="E76" s="41"/>
      <c r="F76" s="78"/>
      <c r="G76" s="78"/>
      <c r="H76" s="21"/>
      <c r="I76" s="22"/>
      <c r="J76" s="22"/>
      <c r="K76" s="23"/>
      <c r="L76" s="21"/>
      <c r="M76" s="22"/>
      <c r="N76" s="22"/>
      <c r="O76" s="22"/>
      <c r="P76" s="21"/>
      <c r="Q76" s="25"/>
      <c r="R76" s="25"/>
      <c r="S76" s="26"/>
      <c r="T76" s="25"/>
      <c r="U76" s="25"/>
      <c r="V76" s="25"/>
      <c r="W76" s="26"/>
      <c r="X76" s="25"/>
      <c r="Y76" s="25"/>
      <c r="Z76" s="25"/>
      <c r="AA76" s="26"/>
      <c r="AB76" s="25"/>
      <c r="AC76" s="25"/>
      <c r="AD76" s="25"/>
      <c r="AE76" s="26"/>
      <c r="AF76" s="25"/>
      <c r="AG76" s="25"/>
      <c r="AH76" s="25"/>
      <c r="AI76" s="26"/>
      <c r="AJ76" s="25"/>
      <c r="AK76" s="25"/>
      <c r="AL76" s="25"/>
      <c r="AM76" s="26"/>
      <c r="AN76" s="25"/>
      <c r="AO76" s="25"/>
      <c r="AP76" s="25"/>
      <c r="AQ76" s="26"/>
      <c r="AR76" s="25"/>
      <c r="AS76" s="25"/>
      <c r="AT76" s="25"/>
      <c r="AU76" s="26"/>
      <c r="AV76" s="25"/>
      <c r="AW76" s="25"/>
      <c r="AX76" s="25"/>
      <c r="AY76" s="26"/>
      <c r="AZ76" s="25"/>
      <c r="BA76" s="25"/>
      <c r="BB76" s="25"/>
      <c r="BC76" s="26"/>
      <c r="BD76" s="25"/>
      <c r="BE76" s="25"/>
      <c r="BF76" s="25"/>
      <c r="BG76" s="26"/>
      <c r="BH76" s="25"/>
      <c r="BI76" s="25"/>
      <c r="BJ76" s="25"/>
      <c r="BK76" s="26"/>
      <c r="BL76" s="25"/>
      <c r="BM76" s="25"/>
      <c r="BN76" s="25"/>
      <c r="BO76" s="26"/>
      <c r="BP76" s="25"/>
      <c r="BQ76" s="25"/>
      <c r="BR76" s="25"/>
      <c r="BS76" s="26"/>
      <c r="BT76" s="25"/>
      <c r="BU76" s="25"/>
      <c r="BV76" s="25"/>
      <c r="BW76" s="26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</row>
    <row r="77" spans="1:90" x14ac:dyDescent="0.25">
      <c r="A77" s="9"/>
      <c r="B77" s="9"/>
      <c r="C77" s="3" t="s">
        <v>27</v>
      </c>
      <c r="D77" s="3"/>
      <c r="E77" s="3"/>
      <c r="F77" s="20"/>
      <c r="G77" s="20"/>
      <c r="H77" s="28">
        <v>5</v>
      </c>
      <c r="I77" s="25">
        <v>5</v>
      </c>
      <c r="J77" s="25">
        <v>5</v>
      </c>
      <c r="K77" s="26">
        <v>5</v>
      </c>
      <c r="L77" s="28">
        <v>5</v>
      </c>
      <c r="M77" s="25">
        <v>5</v>
      </c>
      <c r="N77" s="25">
        <v>5</v>
      </c>
      <c r="O77" s="25">
        <v>5</v>
      </c>
      <c r="P77" s="28">
        <v>5</v>
      </c>
      <c r="Q77" s="25">
        <v>5</v>
      </c>
      <c r="R77" s="25">
        <v>5</v>
      </c>
      <c r="S77" s="26">
        <v>5</v>
      </c>
      <c r="T77" s="25">
        <v>5</v>
      </c>
      <c r="U77" s="25">
        <v>5</v>
      </c>
      <c r="V77" s="25">
        <v>5</v>
      </c>
      <c r="W77" s="26">
        <v>5</v>
      </c>
      <c r="X77" s="25">
        <v>5</v>
      </c>
      <c r="Y77" s="25">
        <v>5</v>
      </c>
      <c r="Z77" s="25">
        <v>5</v>
      </c>
      <c r="AA77" s="26">
        <v>5</v>
      </c>
      <c r="AB77" s="25">
        <v>5</v>
      </c>
      <c r="AC77" s="25">
        <v>5</v>
      </c>
      <c r="AD77" s="25">
        <v>5</v>
      </c>
      <c r="AE77" s="26">
        <v>5</v>
      </c>
      <c r="AF77" s="25">
        <v>5</v>
      </c>
      <c r="AG77" s="25">
        <v>5</v>
      </c>
      <c r="AH77" s="25">
        <v>5</v>
      </c>
      <c r="AI77" s="26">
        <v>5</v>
      </c>
      <c r="AJ77" s="25">
        <v>5</v>
      </c>
      <c r="AK77" s="25">
        <v>5</v>
      </c>
      <c r="AL77" s="25">
        <v>5</v>
      </c>
      <c r="AM77" s="26">
        <v>5</v>
      </c>
      <c r="AN77" s="25">
        <v>5</v>
      </c>
      <c r="AO77" s="25">
        <v>5</v>
      </c>
      <c r="AP77" s="25">
        <v>5</v>
      </c>
      <c r="AQ77" s="26">
        <v>5</v>
      </c>
      <c r="AR77" s="25">
        <v>5</v>
      </c>
      <c r="AS77" s="25">
        <v>5</v>
      </c>
      <c r="AT77" s="25">
        <v>5</v>
      </c>
      <c r="AU77" s="26">
        <v>5</v>
      </c>
      <c r="AV77" s="25">
        <v>5</v>
      </c>
      <c r="AW77" s="25">
        <v>5</v>
      </c>
      <c r="AX77" s="25">
        <v>5</v>
      </c>
      <c r="AY77" s="26">
        <v>5</v>
      </c>
      <c r="AZ77" s="25">
        <v>5</v>
      </c>
      <c r="BA77" s="25">
        <v>5</v>
      </c>
      <c r="BB77" s="25">
        <v>5</v>
      </c>
      <c r="BC77" s="26">
        <v>5</v>
      </c>
      <c r="BD77" s="25">
        <v>5</v>
      </c>
      <c r="BE77" s="25">
        <v>5</v>
      </c>
      <c r="BF77" s="25">
        <v>5</v>
      </c>
      <c r="BG77" s="26">
        <v>5</v>
      </c>
      <c r="BH77" s="25">
        <v>5</v>
      </c>
      <c r="BI77" s="25">
        <v>5</v>
      </c>
      <c r="BJ77" s="25">
        <v>5</v>
      </c>
      <c r="BK77" s="26">
        <v>5</v>
      </c>
      <c r="BL77" s="25">
        <v>5</v>
      </c>
      <c r="BM77" s="25">
        <v>5</v>
      </c>
      <c r="BN77" s="25">
        <v>5</v>
      </c>
      <c r="BO77" s="26">
        <v>5</v>
      </c>
      <c r="BP77" s="25">
        <v>5</v>
      </c>
      <c r="BQ77" s="25">
        <v>5</v>
      </c>
      <c r="BR77" s="25">
        <v>5</v>
      </c>
      <c r="BS77" s="26">
        <v>5</v>
      </c>
      <c r="BT77" s="25">
        <v>5</v>
      </c>
      <c r="BU77" s="25"/>
      <c r="BV77" s="25"/>
      <c r="BW77" s="26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</row>
    <row r="78" spans="1:90" x14ac:dyDescent="0.25">
      <c r="A78" s="9"/>
      <c r="B78" s="9"/>
      <c r="C78" s="3" t="s">
        <v>28</v>
      </c>
      <c r="D78" s="3"/>
      <c r="E78" s="3"/>
      <c r="F78" s="20"/>
      <c r="G78" s="20"/>
      <c r="H78" s="28">
        <v>15</v>
      </c>
      <c r="I78" s="25">
        <v>15</v>
      </c>
      <c r="J78" s="25">
        <v>15</v>
      </c>
      <c r="K78" s="26">
        <v>15</v>
      </c>
      <c r="L78" s="28">
        <v>15</v>
      </c>
      <c r="M78" s="25">
        <v>15</v>
      </c>
      <c r="N78" s="25">
        <v>15</v>
      </c>
      <c r="O78" s="25">
        <v>15</v>
      </c>
      <c r="P78" s="28">
        <v>15</v>
      </c>
      <c r="Q78" s="25">
        <v>15</v>
      </c>
      <c r="R78" s="25">
        <v>15</v>
      </c>
      <c r="S78" s="26">
        <v>15</v>
      </c>
      <c r="T78" s="25">
        <v>15</v>
      </c>
      <c r="U78" s="25">
        <v>15</v>
      </c>
      <c r="V78" s="25">
        <v>15</v>
      </c>
      <c r="W78" s="26">
        <v>15</v>
      </c>
      <c r="X78" s="25">
        <v>15</v>
      </c>
      <c r="Y78" s="25">
        <v>15</v>
      </c>
      <c r="Z78" s="25">
        <v>15</v>
      </c>
      <c r="AA78" s="26">
        <v>15</v>
      </c>
      <c r="AB78" s="25">
        <v>15</v>
      </c>
      <c r="AC78" s="25">
        <v>15</v>
      </c>
      <c r="AD78" s="25">
        <v>15</v>
      </c>
      <c r="AE78" s="26">
        <v>15</v>
      </c>
      <c r="AF78" s="25">
        <v>15</v>
      </c>
      <c r="AG78" s="25">
        <v>15</v>
      </c>
      <c r="AH78" s="25">
        <v>15</v>
      </c>
      <c r="AI78" s="26">
        <v>15</v>
      </c>
      <c r="AJ78" s="25">
        <v>15</v>
      </c>
      <c r="AK78" s="25">
        <v>15</v>
      </c>
      <c r="AL78" s="25">
        <v>15</v>
      </c>
      <c r="AM78" s="26">
        <v>15</v>
      </c>
      <c r="AN78" s="25">
        <v>15</v>
      </c>
      <c r="AO78" s="25">
        <v>15</v>
      </c>
      <c r="AP78" s="25">
        <v>15</v>
      </c>
      <c r="AQ78" s="26">
        <v>15</v>
      </c>
      <c r="AR78" s="25">
        <v>15</v>
      </c>
      <c r="AS78" s="25">
        <v>15</v>
      </c>
      <c r="AT78" s="25">
        <v>15</v>
      </c>
      <c r="AU78" s="26">
        <v>15</v>
      </c>
      <c r="AV78" s="25">
        <v>15</v>
      </c>
      <c r="AW78" s="25">
        <v>15</v>
      </c>
      <c r="AX78" s="25">
        <v>15</v>
      </c>
      <c r="AY78" s="26">
        <v>15</v>
      </c>
      <c r="AZ78" s="25">
        <v>15</v>
      </c>
      <c r="BA78" s="25">
        <v>15</v>
      </c>
      <c r="BB78" s="25">
        <v>15</v>
      </c>
      <c r="BC78" s="26">
        <v>15</v>
      </c>
      <c r="BD78" s="25">
        <v>15</v>
      </c>
      <c r="BE78" s="25">
        <v>15</v>
      </c>
      <c r="BF78" s="25">
        <v>15</v>
      </c>
      <c r="BG78" s="26">
        <v>15</v>
      </c>
      <c r="BH78" s="25">
        <v>15</v>
      </c>
      <c r="BI78" s="25">
        <v>15</v>
      </c>
      <c r="BJ78" s="25">
        <v>15</v>
      </c>
      <c r="BK78" s="26">
        <v>15</v>
      </c>
      <c r="BL78" s="25">
        <v>15</v>
      </c>
      <c r="BM78" s="25">
        <v>15</v>
      </c>
      <c r="BN78" s="25">
        <v>15</v>
      </c>
      <c r="BO78" s="26">
        <v>15</v>
      </c>
      <c r="BP78" s="25">
        <v>15</v>
      </c>
      <c r="BQ78" s="25">
        <v>15</v>
      </c>
      <c r="BR78" s="25">
        <v>15</v>
      </c>
      <c r="BS78" s="26">
        <v>15</v>
      </c>
      <c r="BT78" s="25">
        <v>15</v>
      </c>
      <c r="BU78" s="25"/>
      <c r="BV78" s="25"/>
      <c r="BW78" s="26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</row>
    <row r="79" spans="1:90" x14ac:dyDescent="0.25">
      <c r="A79" s="9"/>
      <c r="B79" s="9"/>
      <c r="C79" s="3" t="s">
        <v>29</v>
      </c>
      <c r="D79" s="3"/>
      <c r="E79" s="3"/>
      <c r="F79" s="20"/>
      <c r="G79" s="20"/>
      <c r="H79" s="28">
        <v>25</v>
      </c>
      <c r="I79" s="25">
        <v>25</v>
      </c>
      <c r="J79" s="25">
        <v>25</v>
      </c>
      <c r="K79" s="26">
        <v>25</v>
      </c>
      <c r="L79" s="28">
        <v>25</v>
      </c>
      <c r="M79" s="25">
        <v>25</v>
      </c>
      <c r="N79" s="25">
        <v>25</v>
      </c>
      <c r="O79" s="25">
        <v>25</v>
      </c>
      <c r="P79" s="28">
        <v>25</v>
      </c>
      <c r="Q79" s="25">
        <v>25</v>
      </c>
      <c r="R79" s="25">
        <v>25</v>
      </c>
      <c r="S79" s="26">
        <v>25</v>
      </c>
      <c r="T79" s="25">
        <v>25</v>
      </c>
      <c r="U79" s="25">
        <v>25</v>
      </c>
      <c r="V79" s="25">
        <v>25</v>
      </c>
      <c r="W79" s="26">
        <v>25</v>
      </c>
      <c r="X79" s="25">
        <v>25</v>
      </c>
      <c r="Y79" s="25">
        <v>25</v>
      </c>
      <c r="Z79" s="25">
        <v>25</v>
      </c>
      <c r="AA79" s="26">
        <v>25</v>
      </c>
      <c r="AB79" s="25">
        <v>25</v>
      </c>
      <c r="AC79" s="25">
        <v>25</v>
      </c>
      <c r="AD79" s="25">
        <v>25</v>
      </c>
      <c r="AE79" s="26">
        <v>25</v>
      </c>
      <c r="AF79" s="25">
        <v>25</v>
      </c>
      <c r="AG79" s="25">
        <v>25</v>
      </c>
      <c r="AH79" s="25">
        <v>25</v>
      </c>
      <c r="AI79" s="26">
        <v>25</v>
      </c>
      <c r="AJ79" s="25">
        <v>25</v>
      </c>
      <c r="AK79" s="25">
        <v>25</v>
      </c>
      <c r="AL79" s="25">
        <v>25</v>
      </c>
      <c r="AM79" s="26">
        <v>25</v>
      </c>
      <c r="AN79" s="25">
        <v>25</v>
      </c>
      <c r="AO79" s="25">
        <v>25</v>
      </c>
      <c r="AP79" s="25">
        <v>25</v>
      </c>
      <c r="AQ79" s="26">
        <v>25</v>
      </c>
      <c r="AR79" s="25">
        <v>25</v>
      </c>
      <c r="AS79" s="25">
        <v>25</v>
      </c>
      <c r="AT79" s="25">
        <v>25</v>
      </c>
      <c r="AU79" s="26">
        <v>25</v>
      </c>
      <c r="AV79" s="25">
        <v>25</v>
      </c>
      <c r="AW79" s="25">
        <v>25</v>
      </c>
      <c r="AX79" s="25">
        <v>25</v>
      </c>
      <c r="AY79" s="26">
        <v>25</v>
      </c>
      <c r="AZ79" s="25">
        <v>25</v>
      </c>
      <c r="BA79" s="25">
        <v>25</v>
      </c>
      <c r="BB79" s="25">
        <v>25</v>
      </c>
      <c r="BC79" s="26">
        <v>25</v>
      </c>
      <c r="BD79" s="25">
        <v>25</v>
      </c>
      <c r="BE79" s="25">
        <v>25</v>
      </c>
      <c r="BF79" s="25">
        <v>25</v>
      </c>
      <c r="BG79" s="26">
        <v>25</v>
      </c>
      <c r="BH79" s="25">
        <v>25</v>
      </c>
      <c r="BI79" s="25">
        <v>25</v>
      </c>
      <c r="BJ79" s="25">
        <v>25</v>
      </c>
      <c r="BK79" s="26">
        <v>25</v>
      </c>
      <c r="BL79" s="25">
        <v>25</v>
      </c>
      <c r="BM79" s="25">
        <v>25</v>
      </c>
      <c r="BN79" s="25">
        <v>25</v>
      </c>
      <c r="BO79" s="26">
        <v>25</v>
      </c>
      <c r="BP79" s="25">
        <v>25</v>
      </c>
      <c r="BQ79" s="25">
        <v>25</v>
      </c>
      <c r="BR79" s="25">
        <v>25</v>
      </c>
      <c r="BS79" s="26">
        <v>25</v>
      </c>
      <c r="BT79" s="25">
        <v>25</v>
      </c>
      <c r="BU79" s="25"/>
      <c r="BV79" s="25"/>
      <c r="BW79" s="26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</row>
    <row r="80" spans="1:90" x14ac:dyDescent="0.25">
      <c r="A80" s="9"/>
      <c r="B80" s="9"/>
      <c r="C80" s="3"/>
      <c r="D80" s="3"/>
      <c r="E80" s="3"/>
      <c r="F80" s="20"/>
      <c r="G80" s="20"/>
      <c r="H80" s="21"/>
      <c r="I80" s="22"/>
      <c r="J80" s="22"/>
      <c r="K80" s="23"/>
      <c r="L80" s="21"/>
      <c r="M80" s="22"/>
      <c r="N80" s="22"/>
      <c r="O80" s="22"/>
      <c r="P80" s="21"/>
      <c r="Q80" s="25"/>
      <c r="R80" s="25"/>
      <c r="S80" s="26"/>
      <c r="T80" s="25"/>
      <c r="U80" s="25"/>
      <c r="V80" s="25"/>
      <c r="W80" s="26"/>
      <c r="X80" s="25"/>
      <c r="Y80" s="25"/>
      <c r="Z80" s="25"/>
      <c r="AA80" s="26"/>
      <c r="AB80" s="25"/>
      <c r="AC80" s="25"/>
      <c r="AD80" s="25"/>
      <c r="AE80" s="26"/>
      <c r="AF80" s="25"/>
      <c r="AG80" s="25"/>
      <c r="AH80" s="25"/>
      <c r="AI80" s="26"/>
      <c r="AJ80" s="25"/>
      <c r="AK80" s="25"/>
      <c r="AL80" s="25"/>
      <c r="AM80" s="26"/>
      <c r="AN80" s="25"/>
      <c r="AO80" s="25"/>
      <c r="AP80" s="25"/>
      <c r="AQ80" s="26"/>
      <c r="AR80" s="25"/>
      <c r="AS80" s="25"/>
      <c r="AT80" s="25"/>
      <c r="AU80" s="26"/>
      <c r="AV80" s="25"/>
      <c r="AW80" s="25"/>
      <c r="AX80" s="25"/>
      <c r="AY80" s="26"/>
      <c r="AZ80" s="25"/>
      <c r="BA80" s="25"/>
      <c r="BB80" s="25"/>
      <c r="BC80" s="26"/>
      <c r="BD80" s="25"/>
      <c r="BE80" s="25"/>
      <c r="BF80" s="25"/>
      <c r="BG80" s="26"/>
      <c r="BH80" s="25"/>
      <c r="BI80" s="25"/>
      <c r="BJ80" s="25"/>
      <c r="BK80" s="26"/>
      <c r="BL80" s="25"/>
      <c r="BM80" s="25"/>
      <c r="BN80" s="25"/>
      <c r="BO80" s="26"/>
      <c r="BP80" s="25"/>
      <c r="BQ80" s="25"/>
      <c r="BR80" s="25"/>
      <c r="BS80" s="26"/>
      <c r="BT80" s="25"/>
      <c r="BU80" s="25"/>
      <c r="BV80" s="25"/>
      <c r="BW80" s="26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</row>
    <row r="81" spans="1:90" x14ac:dyDescent="0.25">
      <c r="A81" s="9"/>
      <c r="B81" s="9"/>
      <c r="C81" s="3"/>
      <c r="D81" s="3"/>
      <c r="E81" s="3"/>
      <c r="F81" s="20"/>
      <c r="G81" s="20"/>
      <c r="H81" s="132"/>
      <c r="I81" s="31"/>
      <c r="J81" s="31"/>
      <c r="K81" s="32"/>
      <c r="L81" s="30"/>
      <c r="M81" s="31"/>
      <c r="N81" s="31"/>
      <c r="O81" s="31"/>
      <c r="P81" s="47"/>
      <c r="Q81" s="33"/>
      <c r="R81" s="33"/>
      <c r="S81" s="34"/>
      <c r="T81" s="33"/>
      <c r="U81" s="33"/>
      <c r="V81" s="33"/>
      <c r="W81" s="36"/>
      <c r="X81" s="35"/>
      <c r="Y81" s="35"/>
      <c r="Z81" s="35"/>
      <c r="AA81" s="36"/>
      <c r="AB81" s="35"/>
      <c r="AC81" s="35"/>
      <c r="AD81" s="35"/>
      <c r="AE81" s="36"/>
      <c r="AF81" s="35"/>
      <c r="AG81" s="35"/>
      <c r="AH81" s="35"/>
      <c r="AI81" s="36"/>
      <c r="AJ81" s="35"/>
      <c r="AK81" s="35"/>
      <c r="AL81" s="35"/>
      <c r="AM81" s="36"/>
      <c r="AN81" s="35"/>
      <c r="AO81" s="35"/>
      <c r="AP81" s="35"/>
      <c r="AQ81" s="36"/>
      <c r="AR81" s="35"/>
      <c r="AS81" s="35"/>
      <c r="AT81" s="35"/>
      <c r="AU81" s="36"/>
      <c r="AV81" s="35"/>
      <c r="AW81" s="35"/>
      <c r="AX81" s="35"/>
      <c r="AY81" s="36"/>
      <c r="AZ81" s="35"/>
      <c r="BA81" s="35"/>
      <c r="BB81" s="35"/>
      <c r="BC81" s="36"/>
      <c r="BD81" s="35"/>
      <c r="BE81" s="35"/>
      <c r="BF81" s="35"/>
      <c r="BG81" s="36"/>
      <c r="BH81" s="35"/>
      <c r="BI81" s="35"/>
      <c r="BJ81" s="35"/>
      <c r="BK81" s="36"/>
      <c r="BL81" s="35"/>
      <c r="BM81" s="35"/>
      <c r="BN81" s="35"/>
      <c r="BO81" s="36"/>
      <c r="BP81" s="35"/>
      <c r="BQ81" s="35"/>
      <c r="BR81" s="35"/>
      <c r="BS81" s="36"/>
      <c r="BT81" s="35"/>
      <c r="BU81" s="35"/>
      <c r="BV81" s="35"/>
      <c r="BW81" s="36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</row>
    <row r="82" spans="1:90" x14ac:dyDescent="0.25">
      <c r="A82" s="9"/>
      <c r="B82" s="9"/>
      <c r="C82" s="1" t="s">
        <v>30</v>
      </c>
      <c r="D82" s="41"/>
      <c r="E82" s="41"/>
      <c r="F82" s="78"/>
      <c r="G82" s="78"/>
      <c r="H82" s="21"/>
      <c r="I82" s="22"/>
      <c r="J82" s="22"/>
      <c r="K82" s="23"/>
      <c r="L82" s="21"/>
      <c r="M82" s="22"/>
      <c r="N82" s="22"/>
      <c r="O82" s="22"/>
      <c r="P82" s="21"/>
      <c r="Q82" s="25"/>
      <c r="R82" s="25"/>
      <c r="S82" s="26"/>
      <c r="T82" s="25"/>
      <c r="U82" s="25"/>
      <c r="V82" s="25"/>
      <c r="W82" s="26"/>
      <c r="X82" s="25"/>
      <c r="Y82" s="25"/>
      <c r="Z82" s="25"/>
      <c r="AA82" s="26"/>
      <c r="AB82" s="25"/>
      <c r="AC82" s="25"/>
      <c r="AD82" s="25"/>
      <c r="AE82" s="26"/>
      <c r="AF82" s="25"/>
      <c r="AG82" s="25"/>
      <c r="AH82" s="25"/>
      <c r="AI82" s="26"/>
      <c r="AJ82" s="25"/>
      <c r="AK82" s="25"/>
      <c r="AL82" s="25"/>
      <c r="AM82" s="26"/>
      <c r="AN82" s="25"/>
      <c r="AO82" s="25"/>
      <c r="AP82" s="25"/>
      <c r="AQ82" s="26"/>
      <c r="AR82" s="25"/>
      <c r="AS82" s="25"/>
      <c r="AT82" s="25"/>
      <c r="AU82" s="26"/>
      <c r="AV82" s="25"/>
      <c r="AW82" s="25"/>
      <c r="AX82" s="25"/>
      <c r="AY82" s="26"/>
      <c r="AZ82" s="25"/>
      <c r="BA82" s="25"/>
      <c r="BB82" s="25"/>
      <c r="BC82" s="26"/>
      <c r="BD82" s="25"/>
      <c r="BE82" s="25"/>
      <c r="BF82" s="25"/>
      <c r="BG82" s="26"/>
      <c r="BH82" s="25"/>
      <c r="BI82" s="25"/>
      <c r="BJ82" s="25"/>
      <c r="BK82" s="26"/>
      <c r="BL82" s="25"/>
      <c r="BM82" s="25"/>
      <c r="BN82" s="25"/>
      <c r="BO82" s="26"/>
      <c r="BP82" s="25"/>
      <c r="BQ82" s="25"/>
      <c r="BR82" s="25"/>
      <c r="BS82" s="26"/>
      <c r="BT82" s="25"/>
      <c r="BU82" s="25"/>
      <c r="BV82" s="25"/>
      <c r="BW82" s="26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</row>
    <row r="83" spans="1:90" x14ac:dyDescent="0.25">
      <c r="A83" s="9"/>
      <c r="B83" s="9"/>
      <c r="C83" s="3" t="s">
        <v>7</v>
      </c>
      <c r="D83" s="3"/>
      <c r="E83" s="3"/>
      <c r="F83" s="20"/>
      <c r="G83" s="20"/>
      <c r="H83" s="132">
        <v>9082.1939150679318</v>
      </c>
      <c r="I83" s="133">
        <v>10200.009599488676</v>
      </c>
      <c r="J83" s="133">
        <v>11779.37505146295</v>
      </c>
      <c r="K83" s="134">
        <v>10939.114759001111</v>
      </c>
      <c r="L83" s="132">
        <v>10598.585678814477</v>
      </c>
      <c r="M83" s="133">
        <v>13932.640510759564</v>
      </c>
      <c r="N83" s="133">
        <v>14961.133327669088</v>
      </c>
      <c r="O83" s="134">
        <v>12257.60422501434</v>
      </c>
      <c r="P83" s="132">
        <v>11761.100626673122</v>
      </c>
      <c r="Q83" s="133">
        <v>10478.74331597926</v>
      </c>
      <c r="R83" s="133">
        <v>14200.019268905608</v>
      </c>
      <c r="S83" s="134">
        <v>15303.385685810706</v>
      </c>
      <c r="T83" s="132">
        <v>10209.308560614978</v>
      </c>
      <c r="U83" s="133">
        <v>11866.573474122328</v>
      </c>
      <c r="V83" s="133">
        <v>16103.231698749476</v>
      </c>
      <c r="W83" s="134">
        <v>14347.319563252209</v>
      </c>
      <c r="X83" s="132">
        <v>9558.1949250899706</v>
      </c>
      <c r="Y83" s="133">
        <v>11223.00662001329</v>
      </c>
      <c r="Z83" s="133">
        <v>18599.808102163515</v>
      </c>
      <c r="AA83" s="134">
        <v>17481.627995435527</v>
      </c>
      <c r="AB83" s="132">
        <v>13087.214569918706</v>
      </c>
      <c r="AC83" s="133">
        <v>16310.680211755884</v>
      </c>
      <c r="AD83" s="133">
        <v>22209.257654979196</v>
      </c>
      <c r="AE83" s="134">
        <v>13416.73823522935</v>
      </c>
      <c r="AF83" s="132">
        <v>9757.2066262623102</v>
      </c>
      <c r="AG83" s="133">
        <v>12011.785309191428</v>
      </c>
      <c r="AH83" s="133">
        <v>12308.32501340698</v>
      </c>
      <c r="AI83" s="134">
        <v>14095.180884970343</v>
      </c>
      <c r="AJ83" s="132">
        <v>8876.3353866708567</v>
      </c>
      <c r="AK83" s="133">
        <v>12850.177263118338</v>
      </c>
      <c r="AL83" s="133">
        <v>14597.274117489867</v>
      </c>
      <c r="AM83" s="134">
        <v>13255.580246788382</v>
      </c>
      <c r="AN83" s="132">
        <v>12253.506505994359</v>
      </c>
      <c r="AO83" s="133">
        <v>11524.824816838858</v>
      </c>
      <c r="AP83" s="133">
        <v>13388.812954340869</v>
      </c>
      <c r="AQ83" s="134">
        <v>15608.589601231592</v>
      </c>
      <c r="AR83" s="132">
        <v>12457.5525049476</v>
      </c>
      <c r="AS83" s="133">
        <v>14074.075047989692</v>
      </c>
      <c r="AT83" s="133">
        <v>17362.758536587909</v>
      </c>
      <c r="AU83" s="134">
        <v>18162.539927572354</v>
      </c>
      <c r="AV83" s="132">
        <v>15408.421027272729</v>
      </c>
      <c r="AW83" s="133">
        <v>13403.802643751911</v>
      </c>
      <c r="AX83" s="133">
        <v>13518.967778314884</v>
      </c>
      <c r="AY83" s="134">
        <v>14362.194890168026</v>
      </c>
      <c r="AZ83" s="132">
        <v>16199.624372335229</v>
      </c>
      <c r="BA83" s="133">
        <v>10755.134946099464</v>
      </c>
      <c r="BB83" s="133">
        <v>12602.656870837298</v>
      </c>
      <c r="BC83" s="134">
        <v>12694.792364742711</v>
      </c>
      <c r="BD83" s="132">
        <v>15446.100408592416</v>
      </c>
      <c r="BE83" s="133">
        <v>20725.905772269627</v>
      </c>
      <c r="BF83" s="133">
        <v>30509.676531163161</v>
      </c>
      <c r="BG83" s="134">
        <v>18533.77805233144</v>
      </c>
      <c r="BH83" s="132">
        <v>16692.036472968677</v>
      </c>
      <c r="BI83" s="133">
        <v>19069.096696408793</v>
      </c>
      <c r="BJ83" s="133">
        <v>35707.729830813478</v>
      </c>
      <c r="BK83" s="134">
        <v>24875.886524822694</v>
      </c>
      <c r="BL83" s="132">
        <v>20517.683407835921</v>
      </c>
      <c r="BM83" s="133">
        <v>20395.604395604394</v>
      </c>
      <c r="BN83" s="133">
        <v>26009.206304923977</v>
      </c>
      <c r="BO83" s="134">
        <v>21601.997295329245</v>
      </c>
      <c r="BP83" s="132">
        <v>19043.251056259731</v>
      </c>
      <c r="BQ83" s="133">
        <v>18091.833929062417</v>
      </c>
      <c r="BR83" s="133">
        <v>24319.759067696737</v>
      </c>
      <c r="BS83" s="134">
        <v>18237.32611334142</v>
      </c>
      <c r="BT83" s="133">
        <v>17085.265668477539</v>
      </c>
      <c r="BU83" s="133"/>
      <c r="BV83" s="57"/>
      <c r="BW83" s="58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</row>
    <row r="84" spans="1:90" x14ac:dyDescent="0.25">
      <c r="A84" s="9"/>
      <c r="B84" s="9"/>
      <c r="C84" s="3" t="s">
        <v>8</v>
      </c>
      <c r="D84" s="3"/>
      <c r="E84" s="3"/>
      <c r="F84" s="20"/>
      <c r="G84" s="20"/>
      <c r="H84" s="132">
        <v>7073.5442235786713</v>
      </c>
      <c r="I84" s="133">
        <v>8939.6775290996502</v>
      </c>
      <c r="J84" s="133">
        <v>10659.135432413439</v>
      </c>
      <c r="K84" s="134">
        <v>10195.606936416187</v>
      </c>
      <c r="L84" s="132">
        <v>11208.841221057375</v>
      </c>
      <c r="M84" s="133">
        <v>13271.65205809894</v>
      </c>
      <c r="N84" s="133">
        <v>13557.071931342411</v>
      </c>
      <c r="O84" s="134">
        <v>10455.758600168167</v>
      </c>
      <c r="P84" s="132">
        <v>10291.236266095022</v>
      </c>
      <c r="Q84" s="133">
        <v>10116.769783987311</v>
      </c>
      <c r="R84" s="133">
        <v>12891.849643275478</v>
      </c>
      <c r="S84" s="134">
        <v>12024.09967436907</v>
      </c>
      <c r="T84" s="132">
        <v>8303.0304916707773</v>
      </c>
      <c r="U84" s="133">
        <v>11781.246108343712</v>
      </c>
      <c r="V84" s="133">
        <v>16193.275974720582</v>
      </c>
      <c r="W84" s="134">
        <v>13408.003165385522</v>
      </c>
      <c r="X84" s="132">
        <v>8992.5851211495537</v>
      </c>
      <c r="Y84" s="133">
        <v>21860.880440085282</v>
      </c>
      <c r="Z84" s="133">
        <v>26756.373443853547</v>
      </c>
      <c r="AA84" s="134">
        <v>24515.562095350204</v>
      </c>
      <c r="AB84" s="132">
        <v>14482.650014057241</v>
      </c>
      <c r="AC84" s="133">
        <v>21593.027070808475</v>
      </c>
      <c r="AD84" s="133">
        <v>36599.754772842702</v>
      </c>
      <c r="AE84" s="134">
        <v>13339.663752079508</v>
      </c>
      <c r="AF84" s="132">
        <v>9975.9993653009915</v>
      </c>
      <c r="AG84" s="133">
        <v>12154.175196263537</v>
      </c>
      <c r="AH84" s="133">
        <v>21103.337585548055</v>
      </c>
      <c r="AI84" s="134">
        <v>9523.4642109680681</v>
      </c>
      <c r="AJ84" s="132">
        <v>6530.1034172576728</v>
      </c>
      <c r="AK84" s="133">
        <v>15896.307477589995</v>
      </c>
      <c r="AL84" s="133">
        <v>17809.331763089624</v>
      </c>
      <c r="AM84" s="134">
        <v>10414.886099303825</v>
      </c>
      <c r="AN84" s="132">
        <v>10839.9346889344</v>
      </c>
      <c r="AO84" s="133">
        <v>15013.295271495384</v>
      </c>
      <c r="AP84" s="133">
        <v>17877.19944548413</v>
      </c>
      <c r="AQ84" s="134">
        <v>11577.864566749085</v>
      </c>
      <c r="AR84" s="132">
        <v>10693.821037381909</v>
      </c>
      <c r="AS84" s="133">
        <v>15031.427660788808</v>
      </c>
      <c r="AT84" s="133">
        <v>18731.965982991496</v>
      </c>
      <c r="AU84" s="134">
        <v>11373.333763007029</v>
      </c>
      <c r="AV84" s="132">
        <v>9017.8732787035933</v>
      </c>
      <c r="AW84" s="133">
        <v>9948.1849925249353</v>
      </c>
      <c r="AX84" s="133">
        <v>13883.631211692675</v>
      </c>
      <c r="AY84" s="134">
        <v>11092.973322603304</v>
      </c>
      <c r="AZ84" s="132">
        <v>11692.380494862013</v>
      </c>
      <c r="BA84" s="133">
        <v>7524.4725578801299</v>
      </c>
      <c r="BB84" s="133">
        <v>12172.753499609029</v>
      </c>
      <c r="BC84" s="134">
        <v>8338.7712001344389</v>
      </c>
      <c r="BD84" s="132">
        <v>8403.6838355304462</v>
      </c>
      <c r="BE84" s="133">
        <v>14919.633102648499</v>
      </c>
      <c r="BF84" s="133">
        <v>25114.696444615587</v>
      </c>
      <c r="BG84" s="134">
        <v>16027.363530693314</v>
      </c>
      <c r="BH84" s="132">
        <v>13750.61712576299</v>
      </c>
      <c r="BI84" s="133">
        <v>20156.248962961596</v>
      </c>
      <c r="BJ84" s="133">
        <v>29101.890833012279</v>
      </c>
      <c r="BK84" s="134">
        <v>0</v>
      </c>
      <c r="BL84" s="132">
        <v>0</v>
      </c>
      <c r="BM84" s="133">
        <v>0</v>
      </c>
      <c r="BN84" s="133">
        <v>0</v>
      </c>
      <c r="BO84" s="134">
        <v>0</v>
      </c>
      <c r="BP84" s="132">
        <v>0</v>
      </c>
      <c r="BQ84" s="133">
        <v>0</v>
      </c>
      <c r="BR84" s="133">
        <v>0</v>
      </c>
      <c r="BS84" s="134">
        <v>0</v>
      </c>
      <c r="BT84" s="133">
        <v>0</v>
      </c>
      <c r="BU84" s="133"/>
      <c r="BV84" s="57"/>
      <c r="BW84" s="58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</row>
    <row r="85" spans="1:90" x14ac:dyDescent="0.25">
      <c r="A85" s="9"/>
      <c r="B85" s="9"/>
      <c r="C85" s="3" t="s">
        <v>9</v>
      </c>
      <c r="D85" s="3"/>
      <c r="E85" s="3"/>
      <c r="F85" s="20"/>
      <c r="G85" s="20"/>
      <c r="H85" s="132">
        <v>9113.2285795179814</v>
      </c>
      <c r="I85" s="133">
        <v>11808.021162619591</v>
      </c>
      <c r="J85" s="133">
        <v>13306.302218469198</v>
      </c>
      <c r="K85" s="134">
        <v>11262.066559223751</v>
      </c>
      <c r="L85" s="132">
        <v>11819.907665011569</v>
      </c>
      <c r="M85" s="133">
        <v>16078.825378220725</v>
      </c>
      <c r="N85" s="133">
        <v>16385.127518381836</v>
      </c>
      <c r="O85" s="134">
        <v>11789.76457805573</v>
      </c>
      <c r="P85" s="132">
        <v>10089.5994270666</v>
      </c>
      <c r="Q85" s="133">
        <v>11572.501136768195</v>
      </c>
      <c r="R85" s="133">
        <v>14359.802654291751</v>
      </c>
      <c r="S85" s="134">
        <v>12304.403480778157</v>
      </c>
      <c r="T85" s="132">
        <v>9705.5393266309366</v>
      </c>
      <c r="U85" s="133">
        <v>12875.782408501427</v>
      </c>
      <c r="V85" s="133">
        <v>16368.132640157373</v>
      </c>
      <c r="W85" s="134">
        <v>12996.524761177137</v>
      </c>
      <c r="X85" s="132">
        <v>9242.5310379684161</v>
      </c>
      <c r="Y85" s="133">
        <v>13487.786627077146</v>
      </c>
      <c r="Z85" s="133">
        <v>16663.733140637316</v>
      </c>
      <c r="AA85" s="134">
        <v>14963.672398950974</v>
      </c>
      <c r="AB85" s="132">
        <v>13837.813571997416</v>
      </c>
      <c r="AC85" s="133">
        <v>16523.842480591073</v>
      </c>
      <c r="AD85" s="133">
        <v>20413.852022370113</v>
      </c>
      <c r="AE85" s="134">
        <v>12522.041378798784</v>
      </c>
      <c r="AF85" s="132">
        <v>11108.515072696338</v>
      </c>
      <c r="AG85" s="133">
        <v>12433.806830513919</v>
      </c>
      <c r="AH85" s="133">
        <v>13061.304513685654</v>
      </c>
      <c r="AI85" s="134">
        <v>10261.20335468009</v>
      </c>
      <c r="AJ85" s="132">
        <v>7363.501538865803</v>
      </c>
      <c r="AK85" s="133">
        <v>12500.432966973889</v>
      </c>
      <c r="AL85" s="133">
        <v>14284.951684827567</v>
      </c>
      <c r="AM85" s="134">
        <v>11007.662924408609</v>
      </c>
      <c r="AN85" s="132">
        <v>11338.736102616864</v>
      </c>
      <c r="AO85" s="133">
        <v>11265.999175608655</v>
      </c>
      <c r="AP85" s="133">
        <v>14003.834745230592</v>
      </c>
      <c r="AQ85" s="134">
        <v>11134.702179369415</v>
      </c>
      <c r="AR85" s="132">
        <v>11940.015325416387</v>
      </c>
      <c r="AS85" s="133">
        <v>12393.288375617652</v>
      </c>
      <c r="AT85" s="133">
        <v>16131.600820061782</v>
      </c>
      <c r="AU85" s="134">
        <v>13824.079078230456</v>
      </c>
      <c r="AV85" s="132">
        <v>12583.068232522217</v>
      </c>
      <c r="AW85" s="133">
        <v>13258.66777913202</v>
      </c>
      <c r="AX85" s="133">
        <v>13299.482956085158</v>
      </c>
      <c r="AY85" s="134">
        <v>13071.852473720119</v>
      </c>
      <c r="AZ85" s="132">
        <v>14242.342970041045</v>
      </c>
      <c r="BA85" s="133">
        <v>11829.704686162802</v>
      </c>
      <c r="BB85" s="133">
        <v>14228.509755955982</v>
      </c>
      <c r="BC85" s="134">
        <v>11945.795274758853</v>
      </c>
      <c r="BD85" s="132">
        <v>13416.024337272542</v>
      </c>
      <c r="BE85" s="133">
        <v>20426.757476348979</v>
      </c>
      <c r="BF85" s="133">
        <v>26724.89527375442</v>
      </c>
      <c r="BG85" s="134">
        <v>18354.964648005709</v>
      </c>
      <c r="BH85" s="132">
        <v>17219.688211213634</v>
      </c>
      <c r="BI85" s="133">
        <v>20815.260711022453</v>
      </c>
      <c r="BJ85" s="133">
        <v>29309.460067392341</v>
      </c>
      <c r="BK85" s="134">
        <v>20184.12438625205</v>
      </c>
      <c r="BL85" s="132">
        <v>16139.560872995002</v>
      </c>
      <c r="BM85" s="133">
        <v>19435.897435897437</v>
      </c>
      <c r="BN85" s="133">
        <v>24983.95871111731</v>
      </c>
      <c r="BO85" s="134">
        <v>17846.665973161347</v>
      </c>
      <c r="BP85" s="132">
        <v>14926.617745163445</v>
      </c>
      <c r="BQ85" s="133">
        <v>18566.12592796261</v>
      </c>
      <c r="BR85" s="133">
        <v>25039.937148094799</v>
      </c>
      <c r="BS85" s="134">
        <v>17247.689291382692</v>
      </c>
      <c r="BT85" s="133">
        <v>14080.760567112759</v>
      </c>
      <c r="BU85" s="133"/>
      <c r="BV85" s="57"/>
      <c r="BW85" s="58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</row>
    <row r="86" spans="1:90" x14ac:dyDescent="0.25">
      <c r="A86" s="9"/>
      <c r="B86" s="9"/>
      <c r="C86" s="3" t="s">
        <v>10</v>
      </c>
      <c r="D86" s="3"/>
      <c r="E86" s="3"/>
      <c r="F86" s="20"/>
      <c r="G86" s="20"/>
      <c r="H86" s="132">
        <v>10395.771285362471</v>
      </c>
      <c r="I86" s="133">
        <v>13613.742700895122</v>
      </c>
      <c r="J86" s="133">
        <v>14374.386021465818</v>
      </c>
      <c r="K86" s="134">
        <v>12177.422034658644</v>
      </c>
      <c r="L86" s="132">
        <v>13275.858953925585</v>
      </c>
      <c r="M86" s="133">
        <v>16807.20496059108</v>
      </c>
      <c r="N86" s="133">
        <v>17485.925951732337</v>
      </c>
      <c r="O86" s="134">
        <v>12130.817213967606</v>
      </c>
      <c r="P86" s="132">
        <v>11049.013182683329</v>
      </c>
      <c r="Q86" s="133">
        <v>12325.940521468176</v>
      </c>
      <c r="R86" s="133">
        <v>15428.034651915252</v>
      </c>
      <c r="S86" s="134">
        <v>12387.079637473893</v>
      </c>
      <c r="T86" s="132">
        <v>10033.083930044124</v>
      </c>
      <c r="U86" s="133">
        <v>13289.137488192644</v>
      </c>
      <c r="V86" s="133">
        <v>16654.390895040047</v>
      </c>
      <c r="W86" s="134">
        <v>13126.060960532224</v>
      </c>
      <c r="X86" s="132">
        <v>9402.7428006290738</v>
      </c>
      <c r="Y86" s="133">
        <v>14059.210678224254</v>
      </c>
      <c r="Z86" s="133">
        <v>17536.356570896023</v>
      </c>
      <c r="AA86" s="134">
        <v>15385.077375828314</v>
      </c>
      <c r="AB86" s="132">
        <v>14230.261875933691</v>
      </c>
      <c r="AC86" s="133">
        <v>17561.44606795469</v>
      </c>
      <c r="AD86" s="133">
        <v>21548.442890936247</v>
      </c>
      <c r="AE86" s="134">
        <v>12953.414370967384</v>
      </c>
      <c r="AF86" s="132">
        <v>11372.234440819235</v>
      </c>
      <c r="AG86" s="133">
        <v>14015.159915158292</v>
      </c>
      <c r="AH86" s="133">
        <v>14551.701088090935</v>
      </c>
      <c r="AI86" s="134">
        <v>10812.473057700705</v>
      </c>
      <c r="AJ86" s="132">
        <v>8856.6337190036356</v>
      </c>
      <c r="AK86" s="133">
        <v>13292.485205754512</v>
      </c>
      <c r="AL86" s="133">
        <v>15976.476022878349</v>
      </c>
      <c r="AM86" s="134">
        <v>11428.923476334026</v>
      </c>
      <c r="AN86" s="132">
        <v>12258.27548176442</v>
      </c>
      <c r="AO86" s="133">
        <v>12954.153203824113</v>
      </c>
      <c r="AP86" s="133">
        <v>15705.73544662315</v>
      </c>
      <c r="AQ86" s="134">
        <v>11985.656812367637</v>
      </c>
      <c r="AR86" s="132">
        <v>13037.392121030522</v>
      </c>
      <c r="AS86" s="133">
        <v>12993.77428868081</v>
      </c>
      <c r="AT86" s="133">
        <v>18071.999287461495</v>
      </c>
      <c r="AU86" s="134">
        <v>14343.690469261272</v>
      </c>
      <c r="AV86" s="132">
        <v>13417.261236295013</v>
      </c>
      <c r="AW86" s="133">
        <v>13592.310203660831</v>
      </c>
      <c r="AX86" s="133">
        <v>14461.380545495143</v>
      </c>
      <c r="AY86" s="134">
        <v>13573.093679514961</v>
      </c>
      <c r="AZ86" s="132">
        <v>14834.890891780924</v>
      </c>
      <c r="BA86" s="133">
        <v>12067.462312008762</v>
      </c>
      <c r="BB86" s="133">
        <v>14870.177859117312</v>
      </c>
      <c r="BC86" s="134">
        <v>12285.983177629892</v>
      </c>
      <c r="BD86" s="132">
        <v>13575.871179347896</v>
      </c>
      <c r="BE86" s="133">
        <v>20876.785611143277</v>
      </c>
      <c r="BF86" s="133">
        <v>27702.619900219466</v>
      </c>
      <c r="BG86" s="134">
        <v>18958.877001619032</v>
      </c>
      <c r="BH86" s="132">
        <v>19168.930431642293</v>
      </c>
      <c r="BI86" s="133">
        <v>22120.891930064463</v>
      </c>
      <c r="BJ86" s="133">
        <v>30890.875571158907</v>
      </c>
      <c r="BK86" s="134">
        <v>21397.981451172942</v>
      </c>
      <c r="BL86" s="132">
        <v>17451.025506179332</v>
      </c>
      <c r="BM86" s="133">
        <v>20769.23076923077</v>
      </c>
      <c r="BN86" s="133">
        <v>27431.998884084249</v>
      </c>
      <c r="BO86" s="134">
        <v>19448.663268490589</v>
      </c>
      <c r="BP86" s="132">
        <v>16805.648209917723</v>
      </c>
      <c r="BQ86" s="133">
        <v>20140.225460544407</v>
      </c>
      <c r="BR86" s="133">
        <v>27049.888699751209</v>
      </c>
      <c r="BS86" s="134">
        <v>18213.985622257493</v>
      </c>
      <c r="BT86" s="133">
        <v>16439.313634556776</v>
      </c>
      <c r="BU86" s="133"/>
      <c r="BV86" s="57"/>
      <c r="BW86" s="58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</row>
    <row r="87" spans="1:90" x14ac:dyDescent="0.25">
      <c r="A87" s="9"/>
      <c r="B87" s="9"/>
      <c r="C87" s="3" t="s">
        <v>11</v>
      </c>
      <c r="D87" s="3"/>
      <c r="E87" s="3"/>
      <c r="F87" s="20"/>
      <c r="G87" s="20"/>
      <c r="H87" s="132">
        <v>8638.9462280577445</v>
      </c>
      <c r="I87" s="133">
        <v>12135.415252684632</v>
      </c>
      <c r="J87" s="133">
        <v>13271.158085776769</v>
      </c>
      <c r="K87" s="134">
        <v>11089.766033581061</v>
      </c>
      <c r="L87" s="132">
        <v>12689.786021203092</v>
      </c>
      <c r="M87" s="133">
        <v>15911.912314352523</v>
      </c>
      <c r="N87" s="133">
        <v>14874.507669039285</v>
      </c>
      <c r="O87" s="134">
        <v>10965.421803191461</v>
      </c>
      <c r="P87" s="132">
        <v>9907.0606786779281</v>
      </c>
      <c r="Q87" s="133">
        <v>11223.646194105933</v>
      </c>
      <c r="R87" s="133">
        <v>14001.737834096473</v>
      </c>
      <c r="S87" s="134">
        <v>10771.469617305944</v>
      </c>
      <c r="T87" s="132">
        <v>8814.4064164053289</v>
      </c>
      <c r="U87" s="133">
        <v>13675.85421855542</v>
      </c>
      <c r="V87" s="133">
        <v>17301.283052033279</v>
      </c>
      <c r="W87" s="134">
        <v>14880.181935339973</v>
      </c>
      <c r="X87" s="132">
        <v>10009.351148717538</v>
      </c>
      <c r="Y87" s="133">
        <v>25189.785428778585</v>
      </c>
      <c r="Z87" s="133">
        <v>28540.625228480054</v>
      </c>
      <c r="AA87" s="134">
        <v>25653.219540906415</v>
      </c>
      <c r="AB87" s="132">
        <v>17768.034383267091</v>
      </c>
      <c r="AC87" s="133">
        <v>20280.769801161317</v>
      </c>
      <c r="AD87" s="133">
        <v>31054.161168737272</v>
      </c>
      <c r="AE87" s="134">
        <v>15006.925760705422</v>
      </c>
      <c r="AF87" s="132">
        <v>10913.384524303354</v>
      </c>
      <c r="AG87" s="133">
        <v>13119.831354953907</v>
      </c>
      <c r="AH87" s="133">
        <v>20253.307683350464</v>
      </c>
      <c r="AI87" s="134">
        <v>11360.07383547877</v>
      </c>
      <c r="AJ87" s="132">
        <v>7885.0786187044914</v>
      </c>
      <c r="AK87" s="133">
        <v>16492.882407731864</v>
      </c>
      <c r="AL87" s="133">
        <v>16023.159205975062</v>
      </c>
      <c r="AM87" s="134">
        <v>10817.318031539176</v>
      </c>
      <c r="AN87" s="132">
        <v>10386.210081359875</v>
      </c>
      <c r="AO87" s="133">
        <v>12826.461429316261</v>
      </c>
      <c r="AP87" s="133">
        <v>16309.39990546479</v>
      </c>
      <c r="AQ87" s="134">
        <v>13032.031398474703</v>
      </c>
      <c r="AR87" s="132">
        <v>12894.932404387077</v>
      </c>
      <c r="AS87" s="133">
        <v>14239.637395951468</v>
      </c>
      <c r="AT87" s="133">
        <v>18791.52450621446</v>
      </c>
      <c r="AU87" s="134">
        <v>14955.979929941705</v>
      </c>
      <c r="AV87" s="132">
        <v>10829.278324546336</v>
      </c>
      <c r="AW87" s="133">
        <v>14352.688668619061</v>
      </c>
      <c r="AX87" s="133">
        <v>13339.001576733712</v>
      </c>
      <c r="AY87" s="134">
        <v>14538.231177594955</v>
      </c>
      <c r="AZ87" s="132">
        <v>9056.9185203149173</v>
      </c>
      <c r="BA87" s="133">
        <v>13656.526949559084</v>
      </c>
      <c r="BB87" s="133">
        <v>15594.195410627797</v>
      </c>
      <c r="BC87" s="134">
        <v>11870.789520337725</v>
      </c>
      <c r="BD87" s="132">
        <v>12012.645353182077</v>
      </c>
      <c r="BE87" s="133">
        <v>23240.069196726501</v>
      </c>
      <c r="BF87" s="133">
        <v>29992.54658385093</v>
      </c>
      <c r="BG87" s="134">
        <v>22493.309158223678</v>
      </c>
      <c r="BH87" s="132">
        <v>13818.709746788962</v>
      </c>
      <c r="BI87" s="133">
        <v>24232.257789068091</v>
      </c>
      <c r="BJ87" s="133">
        <v>36627.11865507008</v>
      </c>
      <c r="BK87" s="134">
        <v>19952.558941920644</v>
      </c>
      <c r="BL87" s="132">
        <v>13576.217632552401</v>
      </c>
      <c r="BM87" s="133">
        <v>20346.534653465344</v>
      </c>
      <c r="BN87" s="133">
        <v>27273.499433748591</v>
      </c>
      <c r="BO87" s="134">
        <v>16682.067261201246</v>
      </c>
      <c r="BP87" s="132">
        <v>12617.458363035445</v>
      </c>
      <c r="BQ87" s="133">
        <v>20488.175909279489</v>
      </c>
      <c r="BR87" s="133">
        <v>27183.799784714742</v>
      </c>
      <c r="BS87" s="134">
        <v>16510.101528048406</v>
      </c>
      <c r="BT87" s="133">
        <v>11560.043583158222</v>
      </c>
      <c r="BU87" s="133"/>
      <c r="BV87" s="57"/>
      <c r="BW87" s="58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</row>
    <row r="88" spans="1:90" x14ac:dyDescent="0.25">
      <c r="A88" s="9"/>
      <c r="B88" s="9"/>
      <c r="C88" s="3" t="s">
        <v>12</v>
      </c>
      <c r="D88" s="3"/>
      <c r="E88" s="3"/>
      <c r="F88" s="20"/>
      <c r="G88" s="20"/>
      <c r="H88" s="132">
        <v>10116.312578103136</v>
      </c>
      <c r="I88" s="133">
        <v>13132.394948277539</v>
      </c>
      <c r="J88" s="133">
        <v>15669.384362010573</v>
      </c>
      <c r="K88" s="134">
        <v>11705.895953757226</v>
      </c>
      <c r="L88" s="132">
        <v>14012.952650492171</v>
      </c>
      <c r="M88" s="133">
        <v>15659.596462300209</v>
      </c>
      <c r="N88" s="133">
        <v>17369.158262003537</v>
      </c>
      <c r="O88" s="134">
        <v>12219.176209175774</v>
      </c>
      <c r="P88" s="132">
        <v>10209.817955028242</v>
      </c>
      <c r="Q88" s="133">
        <v>11780.895630058483</v>
      </c>
      <c r="R88" s="133">
        <v>15760.672984772656</v>
      </c>
      <c r="S88" s="134">
        <v>11130.753280307054</v>
      </c>
      <c r="T88" s="132">
        <v>10623.053616853351</v>
      </c>
      <c r="U88" s="133">
        <v>14565.879903486924</v>
      </c>
      <c r="V88" s="133">
        <v>18952.924884502187</v>
      </c>
      <c r="W88" s="134">
        <v>17994.31484665813</v>
      </c>
      <c r="X88" s="132">
        <v>12533.132752961035</v>
      </c>
      <c r="Y88" s="133">
        <v>25132.571377746157</v>
      </c>
      <c r="Z88" s="133">
        <v>28507.17689294949</v>
      </c>
      <c r="AA88" s="134">
        <v>25246.286050618008</v>
      </c>
      <c r="AB88" s="132">
        <v>18767.965417596803</v>
      </c>
      <c r="AC88" s="133">
        <v>18148.484468223454</v>
      </c>
      <c r="AD88" s="133">
        <v>33744.039288946457</v>
      </c>
      <c r="AE88" s="134">
        <v>13165.47187169117</v>
      </c>
      <c r="AF88" s="132">
        <v>11599.385727013672</v>
      </c>
      <c r="AG88" s="133">
        <v>12978.271246875905</v>
      </c>
      <c r="AH88" s="133">
        <v>19661.126808272715</v>
      </c>
      <c r="AI88" s="134">
        <v>12010.954643113075</v>
      </c>
      <c r="AJ88" s="132">
        <v>8412.1319370141373</v>
      </c>
      <c r="AK88" s="133">
        <v>14613.523575058929</v>
      </c>
      <c r="AL88" s="133">
        <v>17444.661113280701</v>
      </c>
      <c r="AM88" s="134">
        <v>12443.34999958074</v>
      </c>
      <c r="AN88" s="132">
        <v>10222.80005845268</v>
      </c>
      <c r="AO88" s="133">
        <v>11588.422439710204</v>
      </c>
      <c r="AP88" s="133">
        <v>16287.635270927247</v>
      </c>
      <c r="AQ88" s="134">
        <v>10975.844997359891</v>
      </c>
      <c r="AR88" s="132">
        <v>11610.232825580941</v>
      </c>
      <c r="AS88" s="133">
        <v>12343.292343954992</v>
      </c>
      <c r="AT88" s="133">
        <v>17874.724560347804</v>
      </c>
      <c r="AU88" s="134">
        <v>13815.125180060135</v>
      </c>
      <c r="AV88" s="132">
        <v>11315.799346485855</v>
      </c>
      <c r="AW88" s="133">
        <v>12310.165680231012</v>
      </c>
      <c r="AX88" s="133">
        <v>12548.704416453189</v>
      </c>
      <c r="AY88" s="134">
        <v>11971.015775482652</v>
      </c>
      <c r="AZ88" s="132">
        <v>8819.9893251464528</v>
      </c>
      <c r="BA88" s="133">
        <v>9936.3930162530214</v>
      </c>
      <c r="BB88" s="133">
        <v>14986.722586069605</v>
      </c>
      <c r="BC88" s="134">
        <v>10985.483540348581</v>
      </c>
      <c r="BD88" s="132">
        <v>10361.901180761066</v>
      </c>
      <c r="BE88" s="133">
        <v>15147.688949722457</v>
      </c>
      <c r="BF88" s="133">
        <v>30672.002812609873</v>
      </c>
      <c r="BG88" s="134">
        <v>16949.317156855923</v>
      </c>
      <c r="BH88" s="132">
        <v>11910.434651762303</v>
      </c>
      <c r="BI88" s="133">
        <v>19195.503207420294</v>
      </c>
      <c r="BJ88" s="133">
        <v>41219.422899472025</v>
      </c>
      <c r="BK88" s="134">
        <v>19916.61874640598</v>
      </c>
      <c r="BL88" s="132">
        <v>14527.974722564733</v>
      </c>
      <c r="BM88" s="133">
        <v>19999.999999999996</v>
      </c>
      <c r="BN88" s="133">
        <v>27931.766704416761</v>
      </c>
      <c r="BO88" s="134">
        <v>16520.898248630067</v>
      </c>
      <c r="BP88" s="132">
        <v>13323.828656600348</v>
      </c>
      <c r="BQ88" s="133">
        <v>20045.6368413774</v>
      </c>
      <c r="BR88" s="133">
        <v>27748.923573735196</v>
      </c>
      <c r="BS88" s="134">
        <v>16407.547943800637</v>
      </c>
      <c r="BT88" s="133">
        <v>12392.79321347965</v>
      </c>
      <c r="BU88" s="133"/>
      <c r="BV88" s="57"/>
      <c r="BW88" s="58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</row>
    <row r="89" spans="1:90" x14ac:dyDescent="0.25">
      <c r="A89" s="9"/>
      <c r="B89" s="9"/>
      <c r="C89" s="3" t="s">
        <v>13</v>
      </c>
      <c r="D89" s="3"/>
      <c r="E89" s="3"/>
      <c r="F89" s="20"/>
      <c r="G89" s="20"/>
      <c r="H89" s="132">
        <v>6988.8304652661091</v>
      </c>
      <c r="I89" s="133">
        <v>10989.742693148459</v>
      </c>
      <c r="J89" s="133">
        <v>11550.176550369008</v>
      </c>
      <c r="K89" s="134">
        <v>10380.005505092211</v>
      </c>
      <c r="L89" s="132">
        <v>11724.088644899221</v>
      </c>
      <c r="M89" s="133">
        <v>14173.206428596306</v>
      </c>
      <c r="N89" s="133">
        <v>14646.95068557808</v>
      </c>
      <c r="O89" s="134">
        <v>10304.603399048216</v>
      </c>
      <c r="P89" s="132">
        <v>9033.2199233157462</v>
      </c>
      <c r="Q89" s="133">
        <v>10141.333912409777</v>
      </c>
      <c r="R89" s="133">
        <v>11701.007347460332</v>
      </c>
      <c r="S89" s="134">
        <v>9027.8496671902558</v>
      </c>
      <c r="T89" s="132">
        <v>6055.2276319706871</v>
      </c>
      <c r="U89" s="133">
        <v>13641.379981320049</v>
      </c>
      <c r="V89" s="133">
        <v>15320.3091120401</v>
      </c>
      <c r="W89" s="134">
        <v>14091.140523386448</v>
      </c>
      <c r="X89" s="132">
        <v>7149.8132989463229</v>
      </c>
      <c r="Y89" s="133">
        <v>22880.83763904274</v>
      </c>
      <c r="Z89" s="133">
        <v>26123.341297745636</v>
      </c>
      <c r="AA89" s="134">
        <v>23968.722778104766</v>
      </c>
      <c r="AB89" s="132">
        <v>15555.368771729327</v>
      </c>
      <c r="AC89" s="133">
        <v>19809.333896120192</v>
      </c>
      <c r="AD89" s="133">
        <v>28711.120094240454</v>
      </c>
      <c r="AE89" s="134">
        <v>14154.428841714256</v>
      </c>
      <c r="AF89" s="132">
        <v>10369.377813095833</v>
      </c>
      <c r="AG89" s="133">
        <v>13008.995714351362</v>
      </c>
      <c r="AH89" s="133">
        <v>21235.204518027524</v>
      </c>
      <c r="AI89" s="134">
        <v>9959.6223524979705</v>
      </c>
      <c r="AJ89" s="132">
        <v>6512.8001060495599</v>
      </c>
      <c r="AK89" s="133">
        <v>17322.126083063038</v>
      </c>
      <c r="AL89" s="133">
        <v>15816.962729085884</v>
      </c>
      <c r="AM89" s="134">
        <v>10494.042038620468</v>
      </c>
      <c r="AN89" s="132">
        <v>9639.1881450308101</v>
      </c>
      <c r="AO89" s="133">
        <v>12480.538269785973</v>
      </c>
      <c r="AP89" s="133">
        <v>17594.774946129666</v>
      </c>
      <c r="AQ89" s="134">
        <v>13456.199187960106</v>
      </c>
      <c r="AR89" s="132">
        <v>12646.990384508539</v>
      </c>
      <c r="AS89" s="133">
        <v>15083.136539844198</v>
      </c>
      <c r="AT89" s="133">
        <v>19073.843201794134</v>
      </c>
      <c r="AU89" s="134">
        <v>14897.090357155517</v>
      </c>
      <c r="AV89" s="132">
        <v>10775.387921285048</v>
      </c>
      <c r="AW89" s="133">
        <v>15262.368981547854</v>
      </c>
      <c r="AX89" s="133">
        <v>13172.761296506906</v>
      </c>
      <c r="AY89" s="134">
        <v>13995.364217279546</v>
      </c>
      <c r="AZ89" s="132">
        <v>7337.6827385669085</v>
      </c>
      <c r="BA89" s="133">
        <v>14315.092056103829</v>
      </c>
      <c r="BB89" s="133">
        <v>14432.4615112498</v>
      </c>
      <c r="BC89" s="134">
        <v>12862.235113738352</v>
      </c>
      <c r="BD89" s="132">
        <v>10537.427034944549</v>
      </c>
      <c r="BE89" s="133">
        <v>21780.312432118371</v>
      </c>
      <c r="BF89" s="133">
        <v>26271.744990038675</v>
      </c>
      <c r="BG89" s="134">
        <v>18878.711419421605</v>
      </c>
      <c r="BH89" s="132">
        <v>12050.309708006367</v>
      </c>
      <c r="BI89" s="133">
        <v>23048.116641227894</v>
      </c>
      <c r="BJ89" s="133">
        <v>29371.005993788425</v>
      </c>
      <c r="BK89" s="134">
        <v>18184.301322599196</v>
      </c>
      <c r="BL89" s="132">
        <v>11769.035141800245</v>
      </c>
      <c r="BM89" s="133">
        <v>19031.117397454029</v>
      </c>
      <c r="BN89" s="133">
        <v>25475.651189127977</v>
      </c>
      <c r="BO89" s="134">
        <v>15129.472440098853</v>
      </c>
      <c r="BP89" s="132">
        <v>10880.694705463029</v>
      </c>
      <c r="BQ89" s="133">
        <v>18434.518047296366</v>
      </c>
      <c r="BR89" s="133">
        <v>25192.411194833148</v>
      </c>
      <c r="BS89" s="134">
        <v>14935.904009845146</v>
      </c>
      <c r="BT89" s="133">
        <v>9773.9123667211443</v>
      </c>
      <c r="BU89" s="133"/>
      <c r="BV89" s="57"/>
      <c r="BW89" s="58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</row>
    <row r="90" spans="1:90" x14ac:dyDescent="0.25">
      <c r="A90" s="9"/>
      <c r="B90" s="9"/>
      <c r="C90" s="3" t="s">
        <v>14</v>
      </c>
      <c r="D90" s="3"/>
      <c r="E90" s="3"/>
      <c r="F90" s="20"/>
      <c r="G90" s="20"/>
      <c r="H90" s="132">
        <v>9919.2610835882315</v>
      </c>
      <c r="I90" s="133">
        <v>11692.745993405917</v>
      </c>
      <c r="J90" s="133">
        <v>12257.789770679701</v>
      </c>
      <c r="K90" s="134">
        <v>11268.088310995026</v>
      </c>
      <c r="L90" s="132">
        <v>13179.324922055346</v>
      </c>
      <c r="M90" s="133">
        <v>15235.212873897479</v>
      </c>
      <c r="N90" s="133">
        <v>15590.177399757351</v>
      </c>
      <c r="O90" s="134">
        <v>11187.23508220819</v>
      </c>
      <c r="P90" s="132">
        <v>10824.143087419639</v>
      </c>
      <c r="Q90" s="133">
        <v>10456.743299707407</v>
      </c>
      <c r="R90" s="133">
        <v>12016.647781748454</v>
      </c>
      <c r="S90" s="134">
        <v>9521.796811797105</v>
      </c>
      <c r="T90" s="132">
        <v>15174.504065567922</v>
      </c>
      <c r="U90" s="133">
        <v>10983.951259130996</v>
      </c>
      <c r="V90" s="133">
        <v>9712.8146329327537</v>
      </c>
      <c r="W90" s="134">
        <v>9908.5287337975878</v>
      </c>
      <c r="X90" s="132">
        <v>14497.624897624897</v>
      </c>
      <c r="Y90" s="133">
        <v>13935.026737967917</v>
      </c>
      <c r="Z90" s="133"/>
      <c r="AA90" s="134"/>
      <c r="AB90" s="132">
        <v>15176.94629921321</v>
      </c>
      <c r="AC90" s="133">
        <v>15394.300914173948</v>
      </c>
      <c r="AD90" s="133">
        <v>12553.796965685775</v>
      </c>
      <c r="AE90" s="134">
        <v>10808.548639266501</v>
      </c>
      <c r="AF90" s="132">
        <v>10578.177942230295</v>
      </c>
      <c r="AG90" s="133">
        <v>10939.069256265882</v>
      </c>
      <c r="AH90" s="133"/>
      <c r="AI90" s="134">
        <v>10659.09454487282</v>
      </c>
      <c r="AJ90" s="132">
        <v>12816.927747831647</v>
      </c>
      <c r="AK90" s="133">
        <v>14732.258367967643</v>
      </c>
      <c r="AL90" s="133">
        <v>13528.673138131642</v>
      </c>
      <c r="AM90" s="134">
        <v>10078.397792951424</v>
      </c>
      <c r="AN90" s="132">
        <v>10793.298682886449</v>
      </c>
      <c r="AO90" s="133">
        <v>10884.649170678595</v>
      </c>
      <c r="AP90" s="133">
        <v>14207.557699884348</v>
      </c>
      <c r="AQ90" s="134">
        <v>12897.82393223172</v>
      </c>
      <c r="AR90" s="132">
        <v>11543.916375924828</v>
      </c>
      <c r="AS90" s="133">
        <v>12986.951466546503</v>
      </c>
      <c r="AT90" s="133">
        <v>14673.869593761001</v>
      </c>
      <c r="AU90" s="134">
        <v>10822.152774538614</v>
      </c>
      <c r="AV90" s="132">
        <v>10310.828308473498</v>
      </c>
      <c r="AW90" s="133">
        <v>12499.903648342492</v>
      </c>
      <c r="AX90" s="133">
        <v>11849.182248187302</v>
      </c>
      <c r="AY90" s="134">
        <v>12600.077373360638</v>
      </c>
      <c r="AZ90" s="132">
        <v>10205.672842039674</v>
      </c>
      <c r="BA90" s="133">
        <v>13119.969764036548</v>
      </c>
      <c r="BB90" s="133">
        <v>12947.912033887447</v>
      </c>
      <c r="BC90" s="134">
        <v>14015.876778914813</v>
      </c>
      <c r="BD90" s="132">
        <v>12001.278989966053</v>
      </c>
      <c r="BE90" s="133">
        <v>15260.763363266267</v>
      </c>
      <c r="BF90" s="133">
        <v>14665.106199429007</v>
      </c>
      <c r="BG90" s="134">
        <v>12860.211987129651</v>
      </c>
      <c r="BH90" s="132">
        <v>14516.102613644196</v>
      </c>
      <c r="BI90" s="133">
        <v>17192.695598214006</v>
      </c>
      <c r="BJ90" s="133">
        <v>21679.909439101291</v>
      </c>
      <c r="BK90" s="134">
        <v>0</v>
      </c>
      <c r="BL90" s="132">
        <v>0</v>
      </c>
      <c r="BM90" s="133">
        <v>0</v>
      </c>
      <c r="BN90" s="133">
        <v>0</v>
      </c>
      <c r="BO90" s="134">
        <v>0</v>
      </c>
      <c r="BP90" s="132">
        <v>0</v>
      </c>
      <c r="BQ90" s="133">
        <v>0</v>
      </c>
      <c r="BR90" s="133">
        <v>0</v>
      </c>
      <c r="BS90" s="134">
        <v>0</v>
      </c>
      <c r="BT90" s="133">
        <v>0</v>
      </c>
      <c r="BU90" s="133"/>
      <c r="BV90" s="57"/>
      <c r="BW90" s="58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</row>
    <row r="91" spans="1:90" x14ac:dyDescent="0.25">
      <c r="A91" s="9"/>
      <c r="B91" s="9"/>
      <c r="C91" s="3" t="s">
        <v>15</v>
      </c>
      <c r="D91" s="3"/>
      <c r="E91" s="3"/>
      <c r="F91" s="20"/>
      <c r="G91" s="20"/>
      <c r="H91" s="132">
        <v>9353.8185717074939</v>
      </c>
      <c r="I91" s="133">
        <v>10153.616086484972</v>
      </c>
      <c r="J91" s="133">
        <v>11706.82218374337</v>
      </c>
      <c r="K91" s="134">
        <v>9956.4831938380594</v>
      </c>
      <c r="L91" s="132">
        <v>12262.521729860036</v>
      </c>
      <c r="M91" s="133">
        <v>13882.976279879842</v>
      </c>
      <c r="N91" s="133">
        <v>14023.046535114219</v>
      </c>
      <c r="O91" s="134">
        <v>9922.7368551190775</v>
      </c>
      <c r="P91" s="132">
        <v>9999.5867438192981</v>
      </c>
      <c r="Q91" s="133">
        <v>9955.9979630102807</v>
      </c>
      <c r="R91" s="133">
        <v>12378.994160202214</v>
      </c>
      <c r="S91" s="134">
        <v>9371.1166911273303</v>
      </c>
      <c r="T91" s="132">
        <v>15648.673134361201</v>
      </c>
      <c r="U91" s="133">
        <v>9970.2232712190289</v>
      </c>
      <c r="V91" s="133">
        <v>9548.9936641200802</v>
      </c>
      <c r="W91" s="134">
        <v>9531.043223832703</v>
      </c>
      <c r="X91" s="132">
        <v>13792.579511329512</v>
      </c>
      <c r="Y91" s="133">
        <v>12340.499108734404</v>
      </c>
      <c r="Z91" s="133"/>
      <c r="AA91" s="134"/>
      <c r="AB91" s="132">
        <v>15172.172545394405</v>
      </c>
      <c r="AC91" s="133">
        <v>14075.400393390662</v>
      </c>
      <c r="AD91" s="133">
        <v>12592.863139078394</v>
      </c>
      <c r="AE91" s="134">
        <v>11111.482099795958</v>
      </c>
      <c r="AF91" s="132">
        <v>10337.045984108601</v>
      </c>
      <c r="AG91" s="133">
        <v>10958.608582034931</v>
      </c>
      <c r="AH91" s="133"/>
      <c r="AI91" s="134">
        <v>10552.631578947368</v>
      </c>
      <c r="AJ91" s="132">
        <v>11106.219984373645</v>
      </c>
      <c r="AK91" s="133">
        <v>11116.423800547425</v>
      </c>
      <c r="AL91" s="133">
        <v>12676.749728674282</v>
      </c>
      <c r="AM91" s="134">
        <v>9387.1986424114184</v>
      </c>
      <c r="AN91" s="132">
        <v>10256.427682683205</v>
      </c>
      <c r="AO91" s="133">
        <v>10424.968537993085</v>
      </c>
      <c r="AP91" s="133">
        <v>12433.329197539495</v>
      </c>
      <c r="AQ91" s="134">
        <v>10917.501060463163</v>
      </c>
      <c r="AR91" s="132">
        <v>11095.484833518869</v>
      </c>
      <c r="AS91" s="133">
        <v>11341.425714036719</v>
      </c>
      <c r="AT91" s="133">
        <v>13005.245364042028</v>
      </c>
      <c r="AU91" s="134">
        <v>9640.9907178506473</v>
      </c>
      <c r="AV91" s="132">
        <v>9763.4846080609314</v>
      </c>
      <c r="AW91" s="133">
        <v>11009.187260748418</v>
      </c>
      <c r="AX91" s="133">
        <v>11214.901420006619</v>
      </c>
      <c r="AY91" s="134">
        <v>10854.687107313393</v>
      </c>
      <c r="AZ91" s="132">
        <v>9624.008481017614</v>
      </c>
      <c r="BA91" s="133">
        <v>11364.988952057774</v>
      </c>
      <c r="BB91" s="133">
        <v>12642.438924728243</v>
      </c>
      <c r="BC91" s="134">
        <v>10305.716729697328</v>
      </c>
      <c r="BD91" s="132">
        <v>11148.649371144726</v>
      </c>
      <c r="BE91" s="133">
        <v>13788.480475007716</v>
      </c>
      <c r="BF91" s="133">
        <v>15243.432998691722</v>
      </c>
      <c r="BG91" s="134">
        <v>11551.762657877358</v>
      </c>
      <c r="BH91" s="132">
        <v>13967.636889074369</v>
      </c>
      <c r="BI91" s="133">
        <v>14035.377703197822</v>
      </c>
      <c r="BJ91" s="133">
        <v>17720.316185662301</v>
      </c>
      <c r="BK91" s="134">
        <v>13150.966183574879</v>
      </c>
      <c r="BL91" s="132">
        <v>13772.158237356034</v>
      </c>
      <c r="BM91" s="133">
        <v>13471.820004455334</v>
      </c>
      <c r="BN91" s="133">
        <v>17213.631739572738</v>
      </c>
      <c r="BO91" s="134">
        <v>11407.48211993398</v>
      </c>
      <c r="BP91" s="132">
        <v>12922.261181903703</v>
      </c>
      <c r="BQ91" s="133">
        <v>12701.761789218272</v>
      </c>
      <c r="BR91" s="133">
        <v>16981.662947511399</v>
      </c>
      <c r="BS91" s="134">
        <v>11050.689624879207</v>
      </c>
      <c r="BT91" s="133">
        <v>13623.484141791045</v>
      </c>
      <c r="BU91" s="133"/>
      <c r="BV91" s="57"/>
      <c r="BW91" s="58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</row>
    <row r="92" spans="1:90" x14ac:dyDescent="0.25">
      <c r="A92" s="9"/>
      <c r="B92" s="9"/>
      <c r="C92" s="3" t="s">
        <v>16</v>
      </c>
      <c r="D92" s="3"/>
      <c r="E92" s="3"/>
      <c r="F92" s="20"/>
      <c r="G92" s="20"/>
      <c r="H92" s="132">
        <v>10982.938058617096</v>
      </c>
      <c r="I92" s="133">
        <v>10174.009022248962</v>
      </c>
      <c r="J92" s="133">
        <v>29164.820142048087</v>
      </c>
      <c r="K92" s="134">
        <v>9432.3273150178265</v>
      </c>
      <c r="L92" s="132">
        <v>10394.117264939096</v>
      </c>
      <c r="M92" s="133">
        <v>16411.090993704463</v>
      </c>
      <c r="N92" s="133">
        <v>14471.794025551042</v>
      </c>
      <c r="O92" s="134">
        <v>9271.632096097017</v>
      </c>
      <c r="P92" s="132">
        <v>8680.5794528427596</v>
      </c>
      <c r="Q92" s="133">
        <v>10303.891873994549</v>
      </c>
      <c r="R92" s="133">
        <v>12146.439466573696</v>
      </c>
      <c r="S92" s="134">
        <v>10060.828687082892</v>
      </c>
      <c r="T92" s="132">
        <v>11115.729144348796</v>
      </c>
      <c r="U92" s="133">
        <v>10090.39167728579</v>
      </c>
      <c r="V92" s="133">
        <v>11239.827877614978</v>
      </c>
      <c r="W92" s="134">
        <v>9506.2500576205402</v>
      </c>
      <c r="X92" s="132">
        <v>9799.1242053742062</v>
      </c>
      <c r="Y92" s="133">
        <v>11094.046345811052</v>
      </c>
      <c r="Z92" s="133"/>
      <c r="AA92" s="134"/>
      <c r="AB92" s="132">
        <v>11203.722050060016</v>
      </c>
      <c r="AC92" s="133">
        <v>12850.887183036113</v>
      </c>
      <c r="AD92" s="133">
        <v>12097.94872665151</v>
      </c>
      <c r="AE92" s="134">
        <v>10134.615894215229</v>
      </c>
      <c r="AF92" s="132">
        <v>10326.922314213476</v>
      </c>
      <c r="AG92" s="133">
        <v>12614.08023562469</v>
      </c>
      <c r="AH92" s="133"/>
      <c r="AI92" s="134">
        <v>10222.859615188841</v>
      </c>
      <c r="AJ92" s="132">
        <v>11406.881800029993</v>
      </c>
      <c r="AK92" s="133">
        <v>12901.485590482302</v>
      </c>
      <c r="AL92" s="133">
        <v>20957.813939232128</v>
      </c>
      <c r="AM92" s="134">
        <v>9128.8690107212842</v>
      </c>
      <c r="AN92" s="132">
        <v>10019.643680383087</v>
      </c>
      <c r="AO92" s="133">
        <v>11716.039114145609</v>
      </c>
      <c r="AP92" s="133">
        <v>58540.590295870781</v>
      </c>
      <c r="AQ92" s="134">
        <v>12316.139233071986</v>
      </c>
      <c r="AR92" s="132">
        <v>12476.642578897303</v>
      </c>
      <c r="AS92" s="133">
        <v>15133.503663443576</v>
      </c>
      <c r="AT92" s="133">
        <v>17979.782878274189</v>
      </c>
      <c r="AU92" s="134">
        <v>11697.087861685093</v>
      </c>
      <c r="AV92" s="132">
        <v>180329.06802073412</v>
      </c>
      <c r="AW92" s="133">
        <v>15392.3074919924</v>
      </c>
      <c r="AX92" s="133">
        <v>12339.500284199026</v>
      </c>
      <c r="AY92" s="134">
        <v>11151.327970700266</v>
      </c>
      <c r="AZ92" s="132">
        <v>9704.2587022202715</v>
      </c>
      <c r="BA92" s="133">
        <v>14817.717432182186</v>
      </c>
      <c r="BB92" s="133">
        <v>16271.200921269077</v>
      </c>
      <c r="BC92" s="134">
        <v>10545.536708968337</v>
      </c>
      <c r="BD92" s="132">
        <v>11211.061627164865</v>
      </c>
      <c r="BE92" s="133">
        <v>30242.996986177564</v>
      </c>
      <c r="BF92" s="133">
        <v>74102.118329616409</v>
      </c>
      <c r="BG92" s="134">
        <v>13050.717967103728</v>
      </c>
      <c r="BH92" s="132">
        <v>15435.244751364209</v>
      </c>
      <c r="BI92" s="133">
        <v>21810.288342763626</v>
      </c>
      <c r="BJ92" s="133">
        <v>23278.043110025556</v>
      </c>
      <c r="BK92" s="134">
        <v>16818.840579710144</v>
      </c>
      <c r="BL92" s="132">
        <v>17083.124687030544</v>
      </c>
      <c r="BM92" s="133">
        <v>18211.182891512584</v>
      </c>
      <c r="BN92" s="133">
        <v>26281.790437436419</v>
      </c>
      <c r="BO92" s="134">
        <v>13557.674674491105</v>
      </c>
      <c r="BP92" s="132">
        <v>15977.935516975967</v>
      </c>
      <c r="BQ92" s="133">
        <v>16488.026163097373</v>
      </c>
      <c r="BR92" s="133">
        <v>23931.308819249054</v>
      </c>
      <c r="BS92" s="134">
        <v>11778.968637441802</v>
      </c>
      <c r="BT92" s="133">
        <v>16279.734141791047</v>
      </c>
      <c r="BU92" s="133"/>
      <c r="BV92" s="57"/>
      <c r="BW92" s="58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</row>
    <row r="93" spans="1:90" x14ac:dyDescent="0.25">
      <c r="A93" s="9"/>
      <c r="B93" s="9"/>
      <c r="C93" s="3" t="s">
        <v>17</v>
      </c>
      <c r="D93" s="3"/>
      <c r="E93" s="3"/>
      <c r="F93" s="20"/>
      <c r="G93" s="20"/>
      <c r="H93" s="132">
        <v>11258.397063398308</v>
      </c>
      <c r="I93" s="133">
        <v>9699.1491999051887</v>
      </c>
      <c r="J93" s="133">
        <v>29404.778772396181</v>
      </c>
      <c r="K93" s="134">
        <v>9173.7526453261144</v>
      </c>
      <c r="L93" s="132">
        <v>10331.584066002208</v>
      </c>
      <c r="M93" s="133">
        <v>16171.177437523969</v>
      </c>
      <c r="N93" s="133">
        <v>14549.574756774377</v>
      </c>
      <c r="O93" s="134">
        <v>9290.9446595811132</v>
      </c>
      <c r="P93" s="132">
        <v>8704.8825685581032</v>
      </c>
      <c r="Q93" s="133">
        <v>9835.5238770464366</v>
      </c>
      <c r="R93" s="133">
        <v>11664.847903774078</v>
      </c>
      <c r="S93" s="134">
        <v>9330.5488331506913</v>
      </c>
      <c r="T93" s="132">
        <v>11277.709430889978</v>
      </c>
      <c r="U93" s="133">
        <v>9510.0208376786359</v>
      </c>
      <c r="V93" s="133">
        <v>10792.46257808474</v>
      </c>
      <c r="W93" s="134">
        <v>9643.6925441477197</v>
      </c>
      <c r="X93" s="132">
        <v>9785.8863733863745</v>
      </c>
      <c r="Y93" s="133">
        <v>10656.244800950684</v>
      </c>
      <c r="Z93" s="133"/>
      <c r="AA93" s="134"/>
      <c r="AB93" s="132">
        <v>10910.756839461012</v>
      </c>
      <c r="AC93" s="133">
        <v>11803.242905440908</v>
      </c>
      <c r="AD93" s="133">
        <v>10832.367489167204</v>
      </c>
      <c r="AE93" s="134">
        <v>8986.6709065373507</v>
      </c>
      <c r="AF93" s="132">
        <v>8049.2367530342863</v>
      </c>
      <c r="AG93" s="133">
        <v>8874.3758152583596</v>
      </c>
      <c r="AH93" s="133"/>
      <c r="AI93" s="134">
        <v>8127.0996640537514</v>
      </c>
      <c r="AJ93" s="132">
        <v>11192.87572311359</v>
      </c>
      <c r="AK93" s="133">
        <v>12953.961561772006</v>
      </c>
      <c r="AL93" s="133">
        <v>20873.683592108271</v>
      </c>
      <c r="AM93" s="134">
        <v>8988.1327517385143</v>
      </c>
      <c r="AN93" s="132">
        <v>9759.2869641945381</v>
      </c>
      <c r="AO93" s="133">
        <v>11065.627708132519</v>
      </c>
      <c r="AP93" s="133">
        <v>58477.209371782992</v>
      </c>
      <c r="AQ93" s="134">
        <v>11794.281263149735</v>
      </c>
      <c r="AR93" s="132">
        <v>12238.114825689878</v>
      </c>
      <c r="AS93" s="133">
        <v>14142.476177520253</v>
      </c>
      <c r="AT93" s="133">
        <v>17246.790271069149</v>
      </c>
      <c r="AU93" s="134">
        <v>10840.269291167189</v>
      </c>
      <c r="AV93" s="132">
        <v>179952.35163440171</v>
      </c>
      <c r="AW93" s="133">
        <v>13658.8630504414</v>
      </c>
      <c r="AX93" s="133">
        <v>12139.252126550116</v>
      </c>
      <c r="AY93" s="134">
        <v>10528.06362509362</v>
      </c>
      <c r="AZ93" s="132">
        <v>9239.2161998323008</v>
      </c>
      <c r="BA93" s="133">
        <v>11172.431395827001</v>
      </c>
      <c r="BB93" s="133">
        <v>16418.953325707687</v>
      </c>
      <c r="BC93" s="134">
        <v>9925.7599437736662</v>
      </c>
      <c r="BD93" s="132">
        <v>10679.348940520529</v>
      </c>
      <c r="BE93" s="133">
        <v>27965.614453283648</v>
      </c>
      <c r="BF93" s="133">
        <v>73439.043054163267</v>
      </c>
      <c r="BG93" s="134">
        <v>12495.00906845911</v>
      </c>
      <c r="BH93" s="132">
        <v>15356.875802842826</v>
      </c>
      <c r="BI93" s="133">
        <v>19323.217484432902</v>
      </c>
      <c r="BJ93" s="133">
        <v>22618.453000883241</v>
      </c>
      <c r="BK93" s="134">
        <v>14739.13043478261</v>
      </c>
      <c r="BL93" s="132">
        <v>17347.521281922887</v>
      </c>
      <c r="BM93" s="133">
        <v>15888.839385163734</v>
      </c>
      <c r="BN93" s="133">
        <v>26357.070193285857</v>
      </c>
      <c r="BO93" s="134">
        <v>11959.4718503576</v>
      </c>
      <c r="BP93" s="132">
        <v>15708.543573077912</v>
      </c>
      <c r="BQ93" s="133">
        <v>15046.945880367128</v>
      </c>
      <c r="BR93" s="133">
        <v>22930.047540506454</v>
      </c>
      <c r="BS93" s="134">
        <v>10441.887024510235</v>
      </c>
      <c r="BT93" s="133">
        <v>16925.722947761195</v>
      </c>
      <c r="BU93" s="133"/>
      <c r="BV93" s="57"/>
      <c r="BW93" s="58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</row>
    <row r="94" spans="1:90" x14ac:dyDescent="0.25">
      <c r="A94" s="9"/>
      <c r="B94" s="9"/>
      <c r="C94" s="3" t="s">
        <v>18</v>
      </c>
      <c r="D94" s="3"/>
      <c r="E94" s="3"/>
      <c r="F94" s="20"/>
      <c r="G94" s="20"/>
      <c r="H94" s="132">
        <v>11600.390545003029</v>
      </c>
      <c r="I94" s="133">
        <v>9826.6707974119217</v>
      </c>
      <c r="J94" s="133">
        <v>28635.455850955412</v>
      </c>
      <c r="K94" s="134">
        <v>9459.3048750262169</v>
      </c>
      <c r="L94" s="132">
        <v>10520.946450600448</v>
      </c>
      <c r="M94" s="133">
        <v>16072.269702852698</v>
      </c>
      <c r="N94" s="133">
        <v>14182.947187637983</v>
      </c>
      <c r="O94" s="134">
        <v>9592.9272157985706</v>
      </c>
      <c r="P94" s="132">
        <v>8617.8358739436062</v>
      </c>
      <c r="Q94" s="133">
        <v>10071.582193974684</v>
      </c>
      <c r="R94" s="133">
        <v>11836.049856184085</v>
      </c>
      <c r="S94" s="134">
        <v>9744.8083584576816</v>
      </c>
      <c r="T94" s="132">
        <v>11105.355292766057</v>
      </c>
      <c r="U94" s="133">
        <v>9663.5539866064573</v>
      </c>
      <c r="V94" s="133">
        <v>11040.920225186916</v>
      </c>
      <c r="W94" s="134">
        <v>9590.7895947722209</v>
      </c>
      <c r="X94" s="132">
        <v>9745.4462579462579</v>
      </c>
      <c r="Y94" s="133">
        <v>10973.850267379679</v>
      </c>
      <c r="Z94" s="133"/>
      <c r="AA94" s="134"/>
      <c r="AB94" s="132">
        <v>10978.59387986229</v>
      </c>
      <c r="AC94" s="133">
        <v>12393.265594130062</v>
      </c>
      <c r="AD94" s="133">
        <v>11175.514600233062</v>
      </c>
      <c r="AE94" s="134">
        <v>9875.9837824946317</v>
      </c>
      <c r="AF94" s="132">
        <v>8976.1937705346572</v>
      </c>
      <c r="AG94" s="133">
        <v>10500.050690771004</v>
      </c>
      <c r="AH94" s="133"/>
      <c r="AI94" s="134">
        <v>9207.1006820726871</v>
      </c>
      <c r="AJ94" s="132">
        <v>11562.42061732</v>
      </c>
      <c r="AK94" s="133">
        <v>12627.530263537059</v>
      </c>
      <c r="AL94" s="133">
        <v>20738.936930558659</v>
      </c>
      <c r="AM94" s="134">
        <v>8736.1367233769397</v>
      </c>
      <c r="AN94" s="132">
        <v>9945.9492685731857</v>
      </c>
      <c r="AO94" s="133">
        <v>10732.010109923058</v>
      </c>
      <c r="AP94" s="133">
        <v>57860.622450211609</v>
      </c>
      <c r="AQ94" s="134">
        <v>11975.567660302455</v>
      </c>
      <c r="AR94" s="132">
        <v>12180.059027077501</v>
      </c>
      <c r="AS94" s="133">
        <v>14207.994745557</v>
      </c>
      <c r="AT94" s="133">
        <v>16731.532125832917</v>
      </c>
      <c r="AU94" s="134">
        <v>11123.174277407217</v>
      </c>
      <c r="AV94" s="132">
        <v>178826.03829472122</v>
      </c>
      <c r="AW94" s="133">
        <v>13449.654956902164</v>
      </c>
      <c r="AX94" s="133">
        <v>11724.847308511635</v>
      </c>
      <c r="AY94" s="134">
        <v>10157.376724365176</v>
      </c>
      <c r="AZ94" s="132">
        <v>8485.8317564562221</v>
      </c>
      <c r="BA94" s="133">
        <v>11319.213483802967</v>
      </c>
      <c r="BB94" s="133">
        <v>15455.044565232358</v>
      </c>
      <c r="BC94" s="134">
        <v>10002.236354218518</v>
      </c>
      <c r="BD94" s="132">
        <v>10465.673184598951</v>
      </c>
      <c r="BE94" s="133">
        <v>28311.260915745712</v>
      </c>
      <c r="BF94" s="133">
        <v>70328.029888645848</v>
      </c>
      <c r="BG94" s="134">
        <v>12654.61547380083</v>
      </c>
      <c r="BH94" s="132">
        <v>14566.748618232441</v>
      </c>
      <c r="BI94" s="133">
        <v>21454.73615705155</v>
      </c>
      <c r="BJ94" s="133">
        <v>22028.618597930625</v>
      </c>
      <c r="BK94" s="134">
        <v>15985.507246376814</v>
      </c>
      <c r="BL94" s="132">
        <v>16150.726089133699</v>
      </c>
      <c r="BM94" s="133">
        <v>18255.736244152373</v>
      </c>
      <c r="BN94" s="133">
        <v>25310.274669379451</v>
      </c>
      <c r="BO94" s="134">
        <v>13147.808545754629</v>
      </c>
      <c r="BP94" s="132">
        <v>14617.292397160696</v>
      </c>
      <c r="BQ94" s="133">
        <v>16022.787213841124</v>
      </c>
      <c r="BR94" s="133">
        <v>21140.001940428836</v>
      </c>
      <c r="BS94" s="134">
        <v>11335.324606869895</v>
      </c>
      <c r="BT94" s="133">
        <v>16083.838619402986</v>
      </c>
      <c r="BU94" s="133"/>
      <c r="BV94" s="57"/>
      <c r="BW94" s="58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</row>
    <row r="95" spans="1:90" x14ac:dyDescent="0.25">
      <c r="A95" s="9"/>
      <c r="B95" s="9"/>
      <c r="C95" s="3" t="s">
        <v>19</v>
      </c>
      <c r="D95" s="3"/>
      <c r="E95" s="3"/>
      <c r="F95" s="20"/>
      <c r="G95" s="20"/>
      <c r="H95" s="132">
        <v>7868.6098854529637</v>
      </c>
      <c r="I95" s="133">
        <v>8392.7174233413043</v>
      </c>
      <c r="J95" s="133">
        <v>9952.3042151387726</v>
      </c>
      <c r="K95" s="134">
        <v>9122.2447776576009</v>
      </c>
      <c r="L95" s="132">
        <v>9104.7491220994089</v>
      </c>
      <c r="M95" s="133">
        <v>10222.712804926252</v>
      </c>
      <c r="N95" s="133">
        <v>11500.174863480081</v>
      </c>
      <c r="O95" s="134">
        <v>8278.8329905746068</v>
      </c>
      <c r="P95" s="132">
        <v>8643.4625995493971</v>
      </c>
      <c r="Q95" s="133">
        <v>9332.5599048811655</v>
      </c>
      <c r="R95" s="133">
        <v>10797.865760770217</v>
      </c>
      <c r="S95" s="134">
        <v>9162.0032917315348</v>
      </c>
      <c r="T95" s="132">
        <v>8479.6690390369695</v>
      </c>
      <c r="U95" s="133">
        <v>8774.7752575081558</v>
      </c>
      <c r="V95" s="133">
        <v>9549.2794678751925</v>
      </c>
      <c r="W95" s="134">
        <v>8945.9739702517163</v>
      </c>
      <c r="X95" s="132">
        <v>8696.9655663693447</v>
      </c>
      <c r="Y95" s="133">
        <v>9609.4443681255179</v>
      </c>
      <c r="Z95" s="133">
        <v>10739.594937650245</v>
      </c>
      <c r="AA95" s="134">
        <v>9412.2104170329621</v>
      </c>
      <c r="AB95" s="132">
        <v>9082.8495511861674</v>
      </c>
      <c r="AC95" s="133">
        <v>10487.802809183666</v>
      </c>
      <c r="AD95" s="133">
        <v>11862.554146631101</v>
      </c>
      <c r="AE95" s="134">
        <v>8154.8861550605116</v>
      </c>
      <c r="AF95" s="132">
        <v>7290.8755399766096</v>
      </c>
      <c r="AG95" s="133">
        <v>10390.687222025732</v>
      </c>
      <c r="AH95" s="133">
        <v>13376.001901993859</v>
      </c>
      <c r="AI95" s="134">
        <v>6977.6686271436956</v>
      </c>
      <c r="AJ95" s="132">
        <v>6720.0782135858635</v>
      </c>
      <c r="AK95" s="133">
        <v>8843.28628879184</v>
      </c>
      <c r="AL95" s="133">
        <v>9810.8313718183308</v>
      </c>
      <c r="AM95" s="134">
        <v>5718.1334335519105</v>
      </c>
      <c r="AN95" s="132">
        <v>5904.0529487417416</v>
      </c>
      <c r="AO95" s="133">
        <v>7242.510936667577</v>
      </c>
      <c r="AP95" s="133">
        <v>13209.203102499554</v>
      </c>
      <c r="AQ95" s="134">
        <v>7051.9509605066842</v>
      </c>
      <c r="AR95" s="132">
        <v>6598.0086684569651</v>
      </c>
      <c r="AS95" s="133">
        <v>10476.638482435732</v>
      </c>
      <c r="AT95" s="133">
        <v>36063.17980362683</v>
      </c>
      <c r="AU95" s="134">
        <v>8197.3647856378029</v>
      </c>
      <c r="AV95" s="132">
        <v>5003.9329749383905</v>
      </c>
      <c r="AW95" s="133">
        <v>18361.137844887322</v>
      </c>
      <c r="AX95" s="133">
        <v>11959.000847758</v>
      </c>
      <c r="AY95" s="134">
        <v>7508.0340561081966</v>
      </c>
      <c r="AZ95" s="132">
        <v>7718.1200979024679</v>
      </c>
      <c r="BA95" s="133">
        <v>8988.5713993097161</v>
      </c>
      <c r="BB95" s="133">
        <v>14911.317219015491</v>
      </c>
      <c r="BC95" s="134">
        <v>8116.6345156908656</v>
      </c>
      <c r="BD95" s="132">
        <v>8029.684386727904</v>
      </c>
      <c r="BE95" s="133">
        <v>10214.015143826631</v>
      </c>
      <c r="BF95" s="133">
        <v>18739.283455892873</v>
      </c>
      <c r="BG95" s="134">
        <v>8713.1922073149981</v>
      </c>
      <c r="BH95" s="132">
        <v>12475.348954675261</v>
      </c>
      <c r="BI95" s="133">
        <v>12688.439176091268</v>
      </c>
      <c r="BJ95" s="133">
        <v>30395.274498515024</v>
      </c>
      <c r="BK95" s="134">
        <v>11162.231484450142</v>
      </c>
      <c r="BL95" s="132">
        <v>8420.5426356589142</v>
      </c>
      <c r="BM95" s="133">
        <v>9318.1593270658086</v>
      </c>
      <c r="BN95" s="133">
        <v>20430.072860919467</v>
      </c>
      <c r="BO95" s="134">
        <v>9306.632712119459</v>
      </c>
      <c r="BP95" s="132">
        <v>8094.3245403677047</v>
      </c>
      <c r="BQ95" s="133">
        <v>7959.8173515981725</v>
      </c>
      <c r="BR95" s="133">
        <v>20036.178162623804</v>
      </c>
      <c r="BS95" s="134">
        <v>9258.5214696768489</v>
      </c>
      <c r="BT95" s="133">
        <v>8283.0164020126776</v>
      </c>
      <c r="BU95" s="133"/>
      <c r="BV95" s="57"/>
      <c r="BW95" s="58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</row>
    <row r="96" spans="1:90" x14ac:dyDescent="0.25">
      <c r="A96" s="9"/>
      <c r="B96" s="9"/>
      <c r="C96" s="3" t="s">
        <v>20</v>
      </c>
      <c r="D96" s="3"/>
      <c r="E96" s="3"/>
      <c r="F96" s="20"/>
      <c r="G96" s="20"/>
      <c r="H96" s="132">
        <v>8712.8945464401313</v>
      </c>
      <c r="I96" s="133">
        <v>8386.8559380068418</v>
      </c>
      <c r="J96" s="133">
        <v>9816.3069212409246</v>
      </c>
      <c r="K96" s="134">
        <v>9336.5449057202786</v>
      </c>
      <c r="L96" s="132">
        <v>9981.816509260394</v>
      </c>
      <c r="M96" s="133">
        <v>12150.397798354581</v>
      </c>
      <c r="N96" s="133">
        <v>13493.008972111733</v>
      </c>
      <c r="O96" s="134">
        <v>10924.844724940363</v>
      </c>
      <c r="P96" s="132">
        <v>12916.99688877169</v>
      </c>
      <c r="Q96" s="133">
        <v>12553.195315001165</v>
      </c>
      <c r="R96" s="133">
        <v>12849.407790506366</v>
      </c>
      <c r="S96" s="134">
        <v>11416.580289614287</v>
      </c>
      <c r="T96" s="132">
        <v>10171.040379669532</v>
      </c>
      <c r="U96" s="133">
        <v>10586.970005725316</v>
      </c>
      <c r="V96" s="133">
        <v>11664.405309471487</v>
      </c>
      <c r="W96" s="134">
        <v>11608.230835240272</v>
      </c>
      <c r="X96" s="132">
        <v>11549.973358442174</v>
      </c>
      <c r="Y96" s="133">
        <v>11553.297355897424</v>
      </c>
      <c r="Z96" s="133">
        <v>12776.520826686661</v>
      </c>
      <c r="AA96" s="134">
        <v>12614.504056463969</v>
      </c>
      <c r="AB96" s="132">
        <v>11902.780300389613</v>
      </c>
      <c r="AC96" s="133">
        <v>11604.598249444076</v>
      </c>
      <c r="AD96" s="133">
        <v>13039.500632741525</v>
      </c>
      <c r="AE96" s="134">
        <v>11308.690715218545</v>
      </c>
      <c r="AF96" s="132">
        <v>9159.1381710595124</v>
      </c>
      <c r="AG96" s="133">
        <v>10193.268506541139</v>
      </c>
      <c r="AH96" s="133">
        <v>14630.996276224108</v>
      </c>
      <c r="AI96" s="134">
        <v>10965.672227335428</v>
      </c>
      <c r="AJ96" s="132">
        <v>9507.7642218087512</v>
      </c>
      <c r="AK96" s="133">
        <v>9544.1422590095426</v>
      </c>
      <c r="AL96" s="133">
        <v>10383.56999267943</v>
      </c>
      <c r="AM96" s="134">
        <v>8391.9739636456397</v>
      </c>
      <c r="AN96" s="132">
        <v>7892.0976917773132</v>
      </c>
      <c r="AO96" s="133">
        <v>9296.2848746507989</v>
      </c>
      <c r="AP96" s="133">
        <v>12735.446822062606</v>
      </c>
      <c r="AQ96" s="134">
        <v>9238.1544571760951</v>
      </c>
      <c r="AR96" s="132">
        <v>10030.671427387497</v>
      </c>
      <c r="AS96" s="133">
        <v>11327.185835537981</v>
      </c>
      <c r="AT96" s="133">
        <v>22779.701905142618</v>
      </c>
      <c r="AU96" s="134">
        <v>10058.282469544829</v>
      </c>
      <c r="AV96" s="132">
        <v>5680.6258395137693</v>
      </c>
      <c r="AW96" s="133">
        <v>11082.675846309494</v>
      </c>
      <c r="AX96" s="133">
        <v>10837.570396041861</v>
      </c>
      <c r="AY96" s="134">
        <v>9645.1497957125284</v>
      </c>
      <c r="AZ96" s="132">
        <v>9207.9329875205294</v>
      </c>
      <c r="BA96" s="133">
        <v>8189.4910949293835</v>
      </c>
      <c r="BB96" s="133">
        <v>12390.562567667277</v>
      </c>
      <c r="BC96" s="134">
        <v>8761.6640701337219</v>
      </c>
      <c r="BD96" s="132">
        <v>8328.4160993464375</v>
      </c>
      <c r="BE96" s="133">
        <v>7692.4596070409871</v>
      </c>
      <c r="BF96" s="133">
        <v>13181.850052934275</v>
      </c>
      <c r="BG96" s="134">
        <v>8770.6132534818807</v>
      </c>
      <c r="BH96" s="132">
        <v>10954.10899340532</v>
      </c>
      <c r="BI96" s="133">
        <v>5750.2770567992811</v>
      </c>
      <c r="BJ96" s="133">
        <v>21387.105760825078</v>
      </c>
      <c r="BK96" s="134">
        <v>10916.15902532863</v>
      </c>
      <c r="BL96" s="132">
        <v>7726.391825229035</v>
      </c>
      <c r="BM96" s="133">
        <v>5121.22711528946</v>
      </c>
      <c r="BN96" s="133">
        <v>12635.244051840868</v>
      </c>
      <c r="BO96" s="134">
        <v>9582.7063317513603</v>
      </c>
      <c r="BP96" s="132">
        <v>8343.1921129762868</v>
      </c>
      <c r="BQ96" s="133">
        <v>4490.41095890411</v>
      </c>
      <c r="BR96" s="133">
        <v>12058.596761757901</v>
      </c>
      <c r="BS96" s="134">
        <v>9509.7388224878268</v>
      </c>
      <c r="BT96" s="133">
        <v>8564.0070574397196</v>
      </c>
      <c r="BU96" s="133"/>
      <c r="BV96" s="57"/>
      <c r="BW96" s="58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</row>
    <row r="97" spans="1:90" x14ac:dyDescent="0.25">
      <c r="A97" s="9"/>
      <c r="B97" s="9"/>
      <c r="C97" s="3" t="s">
        <v>21</v>
      </c>
      <c r="D97" s="3"/>
      <c r="E97" s="3"/>
      <c r="F97" s="20"/>
      <c r="G97" s="20"/>
      <c r="H97" s="132">
        <v>8587.6385493692269</v>
      </c>
      <c r="I97" s="133">
        <v>7916.6945677366348</v>
      </c>
      <c r="J97" s="133">
        <v>9240.0922558303937</v>
      </c>
      <c r="K97" s="134">
        <v>9619.2598937969833</v>
      </c>
      <c r="L97" s="132">
        <v>9774.6526206417202</v>
      </c>
      <c r="M97" s="133">
        <v>10442.61884421084</v>
      </c>
      <c r="N97" s="133">
        <v>12180.556485941454</v>
      </c>
      <c r="O97" s="134">
        <v>10526.753937296367</v>
      </c>
      <c r="P97" s="132">
        <v>10949.601031360791</v>
      </c>
      <c r="Q97" s="133">
        <v>10830.506996851733</v>
      </c>
      <c r="R97" s="133">
        <v>12248.194278984565</v>
      </c>
      <c r="S97" s="134">
        <v>11463.870925547235</v>
      </c>
      <c r="T97" s="132">
        <v>10189.697490568802</v>
      </c>
      <c r="U97" s="133">
        <v>10763.382935596046</v>
      </c>
      <c r="V97" s="133">
        <v>11499.948088646759</v>
      </c>
      <c r="W97" s="134">
        <v>11945.73489832536</v>
      </c>
      <c r="X97" s="132">
        <v>11926.913512999789</v>
      </c>
      <c r="Y97" s="133">
        <v>13370.988210478101</v>
      </c>
      <c r="Z97" s="133">
        <v>13162.932697463539</v>
      </c>
      <c r="AA97" s="134">
        <v>13204.993103832679</v>
      </c>
      <c r="AB97" s="132">
        <v>12560.259536038084</v>
      </c>
      <c r="AC97" s="133">
        <v>12523.460757976871</v>
      </c>
      <c r="AD97" s="133">
        <v>13344.024835173015</v>
      </c>
      <c r="AE97" s="134">
        <v>12185.802564248123</v>
      </c>
      <c r="AF97" s="132">
        <v>10020.574085898546</v>
      </c>
      <c r="AG97" s="133">
        <v>12713.150662260488</v>
      </c>
      <c r="AH97" s="133">
        <v>18243.927297925809</v>
      </c>
      <c r="AI97" s="134">
        <v>11844.988750689816</v>
      </c>
      <c r="AJ97" s="132">
        <v>9750.9872132380606</v>
      </c>
      <c r="AK97" s="133">
        <v>11463.624590480256</v>
      </c>
      <c r="AL97" s="133">
        <v>14679.89843845844</v>
      </c>
      <c r="AM97" s="134">
        <v>10309.447411057534</v>
      </c>
      <c r="AN97" s="132">
        <v>10484.866253771321</v>
      </c>
      <c r="AO97" s="133">
        <v>10575.681166781553</v>
      </c>
      <c r="AP97" s="133">
        <v>14742.866802210783</v>
      </c>
      <c r="AQ97" s="134">
        <v>8623.9973845697732</v>
      </c>
      <c r="AR97" s="132">
        <v>10571.935688831183</v>
      </c>
      <c r="AS97" s="133">
        <v>15041.600804580488</v>
      </c>
      <c r="AT97" s="133">
        <v>23386.328334720831</v>
      </c>
      <c r="AU97" s="134">
        <v>11083.882481510946</v>
      </c>
      <c r="AV97" s="132">
        <v>6758.4503151960143</v>
      </c>
      <c r="AW97" s="133">
        <v>14514.152349682867</v>
      </c>
      <c r="AX97" s="133">
        <v>15114.343692286648</v>
      </c>
      <c r="AY97" s="134">
        <v>9761.2140685065133</v>
      </c>
      <c r="AZ97" s="132">
        <v>10549.651408463358</v>
      </c>
      <c r="BA97" s="133">
        <v>10290.661709732592</v>
      </c>
      <c r="BB97" s="133">
        <v>16238.067047044486</v>
      </c>
      <c r="BC97" s="134">
        <v>10566.76711149376</v>
      </c>
      <c r="BD97" s="132">
        <v>9940.2379075984645</v>
      </c>
      <c r="BE97" s="133">
        <v>8384.0246400923988</v>
      </c>
      <c r="BF97" s="133">
        <v>12882.328526576572</v>
      </c>
      <c r="BG97" s="134">
        <v>11263.781882304072</v>
      </c>
      <c r="BH97" s="132">
        <v>17141.936149219287</v>
      </c>
      <c r="BI97" s="133">
        <v>14549.61265593254</v>
      </c>
      <c r="BJ97" s="133">
        <v>25385.778894190698</v>
      </c>
      <c r="BK97" s="134">
        <v>13805.706957358127</v>
      </c>
      <c r="BL97" s="132">
        <v>10864.16490486258</v>
      </c>
      <c r="BM97" s="133">
        <v>10431.469569520039</v>
      </c>
      <c r="BN97" s="133">
        <v>12886.066155135726</v>
      </c>
      <c r="BO97" s="134">
        <v>12265.887255469384</v>
      </c>
      <c r="BP97" s="132">
        <v>11227.817745803359</v>
      </c>
      <c r="BQ97" s="133">
        <v>9444.7488584474904</v>
      </c>
      <c r="BR97" s="133">
        <v>12413.261372397839</v>
      </c>
      <c r="BS97" s="134">
        <v>11837.649402390438</v>
      </c>
      <c r="BT97" s="133">
        <v>11281.121348755147</v>
      </c>
      <c r="BU97" s="133"/>
      <c r="BV97" s="57"/>
      <c r="BW97" s="58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</row>
    <row r="98" spans="1:90" x14ac:dyDescent="0.25">
      <c r="A98" s="9"/>
      <c r="B98" s="9"/>
      <c r="C98" s="3" t="s">
        <v>22</v>
      </c>
      <c r="D98" s="3"/>
      <c r="E98" s="3"/>
      <c r="F98" s="20"/>
      <c r="G98" s="20"/>
      <c r="H98" s="132">
        <v>6300.4650329492133</v>
      </c>
      <c r="I98" s="133">
        <v>6276.9546109439107</v>
      </c>
      <c r="J98" s="133">
        <v>7828.3339470904384</v>
      </c>
      <c r="K98" s="134">
        <v>8491.1878498992501</v>
      </c>
      <c r="L98" s="132">
        <v>8294.7510138199414</v>
      </c>
      <c r="M98" s="133">
        <v>4660.9345109783262</v>
      </c>
      <c r="N98" s="133">
        <v>8632.6291508423401</v>
      </c>
      <c r="O98" s="134">
        <v>7838.2354508687304</v>
      </c>
      <c r="P98" s="132">
        <v>8075.8635838930741</v>
      </c>
      <c r="Q98" s="133">
        <v>8091.9358425922283</v>
      </c>
      <c r="R98" s="133">
        <v>10951.509277313995</v>
      </c>
      <c r="S98" s="134">
        <v>10769.332035499809</v>
      </c>
      <c r="T98" s="132">
        <v>8534.6275638196112</v>
      </c>
      <c r="U98" s="133">
        <v>6981.111984473795</v>
      </c>
      <c r="V98" s="133">
        <v>9081.0580978050511</v>
      </c>
      <c r="W98" s="134">
        <v>8146.4887442391127</v>
      </c>
      <c r="X98" s="132">
        <v>7044.2786742988164</v>
      </c>
      <c r="Y98" s="133">
        <v>10392.209704517267</v>
      </c>
      <c r="Z98" s="133">
        <v>10556.634945163707</v>
      </c>
      <c r="AA98" s="134">
        <v>8820.7474108122133</v>
      </c>
      <c r="AB98" s="132">
        <v>8289.0893229132671</v>
      </c>
      <c r="AC98" s="133">
        <v>7545.548082607881</v>
      </c>
      <c r="AD98" s="133">
        <v>10787.02801155728</v>
      </c>
      <c r="AE98" s="134">
        <v>8488.3537018865591</v>
      </c>
      <c r="AF98" s="132">
        <v>7162.2049431236392</v>
      </c>
      <c r="AG98" s="133">
        <v>5049.6931119159699</v>
      </c>
      <c r="AH98" s="133">
        <v>11730.610249926354</v>
      </c>
      <c r="AI98" s="134">
        <v>6161.8786746975256</v>
      </c>
      <c r="AJ98" s="132">
        <v>5481.043950606113</v>
      </c>
      <c r="AK98" s="133">
        <v>5307.9729399271464</v>
      </c>
      <c r="AL98" s="133">
        <v>7831.0213527825799</v>
      </c>
      <c r="AM98" s="134">
        <v>7792.5602789529166</v>
      </c>
      <c r="AN98" s="132">
        <v>10504.392598850603</v>
      </c>
      <c r="AO98" s="133">
        <v>6765.2276348091864</v>
      </c>
      <c r="AP98" s="133">
        <v>10516.382126685434</v>
      </c>
      <c r="AQ98" s="134">
        <v>7756.9271069778406</v>
      </c>
      <c r="AR98" s="132">
        <v>7812.4057988331651</v>
      </c>
      <c r="AS98" s="133">
        <v>7120.3212600401193</v>
      </c>
      <c r="AT98" s="133">
        <v>10386.356749925058</v>
      </c>
      <c r="AU98" s="134">
        <v>7102.4746944525341</v>
      </c>
      <c r="AV98" s="132">
        <v>4080.4879404166777</v>
      </c>
      <c r="AW98" s="133">
        <v>13163.179428525405</v>
      </c>
      <c r="AX98" s="133">
        <v>13061.874933930842</v>
      </c>
      <c r="AY98" s="134">
        <v>9122.5881417066103</v>
      </c>
      <c r="AZ98" s="132">
        <v>7870.8499699543408</v>
      </c>
      <c r="BA98" s="133">
        <v>7632.6164213803613</v>
      </c>
      <c r="BB98" s="133">
        <v>12925.950984637702</v>
      </c>
      <c r="BC98" s="134">
        <v>9666.698062418207</v>
      </c>
      <c r="BD98" s="132">
        <v>9469.0408557395258</v>
      </c>
      <c r="BE98" s="133">
        <v>13617.135619814127</v>
      </c>
      <c r="BF98" s="133">
        <v>18524.714584108271</v>
      </c>
      <c r="BG98" s="134">
        <v>13531.10927870088</v>
      </c>
      <c r="BH98" s="132">
        <v>33016.48152557639</v>
      </c>
      <c r="BI98" s="133">
        <v>18955.387523672794</v>
      </c>
      <c r="BJ98" s="133">
        <v>28391.604331900173</v>
      </c>
      <c r="BK98" s="134">
        <v>18385.700545046486</v>
      </c>
      <c r="BL98" s="132">
        <v>14646.171012450086</v>
      </c>
      <c r="BM98" s="133">
        <v>10380.009896091042</v>
      </c>
      <c r="BN98" s="133">
        <v>20226.965632858337</v>
      </c>
      <c r="BO98" s="134">
        <v>14830.998958212758</v>
      </c>
      <c r="BP98" s="132">
        <v>14123.634958699709</v>
      </c>
      <c r="BQ98" s="133">
        <v>8946.1214611872147</v>
      </c>
      <c r="BR98" s="133">
        <v>19421.150584188363</v>
      </c>
      <c r="BS98" s="134">
        <v>14300.023240371847</v>
      </c>
      <c r="BT98" s="133">
        <v>12278.311442200877</v>
      </c>
      <c r="BU98" s="133"/>
      <c r="BV98" s="57"/>
      <c r="BW98" s="58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</row>
    <row r="99" spans="1:90" x14ac:dyDescent="0.25">
      <c r="A99" s="9"/>
      <c r="B99" s="9"/>
      <c r="C99" s="3" t="s">
        <v>23</v>
      </c>
      <c r="D99" s="3"/>
      <c r="E99" s="3"/>
      <c r="F99" s="20"/>
      <c r="G99" s="20"/>
      <c r="H99" s="132">
        <v>9906.4067611777518</v>
      </c>
      <c r="I99" s="133">
        <v>8718.3258864134896</v>
      </c>
      <c r="J99" s="133">
        <v>30227.542958213155</v>
      </c>
      <c r="K99" s="134">
        <v>8149.6476600623901</v>
      </c>
      <c r="L99" s="132">
        <v>9157.9910004687317</v>
      </c>
      <c r="M99" s="133">
        <v>16468.221674283002</v>
      </c>
      <c r="N99" s="133">
        <v>15092.712669580071</v>
      </c>
      <c r="O99" s="134">
        <v>9389.4640977407325</v>
      </c>
      <c r="P99" s="132">
        <v>8378.4307159245254</v>
      </c>
      <c r="Q99" s="133">
        <v>9852.8185516475023</v>
      </c>
      <c r="R99" s="133">
        <v>12115.972392060445</v>
      </c>
      <c r="S99" s="134">
        <v>9338.6130442386639</v>
      </c>
      <c r="T99" s="132">
        <v>10487.910265433908</v>
      </c>
      <c r="U99" s="133">
        <v>9903.7958688892832</v>
      </c>
      <c r="V99" s="133">
        <v>10930.224657211578</v>
      </c>
      <c r="W99" s="134">
        <v>10247.056943222115</v>
      </c>
      <c r="X99" s="132">
        <v>11148.650960168123</v>
      </c>
      <c r="Y99" s="133">
        <v>10615.241288425146</v>
      </c>
      <c r="Z99" s="133">
        <v>17413.83860248822</v>
      </c>
      <c r="AA99" s="134">
        <v>10910.022049402582</v>
      </c>
      <c r="AB99" s="132">
        <v>10241.377585271166</v>
      </c>
      <c r="AC99" s="133">
        <v>11835.929294883799</v>
      </c>
      <c r="AD99" s="133">
        <v>12226.799017646837</v>
      </c>
      <c r="AE99" s="134">
        <v>9570.3229995023084</v>
      </c>
      <c r="AF99" s="132">
        <v>8136.0478917820838</v>
      </c>
      <c r="AG99" s="133">
        <v>9388.4566479284858</v>
      </c>
      <c r="AH99" s="133">
        <v>11408.055772836346</v>
      </c>
      <c r="AI99" s="134">
        <v>9223.5107524303858</v>
      </c>
      <c r="AJ99" s="132">
        <v>13103.64260674943</v>
      </c>
      <c r="AK99" s="133">
        <v>15323.683980348998</v>
      </c>
      <c r="AL99" s="133">
        <v>32112.946947657456</v>
      </c>
      <c r="AM99" s="134">
        <v>18218.574211858791</v>
      </c>
      <c r="AN99" s="132">
        <v>19420.646559608151</v>
      </c>
      <c r="AO99" s="133">
        <v>1689116.1177544591</v>
      </c>
      <c r="AP99" s="133">
        <v>144281.20824009684</v>
      </c>
      <c r="AQ99" s="134">
        <v>21671.393504719264</v>
      </c>
      <c r="AR99" s="132">
        <v>43560.255452290054</v>
      </c>
      <c r="AS99" s="133">
        <v>20692.839136624836</v>
      </c>
      <c r="AT99" s="133">
        <v>25861.941973237586</v>
      </c>
      <c r="AU99" s="134">
        <v>12567.12249676085</v>
      </c>
      <c r="AV99" s="132">
        <v>57850.171760467587</v>
      </c>
      <c r="AW99" s="133">
        <v>13345.049792900618</v>
      </c>
      <c r="AX99" s="133">
        <v>11996.236634465475</v>
      </c>
      <c r="AY99" s="134">
        <v>9549.8621568705203</v>
      </c>
      <c r="AZ99" s="132">
        <v>8563.7888932168662</v>
      </c>
      <c r="BA99" s="133">
        <v>10585.000652550552</v>
      </c>
      <c r="BB99" s="133">
        <v>19377.061233641984</v>
      </c>
      <c r="BC99" s="134">
        <v>15822.218148068929</v>
      </c>
      <c r="BD99" s="132">
        <v>15617.320211612408</v>
      </c>
      <c r="BE99" s="133">
        <v>38668.841767380378</v>
      </c>
      <c r="BF99" s="133">
        <v>93750.442981794244</v>
      </c>
      <c r="BG99" s="134">
        <v>23661.425816516152</v>
      </c>
      <c r="BH99" s="132">
        <v>35131.526526292859</v>
      </c>
      <c r="BI99" s="133">
        <v>-71444.716586533294</v>
      </c>
      <c r="BJ99" s="133">
        <v>-105595.22189298643</v>
      </c>
      <c r="BK99" s="134">
        <v>27745.860762018754</v>
      </c>
      <c r="BL99" s="132">
        <v>21545.77071171283</v>
      </c>
      <c r="BM99" s="133">
        <v>34369.633981021238</v>
      </c>
      <c r="BN99" s="133">
        <v>35330.60764133653</v>
      </c>
      <c r="BO99" s="134">
        <v>22331.959641892852</v>
      </c>
      <c r="BP99" s="132">
        <v>19144.770736733644</v>
      </c>
      <c r="BQ99" s="133">
        <v>43347.639484978543</v>
      </c>
      <c r="BR99" s="133">
        <v>34103.501617212765</v>
      </c>
      <c r="BS99" s="134">
        <v>16226.181080166874</v>
      </c>
      <c r="BT99" s="133">
        <v>17782.389029231323</v>
      </c>
      <c r="BU99" s="133"/>
      <c r="BV99" s="57"/>
      <c r="BW99" s="58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</row>
    <row r="100" spans="1:90" x14ac:dyDescent="0.25">
      <c r="A100" s="9"/>
      <c r="B100" s="9"/>
      <c r="C100" s="3"/>
      <c r="D100" s="3"/>
      <c r="E100" s="3"/>
      <c r="F100" s="20"/>
      <c r="G100" s="20"/>
      <c r="H100" s="52"/>
      <c r="I100" s="53"/>
      <c r="J100" s="53"/>
      <c r="K100" s="54"/>
      <c r="L100" s="52"/>
      <c r="M100" s="53"/>
      <c r="N100" s="53"/>
      <c r="O100" s="53"/>
      <c r="P100" s="52"/>
      <c r="Q100" s="53"/>
      <c r="R100" s="53"/>
      <c r="S100" s="53"/>
      <c r="T100" s="53"/>
      <c r="U100" s="53"/>
      <c r="V100" s="53"/>
      <c r="W100" s="54"/>
      <c r="X100" s="53"/>
      <c r="Y100" s="53"/>
      <c r="Z100" s="53"/>
      <c r="AA100" s="54"/>
      <c r="AB100" s="53"/>
      <c r="AC100" s="53"/>
      <c r="AD100" s="53"/>
      <c r="AE100" s="54"/>
      <c r="AF100" s="53"/>
      <c r="AG100" s="53"/>
      <c r="AH100" s="55"/>
      <c r="AI100" s="56"/>
      <c r="AJ100" s="53"/>
      <c r="AK100" s="53"/>
      <c r="AL100" s="53"/>
      <c r="AM100" s="56"/>
      <c r="AN100" s="53"/>
      <c r="AO100" s="53"/>
      <c r="AP100" s="53"/>
      <c r="AQ100" s="56"/>
      <c r="AR100" s="53"/>
      <c r="AS100" s="53"/>
      <c r="AT100" s="53"/>
      <c r="AU100" s="56"/>
      <c r="AV100" s="53"/>
      <c r="AW100" s="53"/>
      <c r="AX100" s="53"/>
      <c r="AY100" s="56"/>
      <c r="AZ100" s="53"/>
      <c r="BA100" s="53"/>
      <c r="BB100" s="53"/>
      <c r="BC100" s="56"/>
      <c r="BD100" s="53"/>
      <c r="BE100" s="53"/>
      <c r="BF100" s="53"/>
      <c r="BG100" s="56"/>
      <c r="BH100" s="53"/>
      <c r="BI100" s="57"/>
      <c r="BJ100" s="57"/>
      <c r="BK100" s="58"/>
      <c r="BL100" s="57"/>
      <c r="BM100" s="57"/>
      <c r="BN100" s="57"/>
      <c r="BO100" s="58"/>
      <c r="BP100" s="57"/>
      <c r="BQ100" s="57"/>
      <c r="BR100" s="57"/>
      <c r="BS100" s="58"/>
      <c r="BT100" s="57"/>
      <c r="BU100" s="57"/>
      <c r="BV100" s="57"/>
      <c r="BW100" s="58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</row>
    <row r="101" spans="1:90" x14ac:dyDescent="0.25">
      <c r="A101" s="9"/>
      <c r="B101" s="9"/>
      <c r="C101" s="1" t="s">
        <v>31</v>
      </c>
      <c r="D101" s="41"/>
      <c r="E101" s="41"/>
      <c r="F101" s="78"/>
      <c r="G101" s="78"/>
      <c r="H101" s="132"/>
      <c r="I101" s="31"/>
      <c r="J101" s="31"/>
      <c r="K101" s="32"/>
      <c r="L101" s="30"/>
      <c r="M101" s="31"/>
      <c r="N101" s="31"/>
      <c r="O101" s="31"/>
      <c r="P101" s="47"/>
      <c r="Q101" s="31"/>
      <c r="R101" s="33"/>
      <c r="S101" s="34"/>
      <c r="T101" s="33"/>
      <c r="U101" s="31"/>
      <c r="V101" s="31"/>
      <c r="W101" s="34"/>
      <c r="X101" s="35"/>
      <c r="Y101" s="31"/>
      <c r="Z101" s="31"/>
      <c r="AA101" s="36"/>
      <c r="AB101" s="35"/>
      <c r="AC101" s="31"/>
      <c r="AD101" s="31"/>
      <c r="AE101" s="36"/>
      <c r="AF101" s="35"/>
      <c r="AG101" s="31"/>
      <c r="AH101" s="60"/>
      <c r="AI101" s="37"/>
      <c r="AJ101" s="35"/>
      <c r="AK101" s="31"/>
      <c r="AL101" s="35"/>
      <c r="AM101" s="37"/>
      <c r="AN101" s="35"/>
      <c r="AO101" s="35"/>
      <c r="AP101" s="35"/>
      <c r="AQ101" s="37"/>
      <c r="AR101" s="35"/>
      <c r="AS101" s="35"/>
      <c r="AT101" s="35"/>
      <c r="AU101" s="37"/>
      <c r="AV101" s="35"/>
      <c r="AW101" s="35"/>
      <c r="AX101" s="35"/>
      <c r="AY101" s="36"/>
      <c r="AZ101" s="35"/>
      <c r="BA101" s="35"/>
      <c r="BB101" s="35"/>
      <c r="BC101" s="36"/>
      <c r="BD101" s="35"/>
      <c r="BE101" s="35"/>
      <c r="BF101" s="35"/>
      <c r="BG101" s="36"/>
      <c r="BH101" s="35"/>
      <c r="BI101" s="35"/>
      <c r="BJ101" s="35"/>
      <c r="BK101" s="36"/>
      <c r="BL101" s="35"/>
      <c r="BM101" s="35"/>
      <c r="BN101" s="35"/>
      <c r="BO101" s="36"/>
      <c r="BP101" s="35"/>
      <c r="BQ101" s="35"/>
      <c r="BR101" s="35"/>
      <c r="BS101" s="36"/>
      <c r="BT101" s="35"/>
      <c r="BU101" s="35"/>
      <c r="BV101" s="35"/>
      <c r="BW101" s="36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</row>
    <row r="102" spans="1:90" x14ac:dyDescent="0.25">
      <c r="A102" s="9"/>
      <c r="B102" s="9"/>
      <c r="C102" s="3" t="s">
        <v>7</v>
      </c>
      <c r="D102" s="3"/>
      <c r="E102" s="3"/>
      <c r="F102" s="20"/>
      <c r="G102" s="20"/>
      <c r="H102" s="132">
        <v>7249.8433118995536</v>
      </c>
      <c r="I102" s="133">
        <v>7967.9229401340554</v>
      </c>
      <c r="J102" s="133">
        <v>8353.3317812738915</v>
      </c>
      <c r="K102" s="134">
        <v>8516.1685596021416</v>
      </c>
      <c r="L102" s="132">
        <v>8749.7604735899422</v>
      </c>
      <c r="M102" s="133">
        <v>9209.3212490290753</v>
      </c>
      <c r="N102" s="133">
        <v>10083.853748713365</v>
      </c>
      <c r="O102" s="134">
        <v>9227.15733045462</v>
      </c>
      <c r="P102" s="132">
        <v>9573.4266809187102</v>
      </c>
      <c r="Q102" s="133">
        <v>7947.894798542161</v>
      </c>
      <c r="R102" s="133">
        <v>8053.46905480234</v>
      </c>
      <c r="S102" s="134">
        <v>11336.299680915225</v>
      </c>
      <c r="T102" s="132">
        <v>7615.1816731488025</v>
      </c>
      <c r="U102" s="133">
        <v>8666.0142565442256</v>
      </c>
      <c r="V102" s="133">
        <v>10441.441092885278</v>
      </c>
      <c r="W102" s="134">
        <v>9274.4727132796615</v>
      </c>
      <c r="X102" s="132">
        <v>8173.3769735708147</v>
      </c>
      <c r="Y102" s="133">
        <v>7422.5831840592828</v>
      </c>
      <c r="Z102" s="133">
        <v>9812.6498615134824</v>
      </c>
      <c r="AA102" s="134">
        <v>10606.326587152183</v>
      </c>
      <c r="AB102" s="132">
        <v>9525.7983565513641</v>
      </c>
      <c r="AC102" s="133">
        <v>10737.779389946008</v>
      </c>
      <c r="AD102" s="133">
        <v>11341.281810914184</v>
      </c>
      <c r="AE102" s="134">
        <v>9949.0762150139835</v>
      </c>
      <c r="AF102" s="132">
        <v>8634.6443180514143</v>
      </c>
      <c r="AG102" s="133">
        <v>8284.7405050779907</v>
      </c>
      <c r="AH102" s="133">
        <v>7600.1354402050447</v>
      </c>
      <c r="AI102" s="134">
        <v>10767.07646162126</v>
      </c>
      <c r="AJ102" s="132">
        <v>7886.0425922861186</v>
      </c>
      <c r="AK102" s="133">
        <v>9993.8545737636214</v>
      </c>
      <c r="AL102" s="133">
        <v>10425.10090378377</v>
      </c>
      <c r="AM102" s="134">
        <v>10779.531958037618</v>
      </c>
      <c r="AN102" s="132">
        <v>10600.557184986827</v>
      </c>
      <c r="AO102" s="133">
        <v>9475.0212710410287</v>
      </c>
      <c r="AP102" s="133">
        <v>10595.22772569707</v>
      </c>
      <c r="AQ102" s="134">
        <v>11689.591714194641</v>
      </c>
      <c r="AR102" s="132">
        <v>10168.996005743878</v>
      </c>
      <c r="AS102" s="133">
        <v>11581.75137234921</v>
      </c>
      <c r="AT102" s="133">
        <v>11693.926491638811</v>
      </c>
      <c r="AU102" s="134">
        <v>13383.240317776465</v>
      </c>
      <c r="AV102" s="132">
        <v>12741.160015092008</v>
      </c>
      <c r="AW102" s="133">
        <v>10187.322267980275</v>
      </c>
      <c r="AX102" s="133">
        <v>9710.607053157044</v>
      </c>
      <c r="AY102" s="134">
        <v>12054.472328774154</v>
      </c>
      <c r="AZ102" s="132">
        <v>14453.420577682669</v>
      </c>
      <c r="BA102" s="133">
        <v>9656.03781055121</v>
      </c>
      <c r="BB102" s="133">
        <v>10077.473952930144</v>
      </c>
      <c r="BC102" s="134">
        <v>11092.720634075144</v>
      </c>
      <c r="BD102" s="132">
        <v>14645.12977161764</v>
      </c>
      <c r="BE102" s="133">
        <v>16320.026979400345</v>
      </c>
      <c r="BF102" s="133">
        <v>19657.656444102107</v>
      </c>
      <c r="BG102" s="134">
        <v>15667.430397152</v>
      </c>
      <c r="BH102" s="132">
        <v>14384.914629575645</v>
      </c>
      <c r="BI102" s="133">
        <v>14879.517673199554</v>
      </c>
      <c r="BJ102" s="133">
        <v>21084.707937124007</v>
      </c>
      <c r="BK102" s="134">
        <v>20949.672667757775</v>
      </c>
      <c r="BL102" s="132">
        <v>18590.290560084144</v>
      </c>
      <c r="BM102" s="133">
        <v>15878.388278388278</v>
      </c>
      <c r="BN102" s="133">
        <v>16305.202957176733</v>
      </c>
      <c r="BO102" s="134">
        <v>18809.63278893166</v>
      </c>
      <c r="BP102" s="132">
        <v>16849.010451412054</v>
      </c>
      <c r="BQ102" s="133">
        <v>13908.441022821005</v>
      </c>
      <c r="BR102" s="133">
        <v>15682.33599580987</v>
      </c>
      <c r="BS102" s="134">
        <v>15669.685370180187</v>
      </c>
      <c r="BT102" s="133">
        <v>14770.074201669537</v>
      </c>
      <c r="BU102" s="133"/>
      <c r="BV102" s="57"/>
      <c r="BW102" s="58"/>
      <c r="BX102" s="59"/>
      <c r="BY102" s="59"/>
      <c r="BZ102" s="59"/>
      <c r="CA102" s="59"/>
      <c r="CB102" s="59"/>
      <c r="CC102" s="59"/>
      <c r="CD102" s="59"/>
      <c r="CE102" s="59"/>
      <c r="CF102" s="59"/>
      <c r="CG102" s="59"/>
      <c r="CH102" s="59"/>
      <c r="CI102" s="59"/>
      <c r="CJ102" s="59"/>
      <c r="CK102" s="59"/>
      <c r="CL102" s="59"/>
    </row>
    <row r="103" spans="1:90" x14ac:dyDescent="0.25">
      <c r="A103" s="9"/>
      <c r="B103" s="9"/>
      <c r="C103" s="3" t="s">
        <v>8</v>
      </c>
      <c r="D103" s="3"/>
      <c r="E103" s="3"/>
      <c r="F103" s="20"/>
      <c r="G103" s="20"/>
      <c r="H103" s="132">
        <v>6236.8939993379463</v>
      </c>
      <c r="I103" s="133">
        <v>7103.4619214443419</v>
      </c>
      <c r="J103" s="133">
        <v>7868.2048475710517</v>
      </c>
      <c r="K103" s="134">
        <v>8223.7732612343843</v>
      </c>
      <c r="L103" s="132">
        <v>8911.1378658337817</v>
      </c>
      <c r="M103" s="133">
        <v>8704.9561607755822</v>
      </c>
      <c r="N103" s="133">
        <v>9120.4065152339681</v>
      </c>
      <c r="O103" s="134">
        <v>8411.7923093730278</v>
      </c>
      <c r="P103" s="132">
        <v>8654.8021184228455</v>
      </c>
      <c r="Q103" s="133">
        <v>7310.1090117743042</v>
      </c>
      <c r="R103" s="133">
        <v>7972.6248993831887</v>
      </c>
      <c r="S103" s="134">
        <v>7326.1890463652653</v>
      </c>
      <c r="T103" s="132">
        <v>5654.600822343099</v>
      </c>
      <c r="U103" s="133">
        <v>7669.4987295625288</v>
      </c>
      <c r="V103" s="133">
        <v>9578.532711028196</v>
      </c>
      <c r="W103" s="134">
        <v>8712.5943223760132</v>
      </c>
      <c r="X103" s="132">
        <v>6896.1711985916791</v>
      </c>
      <c r="Y103" s="133">
        <v>10280.240002779905</v>
      </c>
      <c r="Z103" s="133">
        <v>13515.613393676513</v>
      </c>
      <c r="AA103" s="134">
        <v>10662.944299936078</v>
      </c>
      <c r="AB103" s="132">
        <v>7698.1870262391694</v>
      </c>
      <c r="AC103" s="133">
        <v>10098.411343957838</v>
      </c>
      <c r="AD103" s="133">
        <v>15389.773305375811</v>
      </c>
      <c r="AE103" s="134">
        <v>7457.7161090524496</v>
      </c>
      <c r="AF103" s="132">
        <v>7235.6260084342566</v>
      </c>
      <c r="AG103" s="133">
        <v>5544.9559281900365</v>
      </c>
      <c r="AH103" s="133">
        <v>10101.611736905787</v>
      </c>
      <c r="AI103" s="134">
        <v>5758.2722725295198</v>
      </c>
      <c r="AJ103" s="132">
        <v>5029.1304669204492</v>
      </c>
      <c r="AK103" s="133">
        <v>8050.2099535863608</v>
      </c>
      <c r="AL103" s="133">
        <v>9513.8440902394668</v>
      </c>
      <c r="AM103" s="134">
        <v>6661.2016222697202</v>
      </c>
      <c r="AN103" s="132">
        <v>7941.0700368364687</v>
      </c>
      <c r="AO103" s="133">
        <v>6912.5795347849444</v>
      </c>
      <c r="AP103" s="133">
        <v>9323.9689581002986</v>
      </c>
      <c r="AQ103" s="134">
        <v>6595.1486369263348</v>
      </c>
      <c r="AR103" s="132">
        <v>7194.2168765622073</v>
      </c>
      <c r="AS103" s="133">
        <v>7956.2915137106693</v>
      </c>
      <c r="AT103" s="133">
        <v>10594.530831724105</v>
      </c>
      <c r="AU103" s="134">
        <v>7037.7075688649993</v>
      </c>
      <c r="AV103" s="132">
        <v>6471.8660593211953</v>
      </c>
      <c r="AW103" s="133">
        <v>5835.068127811408</v>
      </c>
      <c r="AX103" s="133">
        <v>7447.2309854160303</v>
      </c>
      <c r="AY103" s="134">
        <v>7552.3810339554248</v>
      </c>
      <c r="AZ103" s="132">
        <v>8932.784006060132</v>
      </c>
      <c r="BA103" s="133">
        <v>5116.8847915740644</v>
      </c>
      <c r="BB103" s="133">
        <v>8610.7816934701295</v>
      </c>
      <c r="BC103" s="134">
        <v>6522.1524777135874</v>
      </c>
      <c r="BD103" s="132">
        <v>8199.0143253462011</v>
      </c>
      <c r="BE103" s="133">
        <v>11428.197464501362</v>
      </c>
      <c r="BF103" s="133">
        <v>16343.920404436883</v>
      </c>
      <c r="BG103" s="134">
        <v>12478.850808021138</v>
      </c>
      <c r="BH103" s="132">
        <v>11639.541996525057</v>
      </c>
      <c r="BI103" s="133">
        <v>14251.906307037112</v>
      </c>
      <c r="BJ103" s="133">
        <v>18676.08843390274</v>
      </c>
      <c r="BK103" s="134">
        <v>0</v>
      </c>
      <c r="BL103" s="132">
        <v>0</v>
      </c>
      <c r="BM103" s="133">
        <v>0</v>
      </c>
      <c r="BN103" s="133">
        <v>0</v>
      </c>
      <c r="BO103" s="134">
        <v>0</v>
      </c>
      <c r="BP103" s="132">
        <v>0</v>
      </c>
      <c r="BQ103" s="133">
        <v>0</v>
      </c>
      <c r="BR103" s="133">
        <v>0</v>
      </c>
      <c r="BS103" s="134">
        <v>0</v>
      </c>
      <c r="BT103" s="133">
        <v>0</v>
      </c>
      <c r="BU103" s="133"/>
      <c r="BV103" s="57"/>
      <c r="BW103" s="58"/>
      <c r="BX103" s="59"/>
      <c r="BY103" s="59"/>
      <c r="BZ103" s="59"/>
      <c r="CA103" s="59"/>
      <c r="CB103" s="59"/>
      <c r="CC103" s="59"/>
      <c r="CD103" s="59"/>
      <c r="CE103" s="59"/>
      <c r="CF103" s="59"/>
      <c r="CG103" s="59"/>
      <c r="CH103" s="59"/>
      <c r="CI103" s="59"/>
      <c r="CJ103" s="59"/>
      <c r="CK103" s="59"/>
      <c r="CL103" s="59"/>
    </row>
    <row r="104" spans="1:90" x14ac:dyDescent="0.25">
      <c r="A104" s="9"/>
      <c r="B104" s="9"/>
      <c r="C104" s="3" t="s">
        <v>9</v>
      </c>
      <c r="D104" s="3"/>
      <c r="E104" s="3"/>
      <c r="F104" s="20"/>
      <c r="G104" s="20"/>
      <c r="H104" s="132">
        <v>7053.8978162124331</v>
      </c>
      <c r="I104" s="133">
        <v>8048.6473393433544</v>
      </c>
      <c r="J104" s="133">
        <v>8423.2267410027616</v>
      </c>
      <c r="K104" s="134">
        <v>8503.4182443213249</v>
      </c>
      <c r="L104" s="132">
        <v>9035.0773829837362</v>
      </c>
      <c r="M104" s="133">
        <v>9414.0503270586978</v>
      </c>
      <c r="N104" s="133">
        <v>9964.8653221856803</v>
      </c>
      <c r="O104" s="134">
        <v>8959.3614776308204</v>
      </c>
      <c r="P104" s="132">
        <v>7575.2008150357933</v>
      </c>
      <c r="Q104" s="133">
        <v>8063.944267449594</v>
      </c>
      <c r="R104" s="133">
        <v>8510.2508074249872</v>
      </c>
      <c r="S104" s="134">
        <v>8504.4429859656157</v>
      </c>
      <c r="T104" s="132">
        <v>6700.8931474203073</v>
      </c>
      <c r="U104" s="133">
        <v>8659.9121229520133</v>
      </c>
      <c r="V104" s="133">
        <v>10340.517126190358</v>
      </c>
      <c r="W104" s="134">
        <v>8627.9097194633341</v>
      </c>
      <c r="X104" s="132">
        <v>6702.6950156310622</v>
      </c>
      <c r="Y104" s="133">
        <v>7569.515381018291</v>
      </c>
      <c r="Z104" s="133">
        <v>9238.9829215094815</v>
      </c>
      <c r="AA104" s="134">
        <v>9608.8919829605074</v>
      </c>
      <c r="AB104" s="132">
        <v>9784.5778263577577</v>
      </c>
      <c r="AC104" s="133">
        <v>11503.519782724765</v>
      </c>
      <c r="AD104" s="133">
        <v>11779.531516320278</v>
      </c>
      <c r="AE104" s="134">
        <v>8795.0236376504308</v>
      </c>
      <c r="AF104" s="132">
        <v>8834.6959919849251</v>
      </c>
      <c r="AG104" s="133">
        <v>7996.3842064754317</v>
      </c>
      <c r="AH104" s="133">
        <v>7906.7209222069359</v>
      </c>
      <c r="AI104" s="134">
        <v>7330.4929235184736</v>
      </c>
      <c r="AJ104" s="132">
        <v>6065.8695806162996</v>
      </c>
      <c r="AK104" s="133">
        <v>8454.6652663383593</v>
      </c>
      <c r="AL104" s="133">
        <v>8971.3331610838213</v>
      </c>
      <c r="AM104" s="134">
        <v>8054.367883766382</v>
      </c>
      <c r="AN104" s="132">
        <v>9089.6249561624936</v>
      </c>
      <c r="AO104" s="133">
        <v>8311.7902117038684</v>
      </c>
      <c r="AP104" s="133">
        <v>9914.0939571467388</v>
      </c>
      <c r="AQ104" s="134">
        <v>8639.6493766058884</v>
      </c>
      <c r="AR104" s="132">
        <v>9680.1063542841675</v>
      </c>
      <c r="AS104" s="133">
        <v>9538.0145184428675</v>
      </c>
      <c r="AT104" s="133">
        <v>11276.260515456648</v>
      </c>
      <c r="AU104" s="134">
        <v>10786.460179613563</v>
      </c>
      <c r="AV104" s="132">
        <v>10697.155780079565</v>
      </c>
      <c r="AW104" s="133">
        <v>9780.6423759907757</v>
      </c>
      <c r="AX104" s="133">
        <v>9352.0032142275813</v>
      </c>
      <c r="AY104" s="134">
        <v>10222.799605735885</v>
      </c>
      <c r="AZ104" s="132">
        <v>12408.059423222532</v>
      </c>
      <c r="BA104" s="133">
        <v>9213.6127244946729</v>
      </c>
      <c r="BB104" s="133">
        <v>9863.5232520552254</v>
      </c>
      <c r="BC104" s="134">
        <v>10020.646342268741</v>
      </c>
      <c r="BD104" s="132">
        <v>12062.735588201074</v>
      </c>
      <c r="BE104" s="133">
        <v>14852.960265294205</v>
      </c>
      <c r="BF104" s="133">
        <v>16967.629396891934</v>
      </c>
      <c r="BG104" s="134">
        <v>13811.10684418589</v>
      </c>
      <c r="BH104" s="132">
        <v>14224.422854256378</v>
      </c>
      <c r="BI104" s="133">
        <v>14706.677361484853</v>
      </c>
      <c r="BJ104" s="133">
        <v>19079.755330557404</v>
      </c>
      <c r="BK104" s="134">
        <v>16298.827059465357</v>
      </c>
      <c r="BL104" s="132">
        <v>13929.496450170918</v>
      </c>
      <c r="BM104" s="133">
        <v>13958.974358974359</v>
      </c>
      <c r="BN104" s="133">
        <v>14861.486957734691</v>
      </c>
      <c r="BO104" s="134">
        <v>14544.575054613548</v>
      </c>
      <c r="BP104" s="132">
        <v>13366.132977540585</v>
      </c>
      <c r="BQ104" s="133">
        <v>13097.332966730821</v>
      </c>
      <c r="BR104" s="133">
        <v>15616.865261228229</v>
      </c>
      <c r="BS104" s="134">
        <v>14031.182896088134</v>
      </c>
      <c r="BT104" s="133">
        <v>10980.488936001058</v>
      </c>
      <c r="BU104" s="133"/>
      <c r="BV104" s="57"/>
      <c r="BW104" s="58"/>
      <c r="BX104" s="59"/>
      <c r="BY104" s="59"/>
      <c r="BZ104" s="59"/>
      <c r="CA104" s="59"/>
      <c r="CB104" s="59"/>
      <c r="CC104" s="59"/>
      <c r="CD104" s="59"/>
      <c r="CE104" s="59"/>
      <c r="CF104" s="59"/>
      <c r="CG104" s="59"/>
      <c r="CH104" s="59"/>
      <c r="CI104" s="59"/>
      <c r="CJ104" s="59"/>
      <c r="CK104" s="59"/>
      <c r="CL104" s="59"/>
    </row>
    <row r="105" spans="1:90" x14ac:dyDescent="0.25">
      <c r="A105" s="9"/>
      <c r="B105" s="9"/>
      <c r="C105" s="3" t="s">
        <v>10</v>
      </c>
      <c r="D105" s="3"/>
      <c r="E105" s="3"/>
      <c r="F105" s="20"/>
      <c r="G105" s="20"/>
      <c r="H105" s="132">
        <v>7238.6551413852567</v>
      </c>
      <c r="I105" s="133">
        <v>8389.1547062257559</v>
      </c>
      <c r="J105" s="133">
        <v>8949.9994744209434</v>
      </c>
      <c r="K105" s="134">
        <v>8643.3349930351451</v>
      </c>
      <c r="L105" s="132">
        <v>9289.8707118588936</v>
      </c>
      <c r="M105" s="133">
        <v>9547.3927556143153</v>
      </c>
      <c r="N105" s="133">
        <v>10337.770717438358</v>
      </c>
      <c r="O105" s="134">
        <v>9044.1347035461131</v>
      </c>
      <c r="P105" s="132">
        <v>7775.5756729295799</v>
      </c>
      <c r="Q105" s="133">
        <v>8155.3271267703949</v>
      </c>
      <c r="R105" s="133">
        <v>9142.5198876774739</v>
      </c>
      <c r="S105" s="134">
        <v>8485.1534052385905</v>
      </c>
      <c r="T105" s="132">
        <v>6769.6731729913081</v>
      </c>
      <c r="U105" s="133">
        <v>8747.6009054109654</v>
      </c>
      <c r="V105" s="133">
        <v>10452.082963553872</v>
      </c>
      <c r="W105" s="134">
        <v>8678.0065453210918</v>
      </c>
      <c r="X105" s="132">
        <v>6745.0425094903603</v>
      </c>
      <c r="Y105" s="133">
        <v>7696.2877164170304</v>
      </c>
      <c r="Z105" s="133">
        <v>9549.4855349821482</v>
      </c>
      <c r="AA105" s="134">
        <v>9777.6142339923263</v>
      </c>
      <c r="AB105" s="132">
        <v>9939.8253541999093</v>
      </c>
      <c r="AC105" s="133">
        <v>11876.273691645629</v>
      </c>
      <c r="AD105" s="133">
        <v>12293.828872497115</v>
      </c>
      <c r="AE105" s="134">
        <v>8897.7542315349001</v>
      </c>
      <c r="AF105" s="132">
        <v>8903.412388753577</v>
      </c>
      <c r="AG105" s="133">
        <v>8407.9724980743977</v>
      </c>
      <c r="AH105" s="133">
        <v>8467.7097007150696</v>
      </c>
      <c r="AI105" s="134">
        <v>7538.4581439682743</v>
      </c>
      <c r="AJ105" s="132">
        <v>6327.0310442488699</v>
      </c>
      <c r="AK105" s="133">
        <v>8739.7749055231179</v>
      </c>
      <c r="AL105" s="133">
        <v>9495.6193199052868</v>
      </c>
      <c r="AM105" s="134">
        <v>8174.3240930064594</v>
      </c>
      <c r="AN105" s="132">
        <v>9232.0387011430139</v>
      </c>
      <c r="AO105" s="133">
        <v>8945.7600249118896</v>
      </c>
      <c r="AP105" s="133">
        <v>10516.420115235747</v>
      </c>
      <c r="AQ105" s="134">
        <v>8777.6649394412343</v>
      </c>
      <c r="AR105" s="132">
        <v>9940.2247686194532</v>
      </c>
      <c r="AS105" s="133">
        <v>9743.621049056037</v>
      </c>
      <c r="AT105" s="133">
        <v>11746.792150817095</v>
      </c>
      <c r="AU105" s="134">
        <v>10960.948121115684</v>
      </c>
      <c r="AV105" s="132">
        <v>11023.733930858005</v>
      </c>
      <c r="AW105" s="133">
        <v>9958.1065173376592</v>
      </c>
      <c r="AX105" s="133">
        <v>9711.4054659511094</v>
      </c>
      <c r="AY105" s="134">
        <v>10440.909840560813</v>
      </c>
      <c r="AZ105" s="132">
        <v>12581.681409534385</v>
      </c>
      <c r="BA105" s="133">
        <v>9364.8189149473765</v>
      </c>
      <c r="BB105" s="133">
        <v>10109.09779656635</v>
      </c>
      <c r="BC105" s="134">
        <v>10167.081960493719</v>
      </c>
      <c r="BD105" s="132">
        <v>12156.884971770176</v>
      </c>
      <c r="BE105" s="133">
        <v>15064.288058267986</v>
      </c>
      <c r="BF105" s="133">
        <v>17308.543585065636</v>
      </c>
      <c r="BG105" s="134">
        <v>14009.5286948582</v>
      </c>
      <c r="BH105" s="132">
        <v>14638.412219274194</v>
      </c>
      <c r="BI105" s="133">
        <v>15042.843671657582</v>
      </c>
      <c r="BJ105" s="133">
        <v>19655.473948780229</v>
      </c>
      <c r="BK105" s="134">
        <v>16858.019639934533</v>
      </c>
      <c r="BL105" s="132">
        <v>14718.347357349459</v>
      </c>
      <c r="BM105" s="133">
        <v>14720.879120879123</v>
      </c>
      <c r="BN105" s="133">
        <v>16193.61138234063</v>
      </c>
      <c r="BO105" s="134">
        <v>15376.781441797568</v>
      </c>
      <c r="BP105" s="132">
        <v>13724.705359128309</v>
      </c>
      <c r="BQ105" s="133">
        <v>14197.14050041243</v>
      </c>
      <c r="BR105" s="133">
        <v>16959.015320151892</v>
      </c>
      <c r="BS105" s="134">
        <v>14572.682289235367</v>
      </c>
      <c r="BT105" s="133">
        <v>12567.212137273089</v>
      </c>
      <c r="BU105" s="133"/>
      <c r="BV105" s="57"/>
      <c r="BW105" s="58"/>
      <c r="BX105" s="59"/>
      <c r="BY105" s="59"/>
      <c r="BZ105" s="59"/>
      <c r="CA105" s="59"/>
      <c r="CB105" s="59"/>
      <c r="CC105" s="59"/>
      <c r="CD105" s="59"/>
      <c r="CE105" s="59"/>
      <c r="CF105" s="59"/>
      <c r="CG105" s="59"/>
      <c r="CH105" s="59"/>
      <c r="CI105" s="59"/>
      <c r="CJ105" s="59"/>
      <c r="CK105" s="59"/>
      <c r="CL105" s="59"/>
    </row>
    <row r="106" spans="1:90" x14ac:dyDescent="0.25">
      <c r="A106" s="9"/>
      <c r="B106" s="9"/>
      <c r="C106" s="3" t="s">
        <v>11</v>
      </c>
      <c r="D106" s="3"/>
      <c r="E106" s="3"/>
      <c r="F106" s="20"/>
      <c r="G106" s="20"/>
      <c r="H106" s="132">
        <v>7005.8508311311616</v>
      </c>
      <c r="I106" s="133">
        <v>7326.4032126876182</v>
      </c>
      <c r="J106" s="133">
        <v>7760.7069313246266</v>
      </c>
      <c r="K106" s="134">
        <v>8849.8139101249308</v>
      </c>
      <c r="L106" s="132">
        <v>10416.037645521332</v>
      </c>
      <c r="M106" s="133">
        <v>9765.175979351261</v>
      </c>
      <c r="N106" s="133">
        <v>8639.0683527132223</v>
      </c>
      <c r="O106" s="134">
        <v>8504.3760762947932</v>
      </c>
      <c r="P106" s="132">
        <v>7998.304651122633</v>
      </c>
      <c r="Q106" s="133">
        <v>7549.0468291666311</v>
      </c>
      <c r="R106" s="133">
        <v>8060.5994071193763</v>
      </c>
      <c r="S106" s="134">
        <v>8270.7019248841953</v>
      </c>
      <c r="T106" s="132">
        <v>5820.4125507262124</v>
      </c>
      <c r="U106" s="133">
        <v>8743.386268228016</v>
      </c>
      <c r="V106" s="133">
        <v>11124.338707532439</v>
      </c>
      <c r="W106" s="134">
        <v>10667.385364928852</v>
      </c>
      <c r="X106" s="132">
        <v>7536.3988216360931</v>
      </c>
      <c r="Y106" s="133">
        <v>15956.38895344519</v>
      </c>
      <c r="Z106" s="133">
        <v>16907.967542808692</v>
      </c>
      <c r="AA106" s="134">
        <v>18161.1227350687</v>
      </c>
      <c r="AB106" s="132">
        <v>14247.672682781118</v>
      </c>
      <c r="AC106" s="133">
        <v>13296.401944632222</v>
      </c>
      <c r="AD106" s="133">
        <v>17369.916679321377</v>
      </c>
      <c r="AE106" s="134">
        <v>11258.84897653394</v>
      </c>
      <c r="AF106" s="132">
        <v>9018.9721095897094</v>
      </c>
      <c r="AG106" s="133">
        <v>8968.7112267980538</v>
      </c>
      <c r="AH106" s="133">
        <v>12744.293616211604</v>
      </c>
      <c r="AI106" s="134">
        <v>8659.5455297219487</v>
      </c>
      <c r="AJ106" s="132">
        <v>6901.1020021435952</v>
      </c>
      <c r="AK106" s="133">
        <v>10885.562228585126</v>
      </c>
      <c r="AL106" s="133">
        <v>9726.6518837450512</v>
      </c>
      <c r="AM106" s="134">
        <v>8349.3582842981905</v>
      </c>
      <c r="AN106" s="132">
        <v>8529.9335757400677</v>
      </c>
      <c r="AO106" s="133">
        <v>9114.6453535770488</v>
      </c>
      <c r="AP106" s="133">
        <v>10561.97352538843</v>
      </c>
      <c r="AQ106" s="134">
        <v>9853.969729905757</v>
      </c>
      <c r="AR106" s="132">
        <v>10342.026889448243</v>
      </c>
      <c r="AS106" s="133">
        <v>9976.9280545511247</v>
      </c>
      <c r="AT106" s="133">
        <v>10996.06028820862</v>
      </c>
      <c r="AU106" s="134">
        <v>11126.206050228369</v>
      </c>
      <c r="AV106" s="132">
        <v>8540.9491380790569</v>
      </c>
      <c r="AW106" s="133">
        <v>9800.8296695710324</v>
      </c>
      <c r="AX106" s="133">
        <v>8234.9454891148453</v>
      </c>
      <c r="AY106" s="134">
        <v>10901.345005008925</v>
      </c>
      <c r="AZ106" s="132">
        <v>8070.1405950624958</v>
      </c>
      <c r="BA106" s="133">
        <v>8840.039716970532</v>
      </c>
      <c r="BB106" s="133">
        <v>9510.0849178953758</v>
      </c>
      <c r="BC106" s="134">
        <v>10209.427037737751</v>
      </c>
      <c r="BD106" s="132">
        <v>9630.9666958843554</v>
      </c>
      <c r="BE106" s="133">
        <v>15281.268731599057</v>
      </c>
      <c r="BF106" s="133">
        <v>16000.248425602742</v>
      </c>
      <c r="BG106" s="134">
        <v>17100.481272028268</v>
      </c>
      <c r="BH106" s="132">
        <v>11778.828830759854</v>
      </c>
      <c r="BI106" s="133">
        <v>15012.050433919117</v>
      </c>
      <c r="BJ106" s="133">
        <v>17640.508386974157</v>
      </c>
      <c r="BK106" s="134">
        <v>15303.766532489935</v>
      </c>
      <c r="BL106" s="132">
        <v>11104.770345252775</v>
      </c>
      <c r="BM106" s="133">
        <v>13510.60820367751</v>
      </c>
      <c r="BN106" s="133">
        <v>14813.420158550394</v>
      </c>
      <c r="BO106" s="134">
        <v>13341.248522617389</v>
      </c>
      <c r="BP106" s="132">
        <v>10519.733004989956</v>
      </c>
      <c r="BQ106" s="133">
        <v>13396.487346148526</v>
      </c>
      <c r="BR106" s="133">
        <v>14991.388589881592</v>
      </c>
      <c r="BS106" s="134">
        <v>13146.138857553071</v>
      </c>
      <c r="BT106" s="133">
        <v>9696.4355202739516</v>
      </c>
      <c r="BU106" s="133"/>
      <c r="BV106" s="57"/>
      <c r="BW106" s="58"/>
      <c r="BX106" s="59"/>
      <c r="BY106" s="59"/>
      <c r="BZ106" s="59"/>
      <c r="CA106" s="59"/>
      <c r="CB106" s="59"/>
      <c r="CC106" s="59"/>
      <c r="CD106" s="59"/>
      <c r="CE106" s="59"/>
      <c r="CF106" s="59"/>
      <c r="CG106" s="59"/>
      <c r="CH106" s="59"/>
      <c r="CI106" s="59"/>
      <c r="CJ106" s="59"/>
      <c r="CK106" s="59"/>
      <c r="CL106" s="59"/>
    </row>
    <row r="107" spans="1:90" x14ac:dyDescent="0.25">
      <c r="A107" s="9"/>
      <c r="B107" s="9"/>
      <c r="C107" s="3" t="s">
        <v>12</v>
      </c>
      <c r="D107" s="3"/>
      <c r="E107" s="3"/>
      <c r="F107" s="20"/>
      <c r="G107" s="20"/>
      <c r="H107" s="132">
        <v>8101.893234388539</v>
      </c>
      <c r="I107" s="133">
        <v>7760.4013575548643</v>
      </c>
      <c r="J107" s="133">
        <v>8497.2012983606764</v>
      </c>
      <c r="K107" s="134">
        <v>8861.3209024799544</v>
      </c>
      <c r="L107" s="132">
        <v>10644.756829551918</v>
      </c>
      <c r="M107" s="133">
        <v>9568.5727991418898</v>
      </c>
      <c r="N107" s="133">
        <v>9527.3304917645273</v>
      </c>
      <c r="O107" s="134">
        <v>9038.9551322424086</v>
      </c>
      <c r="P107" s="132">
        <v>8157.5489292701168</v>
      </c>
      <c r="Q107" s="133">
        <v>7919.3613093903114</v>
      </c>
      <c r="R107" s="133">
        <v>8561.8276936394159</v>
      </c>
      <c r="S107" s="134">
        <v>8428.1805572905705</v>
      </c>
      <c r="T107" s="132">
        <v>7129.3812755582239</v>
      </c>
      <c r="U107" s="133">
        <v>8857.5151900132569</v>
      </c>
      <c r="V107" s="133">
        <v>10468.352732339965</v>
      </c>
      <c r="W107" s="134">
        <v>13419.723235767196</v>
      </c>
      <c r="X107" s="132">
        <v>9183.1091629492767</v>
      </c>
      <c r="Y107" s="133">
        <v>15521.173668554262</v>
      </c>
      <c r="Z107" s="133">
        <v>14979.306734620068</v>
      </c>
      <c r="AA107" s="134">
        <v>18587.820286443006</v>
      </c>
      <c r="AB107" s="132">
        <v>15389.832994682962</v>
      </c>
      <c r="AC107" s="133">
        <v>12194.355385182096</v>
      </c>
      <c r="AD107" s="133">
        <v>16677.884121064759</v>
      </c>
      <c r="AE107" s="134">
        <v>9166.8522084436154</v>
      </c>
      <c r="AF107" s="132">
        <v>9748.3965313933531</v>
      </c>
      <c r="AG107" s="133">
        <v>8716.8372158626462</v>
      </c>
      <c r="AH107" s="133">
        <v>11340.206904813447</v>
      </c>
      <c r="AI107" s="134">
        <v>9703.5994890670463</v>
      </c>
      <c r="AJ107" s="132">
        <v>7509.8053630166232</v>
      </c>
      <c r="AK107" s="133">
        <v>10014.414922544262</v>
      </c>
      <c r="AL107" s="133">
        <v>9747.507015968562</v>
      </c>
      <c r="AM107" s="134">
        <v>9233.8587312884174</v>
      </c>
      <c r="AN107" s="132">
        <v>8639.9576659341237</v>
      </c>
      <c r="AO107" s="133">
        <v>8598.4251357407902</v>
      </c>
      <c r="AP107" s="133">
        <v>9957.8596410926148</v>
      </c>
      <c r="AQ107" s="134">
        <v>8448.7516164925983</v>
      </c>
      <c r="AR107" s="132">
        <v>9959.0013061495119</v>
      </c>
      <c r="AS107" s="133">
        <v>9360.1478738707665</v>
      </c>
      <c r="AT107" s="133">
        <v>10359.398928855111</v>
      </c>
      <c r="AU107" s="134">
        <v>10678.779868082553</v>
      </c>
      <c r="AV107" s="132">
        <v>10019.564573106949</v>
      </c>
      <c r="AW107" s="133">
        <v>9023.2425931443449</v>
      </c>
      <c r="AX107" s="133">
        <v>8029.6320212730925</v>
      </c>
      <c r="AY107" s="134">
        <v>9848.9697407479962</v>
      </c>
      <c r="AZ107" s="132">
        <v>8459.2468892922443</v>
      </c>
      <c r="BA107" s="133">
        <v>8009.0755330355887</v>
      </c>
      <c r="BB107" s="133">
        <v>9123.3214247266114</v>
      </c>
      <c r="BC107" s="134">
        <v>9747.8157366437026</v>
      </c>
      <c r="BD107" s="132">
        <v>8844.8364619403437</v>
      </c>
      <c r="BE107" s="133">
        <v>11468.085006317913</v>
      </c>
      <c r="BF107" s="133">
        <v>13949.537307314893</v>
      </c>
      <c r="BG107" s="134">
        <v>13300.585255219681</v>
      </c>
      <c r="BH107" s="132">
        <v>10460.634269114589</v>
      </c>
      <c r="BI107" s="133">
        <v>12964.521430219791</v>
      </c>
      <c r="BJ107" s="133">
        <v>18323.098046865485</v>
      </c>
      <c r="BK107" s="134">
        <v>15497.843588269119</v>
      </c>
      <c r="BL107" s="132">
        <v>11617.254932182488</v>
      </c>
      <c r="BM107" s="133">
        <v>13305.516265912305</v>
      </c>
      <c r="BN107" s="133">
        <v>14940.826727066817</v>
      </c>
      <c r="BO107" s="134">
        <v>13174.707209627168</v>
      </c>
      <c r="BP107" s="132">
        <v>10853.47676754585</v>
      </c>
      <c r="BQ107" s="133">
        <v>13154.47379338957</v>
      </c>
      <c r="BR107" s="133">
        <v>15186.490850376747</v>
      </c>
      <c r="BS107" s="134">
        <v>13166.649574402625</v>
      </c>
      <c r="BT107" s="133">
        <v>10077.788154720212</v>
      </c>
      <c r="BU107" s="133"/>
      <c r="BV107" s="57"/>
      <c r="BW107" s="58"/>
      <c r="BX107" s="59"/>
      <c r="BY107" s="59"/>
      <c r="BZ107" s="59"/>
      <c r="CA107" s="59"/>
      <c r="CB107" s="59"/>
      <c r="CC107" s="59"/>
      <c r="CD107" s="59"/>
      <c r="CE107" s="59"/>
      <c r="CF107" s="59"/>
      <c r="CG107" s="59"/>
      <c r="CH107" s="59"/>
      <c r="CI107" s="59"/>
      <c r="CJ107" s="59"/>
      <c r="CK107" s="59"/>
      <c r="CL107" s="59"/>
    </row>
    <row r="108" spans="1:90" x14ac:dyDescent="0.25">
      <c r="A108" s="9"/>
      <c r="B108" s="9"/>
      <c r="C108" s="3" t="s">
        <v>13</v>
      </c>
      <c r="D108" s="3"/>
      <c r="E108" s="3"/>
      <c r="F108" s="20"/>
      <c r="G108" s="20"/>
      <c r="H108" s="132">
        <v>5618.9876902395854</v>
      </c>
      <c r="I108" s="133">
        <v>6657.3026699281972</v>
      </c>
      <c r="J108" s="133">
        <v>7302.4538296212895</v>
      </c>
      <c r="K108" s="134">
        <v>8475.4940642675137</v>
      </c>
      <c r="L108" s="132">
        <v>9371.9593656254765</v>
      </c>
      <c r="M108" s="133">
        <v>8886.1490583715949</v>
      </c>
      <c r="N108" s="133">
        <v>8394.0489560781043</v>
      </c>
      <c r="O108" s="134">
        <v>8077.4889898756455</v>
      </c>
      <c r="P108" s="132">
        <v>7300.2629752149833</v>
      </c>
      <c r="Q108" s="133">
        <v>6970.2210570511797</v>
      </c>
      <c r="R108" s="133">
        <v>7387.6509996416162</v>
      </c>
      <c r="S108" s="134">
        <v>7172.687274307953</v>
      </c>
      <c r="T108" s="132">
        <v>4266.6475951589191</v>
      </c>
      <c r="U108" s="133">
        <v>8320.4757235969955</v>
      </c>
      <c r="V108" s="133">
        <v>10616.591918799662</v>
      </c>
      <c r="W108" s="134">
        <v>10621.555049660778</v>
      </c>
      <c r="X108" s="132">
        <v>5641.1367489255117</v>
      </c>
      <c r="Y108" s="133">
        <v>15210.904307801875</v>
      </c>
      <c r="Z108" s="133">
        <v>16604.048974734655</v>
      </c>
      <c r="AA108" s="134">
        <v>17098.695121102228</v>
      </c>
      <c r="AB108" s="132">
        <v>12382.084347868798</v>
      </c>
      <c r="AC108" s="133">
        <v>13426.498650010724</v>
      </c>
      <c r="AD108" s="133">
        <v>17072.008680500428</v>
      </c>
      <c r="AE108" s="134">
        <v>10954.542001416465</v>
      </c>
      <c r="AF108" s="132">
        <v>8558.6188803797249</v>
      </c>
      <c r="AG108" s="133">
        <v>8909.7262194411778</v>
      </c>
      <c r="AH108" s="133">
        <v>13125.145155199314</v>
      </c>
      <c r="AI108" s="134">
        <v>8201.557383006193</v>
      </c>
      <c r="AJ108" s="132">
        <v>5670.594646838983</v>
      </c>
      <c r="AK108" s="133">
        <v>11304.170116942745</v>
      </c>
      <c r="AL108" s="133">
        <v>9745.0239549242815</v>
      </c>
      <c r="AM108" s="134">
        <v>8038.0922475182806</v>
      </c>
      <c r="AN108" s="132">
        <v>8285.417078931232</v>
      </c>
      <c r="AO108" s="133">
        <v>9028.274955457342</v>
      </c>
      <c r="AP108" s="133">
        <v>10839.299056818667</v>
      </c>
      <c r="AQ108" s="134">
        <v>10173.377186362501</v>
      </c>
      <c r="AR108" s="132">
        <v>10141.465397269405</v>
      </c>
      <c r="AS108" s="133">
        <v>10165.040903699868</v>
      </c>
      <c r="AT108" s="133">
        <v>11539.651384832203</v>
      </c>
      <c r="AU108" s="134">
        <v>11142.205255193432</v>
      </c>
      <c r="AV108" s="132">
        <v>8180.496557429432</v>
      </c>
      <c r="AW108" s="133">
        <v>9936.1288869187338</v>
      </c>
      <c r="AX108" s="133">
        <v>8376.8932592407</v>
      </c>
      <c r="AY108" s="134">
        <v>10714.684800400095</v>
      </c>
      <c r="AZ108" s="132">
        <v>6830.6485350649582</v>
      </c>
      <c r="BA108" s="133">
        <v>8481.825606167462</v>
      </c>
      <c r="BB108" s="133">
        <v>9184.9944433488654</v>
      </c>
      <c r="BC108" s="134">
        <v>10012.708071146382</v>
      </c>
      <c r="BD108" s="132">
        <v>8726.7830890329533</v>
      </c>
      <c r="BE108" s="133">
        <v>14825.674323495568</v>
      </c>
      <c r="BF108" s="133">
        <v>15993.844013564038</v>
      </c>
      <c r="BG108" s="134">
        <v>13941.456275004894</v>
      </c>
      <c r="BH108" s="132">
        <v>9693.0456372679673</v>
      </c>
      <c r="BI108" s="133">
        <v>15096.588437681383</v>
      </c>
      <c r="BJ108" s="133">
        <v>16810.340637049299</v>
      </c>
      <c r="BK108" s="134">
        <v>14110.552041403105</v>
      </c>
      <c r="BL108" s="132">
        <v>9548.050246609122</v>
      </c>
      <c r="BM108" s="133">
        <v>12591.23055162659</v>
      </c>
      <c r="BN108" s="133">
        <v>13935.730464326161</v>
      </c>
      <c r="BO108" s="134">
        <v>12078.757924143121</v>
      </c>
      <c r="BP108" s="132">
        <v>8760.2877324865531</v>
      </c>
      <c r="BQ108" s="133">
        <v>12463.006499792562</v>
      </c>
      <c r="BR108" s="133">
        <v>13840.95801937567</v>
      </c>
      <c r="BS108" s="134">
        <v>11961.644959491332</v>
      </c>
      <c r="BT108" s="133">
        <v>8062.0670869328351</v>
      </c>
      <c r="BU108" s="133"/>
      <c r="BV108" s="57"/>
      <c r="BW108" s="58"/>
      <c r="BX108" s="59"/>
      <c r="BY108" s="59"/>
      <c r="BZ108" s="59"/>
      <c r="CA108" s="59"/>
      <c r="CB108" s="59"/>
      <c r="CC108" s="59"/>
      <c r="CD108" s="59"/>
      <c r="CE108" s="59"/>
      <c r="CF108" s="59"/>
      <c r="CG108" s="59"/>
      <c r="CH108" s="59"/>
      <c r="CI108" s="59"/>
      <c r="CJ108" s="59"/>
      <c r="CK108" s="59"/>
      <c r="CL108" s="59"/>
    </row>
    <row r="109" spans="1:90" x14ac:dyDescent="0.25">
      <c r="A109" s="9"/>
      <c r="B109" s="9"/>
      <c r="C109" s="3" t="s">
        <v>14</v>
      </c>
      <c r="D109" s="3"/>
      <c r="E109" s="3"/>
      <c r="F109" s="20"/>
      <c r="G109" s="20"/>
      <c r="H109" s="132">
        <v>7955.708851378793</v>
      </c>
      <c r="I109" s="133">
        <v>7108.9859977798969</v>
      </c>
      <c r="J109" s="133">
        <v>7793.3152078836365</v>
      </c>
      <c r="K109" s="134">
        <v>9211.4112957039488</v>
      </c>
      <c r="L109" s="132">
        <v>10513.061788280613</v>
      </c>
      <c r="M109" s="133">
        <v>9571.6938359575888</v>
      </c>
      <c r="N109" s="133">
        <v>8916.3103524125199</v>
      </c>
      <c r="O109" s="134">
        <v>8769.1945271918976</v>
      </c>
      <c r="P109" s="132">
        <v>8780.6790664117489</v>
      </c>
      <c r="Q109" s="133">
        <v>7199.1396719478334</v>
      </c>
      <c r="R109" s="133">
        <v>7597.9556490273098</v>
      </c>
      <c r="S109" s="134">
        <v>7559.8313694793533</v>
      </c>
      <c r="T109" s="132">
        <v>10635.287525393105</v>
      </c>
      <c r="U109" s="133">
        <v>6736.5017906429348</v>
      </c>
      <c r="V109" s="133">
        <v>6755.4889853091227</v>
      </c>
      <c r="W109" s="134">
        <v>7604.2114630347596</v>
      </c>
      <c r="X109" s="132">
        <v>11427.419441330732</v>
      </c>
      <c r="Y109" s="133">
        <v>9559.3801391524376</v>
      </c>
      <c r="Z109" s="133"/>
      <c r="AA109" s="134"/>
      <c r="AB109" s="132">
        <v>12245.807331395583</v>
      </c>
      <c r="AC109" s="133">
        <v>10421.993883928837</v>
      </c>
      <c r="AD109" s="133">
        <v>7381.4219401845003</v>
      </c>
      <c r="AE109" s="134">
        <v>8338.3233993788108</v>
      </c>
      <c r="AF109" s="132">
        <v>8716.5373156287951</v>
      </c>
      <c r="AG109" s="133">
        <v>7485.9323454412524</v>
      </c>
      <c r="AH109" s="133"/>
      <c r="AI109" s="134">
        <v>8766.2098113245174</v>
      </c>
      <c r="AJ109" s="132">
        <v>11170.117038982813</v>
      </c>
      <c r="AK109" s="133">
        <v>9589.1763400153632</v>
      </c>
      <c r="AL109" s="133">
        <v>8351.990908289823</v>
      </c>
      <c r="AM109" s="134">
        <v>7670.4875143305326</v>
      </c>
      <c r="AN109" s="132">
        <v>9264.9929024870326</v>
      </c>
      <c r="AO109" s="133">
        <v>7883.4984165173091</v>
      </c>
      <c r="AP109" s="133">
        <v>8691.6414385121516</v>
      </c>
      <c r="AQ109" s="134">
        <v>9712.6176191949144</v>
      </c>
      <c r="AR109" s="132">
        <v>9237.453951257181</v>
      </c>
      <c r="AS109" s="133">
        <v>8751.3096235666635</v>
      </c>
      <c r="AT109" s="133">
        <v>8810.6340313286055</v>
      </c>
      <c r="AU109" s="134">
        <v>8042.0735934796085</v>
      </c>
      <c r="AV109" s="132">
        <v>7736.8312272715375</v>
      </c>
      <c r="AW109" s="133">
        <v>8054.1841848316571</v>
      </c>
      <c r="AX109" s="133">
        <v>7526.227663750059</v>
      </c>
      <c r="AY109" s="134">
        <v>9579.1922271934563</v>
      </c>
      <c r="AZ109" s="132">
        <v>9448.5053725580019</v>
      </c>
      <c r="BA109" s="133">
        <v>7737.6990690927223</v>
      </c>
      <c r="BB109" s="133">
        <v>8229.1281927772725</v>
      </c>
      <c r="BC109" s="134">
        <v>10879.87374996283</v>
      </c>
      <c r="BD109" s="132">
        <v>9901.1306110536352</v>
      </c>
      <c r="BE109" s="133">
        <v>10390.460653625511</v>
      </c>
      <c r="BF109" s="133">
        <v>8926.1097876266012</v>
      </c>
      <c r="BG109" s="134">
        <v>9516.2569959526718</v>
      </c>
      <c r="BH109" s="132">
        <v>11656.127459003346</v>
      </c>
      <c r="BI109" s="133">
        <v>11221.290278934801</v>
      </c>
      <c r="BJ109" s="133">
        <v>11801.094103262631</v>
      </c>
      <c r="BK109" s="134">
        <v>0</v>
      </c>
      <c r="BL109" s="132">
        <v>0</v>
      </c>
      <c r="BM109" s="133">
        <v>0</v>
      </c>
      <c r="BN109" s="133">
        <v>0</v>
      </c>
      <c r="BO109" s="134">
        <v>0</v>
      </c>
      <c r="BP109" s="132">
        <v>0</v>
      </c>
      <c r="BQ109" s="133">
        <v>0</v>
      </c>
      <c r="BR109" s="133">
        <v>0</v>
      </c>
      <c r="BS109" s="134">
        <v>0</v>
      </c>
      <c r="BT109" s="133">
        <v>0</v>
      </c>
      <c r="BU109" s="133"/>
      <c r="BV109" s="57"/>
      <c r="BW109" s="58"/>
      <c r="BX109" s="59"/>
      <c r="BY109" s="59"/>
      <c r="BZ109" s="59"/>
      <c r="CA109" s="59"/>
      <c r="CB109" s="59"/>
      <c r="CC109" s="59"/>
      <c r="CD109" s="59"/>
      <c r="CE109" s="59"/>
      <c r="CF109" s="59"/>
      <c r="CG109" s="59"/>
      <c r="CH109" s="59"/>
      <c r="CI109" s="59"/>
      <c r="CJ109" s="59"/>
      <c r="CK109" s="59"/>
      <c r="CL109" s="59"/>
    </row>
    <row r="110" spans="1:90" x14ac:dyDescent="0.25">
      <c r="A110" s="9"/>
      <c r="B110" s="9"/>
      <c r="C110" s="3" t="s">
        <v>15</v>
      </c>
      <c r="D110" s="3"/>
      <c r="E110" s="3"/>
      <c r="F110" s="20"/>
      <c r="G110" s="20"/>
      <c r="H110" s="132">
        <v>6777.2634541971947</v>
      </c>
      <c r="I110" s="133">
        <v>5523.2919282911025</v>
      </c>
      <c r="J110" s="133">
        <v>6233.4771139498016</v>
      </c>
      <c r="K110" s="134">
        <v>6185.0329124387063</v>
      </c>
      <c r="L110" s="132">
        <v>9862.3599921625228</v>
      </c>
      <c r="M110" s="133">
        <v>8683.9382901638255</v>
      </c>
      <c r="N110" s="133">
        <v>8240.4688585874283</v>
      </c>
      <c r="O110" s="134">
        <v>6796.4533642315218</v>
      </c>
      <c r="P110" s="132">
        <v>7866.6634197673793</v>
      </c>
      <c r="Q110" s="133">
        <v>6453.2578774882904</v>
      </c>
      <c r="R110" s="133">
        <v>6865.9687213270236</v>
      </c>
      <c r="S110" s="134">
        <v>6905.4974344800958</v>
      </c>
      <c r="T110" s="132">
        <v>8875.5407329928439</v>
      </c>
      <c r="U110" s="133">
        <v>5850.3509175995941</v>
      </c>
      <c r="V110" s="133">
        <v>6102.0228722917836</v>
      </c>
      <c r="W110" s="134">
        <v>6418.9136667885923</v>
      </c>
      <c r="X110" s="132">
        <v>9403.7823826130298</v>
      </c>
      <c r="Y110" s="133">
        <v>7207.5985663082447</v>
      </c>
      <c r="Z110" s="133"/>
      <c r="AA110" s="134"/>
      <c r="AB110" s="132">
        <v>11008.294163123859</v>
      </c>
      <c r="AC110" s="133">
        <v>8870.0521833451494</v>
      </c>
      <c r="AD110" s="133">
        <v>6975.9927140255013</v>
      </c>
      <c r="AE110" s="134">
        <v>7827.9940881157954</v>
      </c>
      <c r="AF110" s="132">
        <v>7932.145878544894</v>
      </c>
      <c r="AG110" s="133">
        <v>6671.2899065009487</v>
      </c>
      <c r="AH110" s="133"/>
      <c r="AI110" s="134">
        <v>7220.6083155727347</v>
      </c>
      <c r="AJ110" s="132">
        <v>7690.302605632929</v>
      </c>
      <c r="AK110" s="133">
        <v>6572.1370068094811</v>
      </c>
      <c r="AL110" s="133">
        <v>7536.924251925765</v>
      </c>
      <c r="AM110" s="134">
        <v>6467.4329462985097</v>
      </c>
      <c r="AN110" s="132">
        <v>7806.9925014379724</v>
      </c>
      <c r="AO110" s="133">
        <v>7142.2367352119236</v>
      </c>
      <c r="AP110" s="133">
        <v>7135.6002782500482</v>
      </c>
      <c r="AQ110" s="134">
        <v>7036.4490186778694</v>
      </c>
      <c r="AR110" s="132">
        <v>8557.5741527591545</v>
      </c>
      <c r="AS110" s="133">
        <v>7316.9252073592652</v>
      </c>
      <c r="AT110" s="133">
        <v>7717.6583313528427</v>
      </c>
      <c r="AU110" s="134">
        <v>6838.2962680981527</v>
      </c>
      <c r="AV110" s="132">
        <v>7295.8547770414971</v>
      </c>
      <c r="AW110" s="133">
        <v>7291.7382023821638</v>
      </c>
      <c r="AX110" s="133">
        <v>7001.2479572347802</v>
      </c>
      <c r="AY110" s="134">
        <v>7620.9907656042924</v>
      </c>
      <c r="AZ110" s="132">
        <v>7641.650113092167</v>
      </c>
      <c r="BA110" s="133">
        <v>6392.2109916362042</v>
      </c>
      <c r="BB110" s="133">
        <v>7616.7163918097212</v>
      </c>
      <c r="BC110" s="134">
        <v>7875.5274279457308</v>
      </c>
      <c r="BD110" s="132">
        <v>8574.6646907586091</v>
      </c>
      <c r="BE110" s="133">
        <v>7066.4293263995651</v>
      </c>
      <c r="BF110" s="133">
        <v>8400.7398492830071</v>
      </c>
      <c r="BG110" s="134">
        <v>7535.231298376767</v>
      </c>
      <c r="BH110" s="132">
        <v>10630.35802542646</v>
      </c>
      <c r="BI110" s="133">
        <v>7457.8220476439947</v>
      </c>
      <c r="BJ110" s="133">
        <v>9322.9055681814862</v>
      </c>
      <c r="BK110" s="134">
        <v>9299.8792270531394</v>
      </c>
      <c r="BL110" s="132">
        <v>10525.338007010516</v>
      </c>
      <c r="BM110" s="133">
        <v>8083.092002673201</v>
      </c>
      <c r="BN110" s="133">
        <v>9017.4974567650024</v>
      </c>
      <c r="BO110" s="134">
        <v>8235.558408215662</v>
      </c>
      <c r="BP110" s="132">
        <v>10089.797314632686</v>
      </c>
      <c r="BQ110" s="133">
        <v>8067.3066779196124</v>
      </c>
      <c r="BR110" s="133">
        <v>8558.8435044144753</v>
      </c>
      <c r="BS110" s="134">
        <v>7931.8281648071688</v>
      </c>
      <c r="BT110" s="133">
        <v>10982.917444029852</v>
      </c>
      <c r="BU110" s="133"/>
      <c r="BV110" s="57"/>
      <c r="BW110" s="58"/>
      <c r="BX110" s="59"/>
      <c r="BY110" s="59"/>
      <c r="BZ110" s="59"/>
      <c r="CA110" s="59"/>
      <c r="CB110" s="59"/>
      <c r="CC110" s="59"/>
      <c r="CD110" s="59"/>
      <c r="CE110" s="59"/>
      <c r="CF110" s="59"/>
      <c r="CG110" s="59"/>
      <c r="CH110" s="59"/>
      <c r="CI110" s="59"/>
      <c r="CJ110" s="59"/>
      <c r="CK110" s="59"/>
      <c r="CL110" s="59"/>
    </row>
    <row r="111" spans="1:90" x14ac:dyDescent="0.25">
      <c r="A111" s="9"/>
      <c r="B111" s="9"/>
      <c r="C111" s="3" t="s">
        <v>16</v>
      </c>
      <c r="D111" s="3"/>
      <c r="E111" s="3"/>
      <c r="F111" s="20"/>
      <c r="G111" s="20"/>
      <c r="H111" s="132">
        <v>6879.3457809407591</v>
      </c>
      <c r="I111" s="133">
        <v>5986.1037199271914</v>
      </c>
      <c r="J111" s="133">
        <v>6322.4946773385491</v>
      </c>
      <c r="K111" s="134">
        <v>6431.6674057076934</v>
      </c>
      <c r="L111" s="132">
        <v>7292.1957107287226</v>
      </c>
      <c r="M111" s="133">
        <v>6834.7029892899209</v>
      </c>
      <c r="N111" s="133">
        <v>6619.3961742838337</v>
      </c>
      <c r="O111" s="134">
        <v>6221.4742003625452</v>
      </c>
      <c r="P111" s="132">
        <v>6498.1873944562612</v>
      </c>
      <c r="Q111" s="133">
        <v>6374.4744152071389</v>
      </c>
      <c r="R111" s="133">
        <v>6905.0485056546977</v>
      </c>
      <c r="S111" s="134">
        <v>6858.4804133605803</v>
      </c>
      <c r="T111" s="132">
        <v>6240.4948504724043</v>
      </c>
      <c r="U111" s="133">
        <v>6392.7199057170519</v>
      </c>
      <c r="V111" s="133">
        <v>6805.8960068187916</v>
      </c>
      <c r="W111" s="134">
        <v>6076.9274364479761</v>
      </c>
      <c r="X111" s="132">
        <v>6535.6286586125298</v>
      </c>
      <c r="Y111" s="133">
        <v>7140.8967601377462</v>
      </c>
      <c r="Z111" s="133"/>
      <c r="AA111" s="134"/>
      <c r="AB111" s="132">
        <v>7043.6227773390965</v>
      </c>
      <c r="AC111" s="133">
        <v>6321.9215827561875</v>
      </c>
      <c r="AD111" s="133">
        <v>6082.1387860626364</v>
      </c>
      <c r="AE111" s="134">
        <v>5539.3732684701508</v>
      </c>
      <c r="AF111" s="132">
        <v>5945.2193537877884</v>
      </c>
      <c r="AG111" s="133">
        <v>6961.4222792845821</v>
      </c>
      <c r="AH111" s="133"/>
      <c r="AI111" s="134">
        <v>6146.739295164758</v>
      </c>
      <c r="AJ111" s="132">
        <v>7336.5112819013102</v>
      </c>
      <c r="AK111" s="133">
        <v>7404.2821396886311</v>
      </c>
      <c r="AL111" s="133">
        <v>9277.8193560703312</v>
      </c>
      <c r="AM111" s="134">
        <v>6679.306824630954</v>
      </c>
      <c r="AN111" s="132">
        <v>6897.0728695587932</v>
      </c>
      <c r="AO111" s="133">
        <v>7432.0049685939894</v>
      </c>
      <c r="AP111" s="133">
        <v>9029.9579355379883</v>
      </c>
      <c r="AQ111" s="134">
        <v>7466.7110018903113</v>
      </c>
      <c r="AR111" s="132">
        <v>7755.5126003923597</v>
      </c>
      <c r="AS111" s="133">
        <v>7948.8791625529202</v>
      </c>
      <c r="AT111" s="133">
        <v>9108.6170140171635</v>
      </c>
      <c r="AU111" s="134">
        <v>7624.5434199322881</v>
      </c>
      <c r="AV111" s="132">
        <v>149788.46020159885</v>
      </c>
      <c r="AW111" s="133">
        <v>7889.6529632264856</v>
      </c>
      <c r="AX111" s="133">
        <v>7261.8881379099876</v>
      </c>
      <c r="AY111" s="134">
        <v>6750.4109061792969</v>
      </c>
      <c r="AZ111" s="132">
        <v>6816.2670927265726</v>
      </c>
      <c r="BA111" s="133">
        <v>8090.1557331521626</v>
      </c>
      <c r="BB111" s="133">
        <v>7893.2164370289593</v>
      </c>
      <c r="BC111" s="134">
        <v>8183.3532938022827</v>
      </c>
      <c r="BD111" s="132">
        <v>7105.0137818017429</v>
      </c>
      <c r="BE111" s="133">
        <v>10266.085965409295</v>
      </c>
      <c r="BF111" s="133">
        <v>20074.262560802283</v>
      </c>
      <c r="BG111" s="134">
        <v>7962.9538670856127</v>
      </c>
      <c r="BH111" s="132">
        <v>9590.544223359313</v>
      </c>
      <c r="BI111" s="133">
        <v>10571.570279157035</v>
      </c>
      <c r="BJ111" s="133">
        <v>12032.92247257808</v>
      </c>
      <c r="BK111" s="134">
        <v>10203.260869565218</v>
      </c>
      <c r="BL111" s="132">
        <v>15051.126690035055</v>
      </c>
      <c r="BM111" s="133">
        <v>12653.152149699265</v>
      </c>
      <c r="BN111" s="133">
        <v>14197.558494404884</v>
      </c>
      <c r="BO111" s="134">
        <v>10600.311754997248</v>
      </c>
      <c r="BP111" s="132">
        <v>12975.284358163004</v>
      </c>
      <c r="BQ111" s="133">
        <v>10536.976474311636</v>
      </c>
      <c r="BR111" s="133">
        <v>14314.155428349664</v>
      </c>
      <c r="BS111" s="134">
        <v>9657.2081173680053</v>
      </c>
      <c r="BT111" s="133">
        <v>15092.059235074625</v>
      </c>
      <c r="BU111" s="133"/>
      <c r="BV111" s="57"/>
      <c r="BW111" s="58"/>
      <c r="BX111" s="59"/>
      <c r="BY111" s="59"/>
      <c r="BZ111" s="59"/>
      <c r="CA111" s="59"/>
      <c r="CB111" s="59"/>
      <c r="CC111" s="59"/>
      <c r="CD111" s="59"/>
      <c r="CE111" s="59"/>
      <c r="CF111" s="59"/>
      <c r="CG111" s="59"/>
      <c r="CH111" s="59"/>
      <c r="CI111" s="59"/>
      <c r="CJ111" s="59"/>
      <c r="CK111" s="59"/>
      <c r="CL111" s="59"/>
    </row>
    <row r="112" spans="1:90" x14ac:dyDescent="0.25">
      <c r="A112" s="9"/>
      <c r="B112" s="9"/>
      <c r="C112" s="3" t="s">
        <v>17</v>
      </c>
      <c r="D112" s="3"/>
      <c r="E112" s="3"/>
      <c r="F112" s="20"/>
      <c r="G112" s="20"/>
      <c r="H112" s="132">
        <v>6929.7226540631882</v>
      </c>
      <c r="I112" s="133">
        <v>6039.9535366391983</v>
      </c>
      <c r="J112" s="133">
        <v>6333.5722021495176</v>
      </c>
      <c r="K112" s="134">
        <v>6460.2015644709263</v>
      </c>
      <c r="L112" s="132">
        <v>7291.433962061682</v>
      </c>
      <c r="M112" s="133">
        <v>6825.0648622874505</v>
      </c>
      <c r="N112" s="133">
        <v>6595.1869675366252</v>
      </c>
      <c r="O112" s="134">
        <v>6255.7419261324503</v>
      </c>
      <c r="P112" s="132">
        <v>6494.2333987924567</v>
      </c>
      <c r="Q112" s="133">
        <v>6347.8032471794031</v>
      </c>
      <c r="R112" s="133">
        <v>6868.1419396076244</v>
      </c>
      <c r="S112" s="134">
        <v>6792.2217563281411</v>
      </c>
      <c r="T112" s="132">
        <v>6275.0824924504814</v>
      </c>
      <c r="U112" s="133">
        <v>6379.8365486649172</v>
      </c>
      <c r="V112" s="133">
        <v>6748.171014401918</v>
      </c>
      <c r="W112" s="134">
        <v>6103.7303854625925</v>
      </c>
      <c r="X112" s="132">
        <v>6533.5463631834609</v>
      </c>
      <c r="Y112" s="133">
        <v>7085.4283505516914</v>
      </c>
      <c r="Z112" s="133"/>
      <c r="AA112" s="134"/>
      <c r="AB112" s="132">
        <v>7016.0682235763879</v>
      </c>
      <c r="AC112" s="133">
        <v>6244.9272987072791</v>
      </c>
      <c r="AD112" s="133">
        <v>6005.7277160820258</v>
      </c>
      <c r="AE112" s="134">
        <v>5338.934065736802</v>
      </c>
      <c r="AF112" s="132">
        <v>5569.9559663494638</v>
      </c>
      <c r="AG112" s="133">
        <v>6025.9930930770279</v>
      </c>
      <c r="AH112" s="133"/>
      <c r="AI112" s="134">
        <v>5535.1369216594612</v>
      </c>
      <c r="AJ112" s="132">
        <v>7192.4664439397466</v>
      </c>
      <c r="AK112" s="133">
        <v>7235.0970882740103</v>
      </c>
      <c r="AL112" s="133">
        <v>9204.9395633228487</v>
      </c>
      <c r="AM112" s="134">
        <v>6665.4191529875352</v>
      </c>
      <c r="AN112" s="132">
        <v>6807.966100800516</v>
      </c>
      <c r="AO112" s="133">
        <v>7259.7359571192792</v>
      </c>
      <c r="AP112" s="133">
        <v>8895.5967042928078</v>
      </c>
      <c r="AQ112" s="134">
        <v>7202.9681473454611</v>
      </c>
      <c r="AR112" s="132">
        <v>7666.5169737829965</v>
      </c>
      <c r="AS112" s="133">
        <v>7652.9807917854287</v>
      </c>
      <c r="AT112" s="133">
        <v>8948.8821329995117</v>
      </c>
      <c r="AU112" s="134">
        <v>7487.3783265381953</v>
      </c>
      <c r="AV112" s="132">
        <v>149776.00435040981</v>
      </c>
      <c r="AW112" s="133">
        <v>7489.9203173752494</v>
      </c>
      <c r="AX112" s="133">
        <v>7235.9635318533838</v>
      </c>
      <c r="AY112" s="134">
        <v>6558.1603799453769</v>
      </c>
      <c r="AZ112" s="132">
        <v>6488.0038065526624</v>
      </c>
      <c r="BA112" s="133">
        <v>7230.4887076676441</v>
      </c>
      <c r="BB112" s="133">
        <v>7899.5106039872899</v>
      </c>
      <c r="BC112" s="134">
        <v>7979.6997603151058</v>
      </c>
      <c r="BD112" s="132">
        <v>6836.5308787703734</v>
      </c>
      <c r="BE112" s="133">
        <v>9680.1356538784385</v>
      </c>
      <c r="BF112" s="133">
        <v>19686.779432835312</v>
      </c>
      <c r="BG112" s="134">
        <v>7522.313769559616</v>
      </c>
      <c r="BH112" s="132">
        <v>9391.3692716726891</v>
      </c>
      <c r="BI112" s="133">
        <v>9572.7485841482776</v>
      </c>
      <c r="BJ112" s="133">
        <v>11877.4693046831</v>
      </c>
      <c r="BK112" s="134">
        <v>10284.178743961353</v>
      </c>
      <c r="BL112" s="132">
        <v>13956.484727090636</v>
      </c>
      <c r="BM112" s="133">
        <v>10932.278903987526</v>
      </c>
      <c r="BN112" s="133">
        <v>15066.327568667344</v>
      </c>
      <c r="BO112" s="134">
        <v>9167.1556941133331</v>
      </c>
      <c r="BP112" s="132">
        <v>12706.747626785256</v>
      </c>
      <c r="BQ112" s="133">
        <v>9303.7240215212587</v>
      </c>
      <c r="BR112" s="133">
        <v>13819.346075482683</v>
      </c>
      <c r="BS112" s="134">
        <v>8426.4253711675319</v>
      </c>
      <c r="BT112" s="133">
        <v>14329.465951492537</v>
      </c>
      <c r="BU112" s="133"/>
      <c r="BV112" s="57"/>
      <c r="BW112" s="58"/>
      <c r="BX112" s="59"/>
      <c r="BY112" s="59"/>
      <c r="BZ112" s="59"/>
      <c r="CA112" s="59"/>
      <c r="CB112" s="59"/>
      <c r="CC112" s="59"/>
      <c r="CD112" s="59"/>
      <c r="CE112" s="59"/>
      <c r="CF112" s="59"/>
      <c r="CG112" s="59"/>
      <c r="CH112" s="59"/>
      <c r="CI112" s="59"/>
      <c r="CJ112" s="59"/>
      <c r="CK112" s="59"/>
      <c r="CL112" s="59"/>
    </row>
    <row r="113" spans="1:90" x14ac:dyDescent="0.25">
      <c r="A113" s="9"/>
      <c r="B113" s="9"/>
      <c r="C113" s="3" t="s">
        <v>18</v>
      </c>
      <c r="D113" s="3"/>
      <c r="E113" s="3"/>
      <c r="F113" s="20"/>
      <c r="G113" s="20"/>
      <c r="H113" s="132">
        <v>7002.3284772837351</v>
      </c>
      <c r="I113" s="133">
        <v>5826.6849263065305</v>
      </c>
      <c r="J113" s="133">
        <v>6304.6523846288856</v>
      </c>
      <c r="K113" s="134">
        <v>6503.5603122053717</v>
      </c>
      <c r="L113" s="132">
        <v>7275.3279852649512</v>
      </c>
      <c r="M113" s="133">
        <v>6811.2447150599482</v>
      </c>
      <c r="N113" s="133">
        <v>6623.4784575173408</v>
      </c>
      <c r="O113" s="134">
        <v>6248.1613172995903</v>
      </c>
      <c r="P113" s="132">
        <v>6467.3865729234985</v>
      </c>
      <c r="Q113" s="133">
        <v>6318.35822761694</v>
      </c>
      <c r="R113" s="133">
        <v>6897.2937865338818</v>
      </c>
      <c r="S113" s="134">
        <v>6846.9528476277101</v>
      </c>
      <c r="T113" s="132">
        <v>6238.4296074945232</v>
      </c>
      <c r="U113" s="133">
        <v>6346.3446345057</v>
      </c>
      <c r="V113" s="133">
        <v>6768.0556763579871</v>
      </c>
      <c r="W113" s="134">
        <v>6071.737362062282</v>
      </c>
      <c r="X113" s="132">
        <v>6521.7414995640802</v>
      </c>
      <c r="Y113" s="133">
        <v>7132.7879682338889</v>
      </c>
      <c r="Z113" s="133"/>
      <c r="AA113" s="134"/>
      <c r="AB113" s="132">
        <v>6949.9558082438271</v>
      </c>
      <c r="AC113" s="133">
        <v>6252.9384363726949</v>
      </c>
      <c r="AD113" s="133">
        <v>5996.5791174569595</v>
      </c>
      <c r="AE113" s="134">
        <v>5481.3889337665514</v>
      </c>
      <c r="AF113" s="132">
        <v>5580.8435229022271</v>
      </c>
      <c r="AG113" s="133">
        <v>6404.0193298739287</v>
      </c>
      <c r="AH113" s="133"/>
      <c r="AI113" s="134">
        <v>5964.8440617317319</v>
      </c>
      <c r="AJ113" s="132">
        <v>7409.089990770608</v>
      </c>
      <c r="AK113" s="133">
        <v>7502.0840152149931</v>
      </c>
      <c r="AL113" s="133">
        <v>9304.3913012942721</v>
      </c>
      <c r="AM113" s="134">
        <v>6561.8344528430089</v>
      </c>
      <c r="AN113" s="132">
        <v>6846.6317155928946</v>
      </c>
      <c r="AO113" s="133">
        <v>7116.4553878774332</v>
      </c>
      <c r="AP113" s="133">
        <v>8987.8839241825008</v>
      </c>
      <c r="AQ113" s="134">
        <v>7559.6377192005275</v>
      </c>
      <c r="AR113" s="132">
        <v>7856.872176434189</v>
      </c>
      <c r="AS113" s="133">
        <v>7935.8214685191806</v>
      </c>
      <c r="AT113" s="133">
        <v>8991.8973643403551</v>
      </c>
      <c r="AU113" s="134">
        <v>7365.1915971980843</v>
      </c>
      <c r="AV113" s="132">
        <v>148963.95887292991</v>
      </c>
      <c r="AW113" s="133">
        <v>7370.4869356840791</v>
      </c>
      <c r="AX113" s="133">
        <v>7090.1763771304622</v>
      </c>
      <c r="AY113" s="134">
        <v>6312.2670386616164</v>
      </c>
      <c r="AZ113" s="132">
        <v>5989.4490670142095</v>
      </c>
      <c r="BA113" s="133">
        <v>7076.7391761138824</v>
      </c>
      <c r="BB113" s="133">
        <v>7810.5173980602831</v>
      </c>
      <c r="BC113" s="134">
        <v>8061.9709459070773</v>
      </c>
      <c r="BD113" s="132">
        <v>6902.9410490494001</v>
      </c>
      <c r="BE113" s="133">
        <v>9896.5618046425043</v>
      </c>
      <c r="BF113" s="133">
        <v>19414.599059109922</v>
      </c>
      <c r="BG113" s="134">
        <v>8012.089288480016</v>
      </c>
      <c r="BH113" s="132">
        <v>9343.4254869944198</v>
      </c>
      <c r="BI113" s="133">
        <v>10622.551987552204</v>
      </c>
      <c r="BJ113" s="133">
        <v>12430.545435712675</v>
      </c>
      <c r="BK113" s="134">
        <v>11362.68115942029</v>
      </c>
      <c r="BL113" s="132">
        <v>14221.882824236352</v>
      </c>
      <c r="BM113" s="133">
        <v>11853.419469815104</v>
      </c>
      <c r="BN113" s="133">
        <v>15710.274669379449</v>
      </c>
      <c r="BO113" s="134">
        <v>10151.017788373372</v>
      </c>
      <c r="BP113" s="132">
        <v>13567.091422218424</v>
      </c>
      <c r="BQ113" s="133">
        <v>11052.853676548162</v>
      </c>
      <c r="BR113" s="133">
        <v>14472.300378383623</v>
      </c>
      <c r="BS113" s="134">
        <v>8842.8358077835383</v>
      </c>
      <c r="BT113" s="133">
        <v>15493.178638059704</v>
      </c>
      <c r="BU113" s="133"/>
      <c r="BV113" s="57"/>
      <c r="BW113" s="58"/>
      <c r="BX113" s="59"/>
      <c r="BY113" s="59"/>
      <c r="BZ113" s="59"/>
      <c r="CA113" s="59"/>
      <c r="CB113" s="59"/>
      <c r="CC113" s="59"/>
      <c r="CD113" s="59"/>
      <c r="CE113" s="59"/>
      <c r="CF113" s="59"/>
      <c r="CG113" s="59"/>
      <c r="CH113" s="59"/>
      <c r="CI113" s="59"/>
      <c r="CJ113" s="59"/>
      <c r="CK113" s="59"/>
      <c r="CL113" s="59"/>
    </row>
    <row r="114" spans="1:90" x14ac:dyDescent="0.25">
      <c r="A114" s="9"/>
      <c r="B114" s="9"/>
      <c r="C114" s="3" t="s">
        <v>19</v>
      </c>
      <c r="D114" s="3"/>
      <c r="E114" s="3"/>
      <c r="F114" s="20"/>
      <c r="G114" s="20"/>
      <c r="H114" s="132">
        <v>5056.363206214528</v>
      </c>
      <c r="I114" s="133">
        <v>3383.7150487422978</v>
      </c>
      <c r="J114" s="133">
        <v>5794.4571054246271</v>
      </c>
      <c r="K114" s="134">
        <v>6653.0177804791283</v>
      </c>
      <c r="L114" s="132">
        <v>6926.8960557242435</v>
      </c>
      <c r="M114" s="133">
        <v>6392.7365907723852</v>
      </c>
      <c r="N114" s="133">
        <v>6743.1218023625997</v>
      </c>
      <c r="O114" s="134">
        <v>6882.3319112505942</v>
      </c>
      <c r="P114" s="132">
        <v>7174.7223223163528</v>
      </c>
      <c r="Q114" s="133">
        <v>6564.7597731428968</v>
      </c>
      <c r="R114" s="133">
        <v>6984.4018493693247</v>
      </c>
      <c r="S114" s="134">
        <v>7581.672709346507</v>
      </c>
      <c r="T114" s="132">
        <v>6913.6591791065521</v>
      </c>
      <c r="U114" s="133">
        <v>6639.3823099570327</v>
      </c>
      <c r="V114" s="133">
        <v>7301.8595471185781</v>
      </c>
      <c r="W114" s="134">
        <v>7404.2650383952205</v>
      </c>
      <c r="X114" s="132">
        <v>7772.4527493356718</v>
      </c>
      <c r="Y114" s="133">
        <v>7577.8125479203136</v>
      </c>
      <c r="Z114" s="133">
        <v>7840.073001177745</v>
      </c>
      <c r="AA114" s="134">
        <v>8074.1424492837359</v>
      </c>
      <c r="AB114" s="132">
        <v>8115.9652874690701</v>
      </c>
      <c r="AC114" s="133">
        <v>7544.4338106658415</v>
      </c>
      <c r="AD114" s="133">
        <v>7742.0834526595891</v>
      </c>
      <c r="AE114" s="134">
        <v>7200.6593085775012</v>
      </c>
      <c r="AF114" s="132">
        <v>6627.3772077918575</v>
      </c>
      <c r="AG114" s="133">
        <v>7143.1109012466231</v>
      </c>
      <c r="AH114" s="133">
        <v>7620.6952023320646</v>
      </c>
      <c r="AI114" s="134">
        <v>5617.433765676662</v>
      </c>
      <c r="AJ114" s="132">
        <v>6328.2256034972734</v>
      </c>
      <c r="AK114" s="133">
        <v>6376.5777085528907</v>
      </c>
      <c r="AL114" s="133">
        <v>4206.1328893339842</v>
      </c>
      <c r="AM114" s="134">
        <v>5243.4740054484755</v>
      </c>
      <c r="AN114" s="132">
        <v>5733.6848380653628</v>
      </c>
      <c r="AO114" s="133">
        <v>5695.7639627494509</v>
      </c>
      <c r="AP114" s="133">
        <v>7571.8767174222767</v>
      </c>
      <c r="AQ114" s="134">
        <v>6153.2168685243669</v>
      </c>
      <c r="AR114" s="132">
        <v>7371.9191270054098</v>
      </c>
      <c r="AS114" s="133">
        <v>9224.1269295445363</v>
      </c>
      <c r="AT114" s="133">
        <v>11671.153370768423</v>
      </c>
      <c r="AU114" s="134">
        <v>6820.4341054623428</v>
      </c>
      <c r="AV114" s="132">
        <v>4671.0825678124766</v>
      </c>
      <c r="AW114" s="133">
        <v>9055.3669656098082</v>
      </c>
      <c r="AX114" s="133">
        <v>7163.806951615612</v>
      </c>
      <c r="AY114" s="134">
        <v>7193.2851737468054</v>
      </c>
      <c r="AZ114" s="132">
        <v>8468.8118965836675</v>
      </c>
      <c r="BA114" s="133">
        <v>8550.5156645261723</v>
      </c>
      <c r="BB114" s="133">
        <v>9194.1206668704908</v>
      </c>
      <c r="BC114" s="134">
        <v>7712.8507072675238</v>
      </c>
      <c r="BD114" s="132">
        <v>8177.4649856795631</v>
      </c>
      <c r="BE114" s="133">
        <v>9685.1029540567124</v>
      </c>
      <c r="BF114" s="133">
        <v>10615.654024435606</v>
      </c>
      <c r="BG114" s="134">
        <v>8652.3665142401496</v>
      </c>
      <c r="BH114" s="132">
        <v>14467.709875456814</v>
      </c>
      <c r="BI114" s="133">
        <v>14085.206818371158</v>
      </c>
      <c r="BJ114" s="133">
        <v>18516.017142003158</v>
      </c>
      <c r="BK114" s="134">
        <v>10982.927220262904</v>
      </c>
      <c r="BL114" s="132">
        <v>9121.1827578106659</v>
      </c>
      <c r="BM114" s="133">
        <v>11240.969816922316</v>
      </c>
      <c r="BN114" s="133">
        <v>13033.851312141338</v>
      </c>
      <c r="BO114" s="134">
        <v>10106.32017594629</v>
      </c>
      <c r="BP114" s="132">
        <v>9793.2320810018664</v>
      </c>
      <c r="BQ114" s="133">
        <v>9979.9086757990881</v>
      </c>
      <c r="BR114" s="133">
        <v>13548.78121107882</v>
      </c>
      <c r="BS114" s="134">
        <v>10398.849048251439</v>
      </c>
      <c r="BT114" s="133">
        <v>10339.116513102006</v>
      </c>
      <c r="BU114" s="133"/>
      <c r="BV114" s="57"/>
      <c r="BW114" s="58"/>
      <c r="BX114" s="59"/>
      <c r="BY114" s="59"/>
      <c r="BZ114" s="59"/>
      <c r="CA114" s="59"/>
      <c r="CB114" s="59"/>
      <c r="CC114" s="59"/>
      <c r="CD114" s="59"/>
      <c r="CE114" s="59"/>
      <c r="CF114" s="59"/>
      <c r="CG114" s="59"/>
      <c r="CH114" s="59"/>
      <c r="CI114" s="59"/>
      <c r="CJ114" s="59"/>
      <c r="CK114" s="59"/>
      <c r="CL114" s="59"/>
    </row>
    <row r="115" spans="1:90" x14ac:dyDescent="0.25">
      <c r="A115" s="9"/>
      <c r="B115" s="9"/>
      <c r="C115" s="3" t="s">
        <v>20</v>
      </c>
      <c r="D115" s="3"/>
      <c r="E115" s="3"/>
      <c r="F115" s="20"/>
      <c r="G115" s="20"/>
      <c r="H115" s="132">
        <v>5330.4795264684744</v>
      </c>
      <c r="I115" s="133">
        <v>3042.1408977835931</v>
      </c>
      <c r="J115" s="133">
        <v>5868.9262336473148</v>
      </c>
      <c r="K115" s="134">
        <v>6847.5431161307561</v>
      </c>
      <c r="L115" s="132">
        <v>7380.0095508817067</v>
      </c>
      <c r="M115" s="133">
        <v>7199.1621026822768</v>
      </c>
      <c r="N115" s="133">
        <v>7607.4935151334703</v>
      </c>
      <c r="O115" s="134">
        <v>7821.3284744903431</v>
      </c>
      <c r="P115" s="132">
        <v>10274.417173719834</v>
      </c>
      <c r="Q115" s="133">
        <v>8767.4822634592529</v>
      </c>
      <c r="R115" s="133">
        <v>9212.3104844726768</v>
      </c>
      <c r="S115" s="134">
        <v>9279.4684629090716</v>
      </c>
      <c r="T115" s="132">
        <v>8259.1639500155961</v>
      </c>
      <c r="U115" s="133">
        <v>7837.1947303260686</v>
      </c>
      <c r="V115" s="133">
        <v>8726.2738641580181</v>
      </c>
      <c r="W115" s="134">
        <v>9133.2750822368416</v>
      </c>
      <c r="X115" s="132">
        <v>9540.0137637568023</v>
      </c>
      <c r="Y115" s="133">
        <v>9761.8574294934187</v>
      </c>
      <c r="Z115" s="133">
        <v>10068.521764241499</v>
      </c>
      <c r="AA115" s="134">
        <v>10745.216700575189</v>
      </c>
      <c r="AB115" s="132">
        <v>10216.791500528527</v>
      </c>
      <c r="AC115" s="133">
        <v>9252.1835681671073</v>
      </c>
      <c r="AD115" s="133">
        <v>9986.0037799558904</v>
      </c>
      <c r="AE115" s="134">
        <v>9209.225899570687</v>
      </c>
      <c r="AF115" s="132">
        <v>7618.5169549010971</v>
      </c>
      <c r="AG115" s="133">
        <v>7905.668587515429</v>
      </c>
      <c r="AH115" s="133">
        <v>10398.849300649112</v>
      </c>
      <c r="AI115" s="134">
        <v>7809.307515509493</v>
      </c>
      <c r="AJ115" s="132">
        <v>7992.3655509590071</v>
      </c>
      <c r="AK115" s="133">
        <v>7632.9922072565541</v>
      </c>
      <c r="AL115" s="133">
        <v>5480.7663164245569</v>
      </c>
      <c r="AM115" s="134">
        <v>7368.6463470858871</v>
      </c>
      <c r="AN115" s="132">
        <v>7291.5151818635368</v>
      </c>
      <c r="AO115" s="133">
        <v>8459.2751151906541</v>
      </c>
      <c r="AP115" s="133">
        <v>9872.725380612379</v>
      </c>
      <c r="AQ115" s="134">
        <v>7865.3975978211138</v>
      </c>
      <c r="AR115" s="132">
        <v>8766.8720130390338</v>
      </c>
      <c r="AS115" s="133">
        <v>9106.7699753929992</v>
      </c>
      <c r="AT115" s="133">
        <v>14406.653639408687</v>
      </c>
      <c r="AU115" s="134">
        <v>8962.098258649492</v>
      </c>
      <c r="AV115" s="132">
        <v>9374.2741394633667</v>
      </c>
      <c r="AW115" s="133">
        <v>9390.356581160273</v>
      </c>
      <c r="AX115" s="133">
        <v>8244.7965245270243</v>
      </c>
      <c r="AY115" s="134">
        <v>8694.6530003360567</v>
      </c>
      <c r="AZ115" s="132">
        <v>9446.6221516544265</v>
      </c>
      <c r="BA115" s="133">
        <v>8439.4767566903247</v>
      </c>
      <c r="BB115" s="133">
        <v>9368.257085677038</v>
      </c>
      <c r="BC115" s="134">
        <v>8237.5520160711731</v>
      </c>
      <c r="BD115" s="132">
        <v>9165.0168883391871</v>
      </c>
      <c r="BE115" s="133">
        <v>8899.3922507165826</v>
      </c>
      <c r="BF115" s="133">
        <v>9796.5257081687578</v>
      </c>
      <c r="BG115" s="134">
        <v>10079.715745245114</v>
      </c>
      <c r="BH115" s="132">
        <v>14602.059437772172</v>
      </c>
      <c r="BI115" s="133">
        <v>14988.946862891808</v>
      </c>
      <c r="BJ115" s="133">
        <v>16802.600514053775</v>
      </c>
      <c r="BK115" s="134">
        <v>11512.744469381212</v>
      </c>
      <c r="BL115" s="132">
        <v>9392.5005872680304</v>
      </c>
      <c r="BM115" s="133">
        <v>10055.418109846609</v>
      </c>
      <c r="BN115" s="133">
        <v>10562.383132374749</v>
      </c>
      <c r="BO115" s="134">
        <v>10553.131149438592</v>
      </c>
      <c r="BP115" s="132">
        <v>10028.776978417265</v>
      </c>
      <c r="BQ115" s="133">
        <v>9339.7260273972606</v>
      </c>
      <c r="BR115" s="133">
        <v>10759.504181246664</v>
      </c>
      <c r="BS115" s="134">
        <v>11030.765825586543</v>
      </c>
      <c r="BT115" s="133">
        <v>10803.731294517416</v>
      </c>
      <c r="BU115" s="133"/>
      <c r="BV115" s="57"/>
      <c r="BW115" s="58"/>
      <c r="BX115" s="59"/>
      <c r="BY115" s="59"/>
      <c r="BZ115" s="59"/>
      <c r="CA115" s="59"/>
      <c r="CB115" s="59"/>
      <c r="CC115" s="59"/>
      <c r="CD115" s="59"/>
      <c r="CE115" s="59"/>
      <c r="CF115" s="59"/>
      <c r="CG115" s="59"/>
      <c r="CH115" s="59"/>
      <c r="CI115" s="59"/>
      <c r="CJ115" s="59"/>
      <c r="CK115" s="59"/>
      <c r="CL115" s="59"/>
    </row>
    <row r="116" spans="1:90" x14ac:dyDescent="0.25">
      <c r="A116" s="9"/>
      <c r="B116" s="9"/>
      <c r="C116" s="3" t="s">
        <v>21</v>
      </c>
      <c r="D116" s="3"/>
      <c r="E116" s="3"/>
      <c r="F116" s="20"/>
      <c r="G116" s="20"/>
      <c r="H116" s="132">
        <v>5217.5638790568273</v>
      </c>
      <c r="I116" s="133">
        <v>2191.9990646797064</v>
      </c>
      <c r="J116" s="133">
        <v>5666.116753135524</v>
      </c>
      <c r="K116" s="134">
        <v>7295.394677784162</v>
      </c>
      <c r="L116" s="132">
        <v>7283.0702162828693</v>
      </c>
      <c r="M116" s="133">
        <v>6885.4917942264865</v>
      </c>
      <c r="N116" s="133">
        <v>7149.621634665803</v>
      </c>
      <c r="O116" s="134">
        <v>7656.8685683306903</v>
      </c>
      <c r="P116" s="132">
        <v>9170.2056617410053</v>
      </c>
      <c r="Q116" s="133">
        <v>7992.183582689132</v>
      </c>
      <c r="R116" s="133">
        <v>9171.1319916753764</v>
      </c>
      <c r="S116" s="134">
        <v>9563.5173287671696</v>
      </c>
      <c r="T116" s="132">
        <v>8589.5126656349858</v>
      </c>
      <c r="U116" s="133">
        <v>7980.4120696639884</v>
      </c>
      <c r="V116" s="133">
        <v>8730.0373031170802</v>
      </c>
      <c r="W116" s="134">
        <v>9029.6052631578932</v>
      </c>
      <c r="X116" s="132">
        <v>9830.5722346813291</v>
      </c>
      <c r="Y116" s="133">
        <v>9867.4538376898981</v>
      </c>
      <c r="Z116" s="133">
        <v>0</v>
      </c>
      <c r="AA116" s="134">
        <v>11538.975962625273</v>
      </c>
      <c r="AB116" s="132">
        <v>8426.9233058160389</v>
      </c>
      <c r="AC116" s="133">
        <v>8478.9540248312205</v>
      </c>
      <c r="AD116" s="133">
        <v>10429.797240327327</v>
      </c>
      <c r="AE116" s="134">
        <v>9392.5791967734694</v>
      </c>
      <c r="AF116" s="132">
        <v>9019.9871846808674</v>
      </c>
      <c r="AG116" s="133">
        <v>7000.5944267035629</v>
      </c>
      <c r="AH116" s="133">
        <v>9634.2336957388488</v>
      </c>
      <c r="AI116" s="134">
        <v>0</v>
      </c>
      <c r="AJ116" s="132">
        <v>0</v>
      </c>
      <c r="AK116" s="133">
        <v>0</v>
      </c>
      <c r="AL116" s="133">
        <v>0</v>
      </c>
      <c r="AM116" s="134">
        <v>0</v>
      </c>
      <c r="AN116" s="132">
        <v>9925.6821212686264</v>
      </c>
      <c r="AO116" s="133">
        <v>0</v>
      </c>
      <c r="AP116" s="133">
        <v>0</v>
      </c>
      <c r="AQ116" s="134">
        <v>0</v>
      </c>
      <c r="AR116" s="132">
        <v>0</v>
      </c>
      <c r="AS116" s="133">
        <v>0</v>
      </c>
      <c r="AT116" s="133">
        <v>0</v>
      </c>
      <c r="AU116" s="134">
        <v>0</v>
      </c>
      <c r="AV116" s="132">
        <v>18859.012522609828</v>
      </c>
      <c r="AW116" s="133">
        <v>9120.5595171528712</v>
      </c>
      <c r="AX116" s="133">
        <v>0</v>
      </c>
      <c r="AY116" s="134">
        <v>8055.5396178782476</v>
      </c>
      <c r="AZ116" s="132">
        <v>9037.6970186079343</v>
      </c>
      <c r="BA116" s="133">
        <v>0</v>
      </c>
      <c r="BB116" s="133">
        <v>0</v>
      </c>
      <c r="BC116" s="134">
        <v>0</v>
      </c>
      <c r="BD116" s="132">
        <v>6232.3592213143547</v>
      </c>
      <c r="BE116" s="133">
        <v>5517.6206910775909</v>
      </c>
      <c r="BF116" s="133">
        <v>8342.4686686314344</v>
      </c>
      <c r="BG116" s="134">
        <v>10295.897337582976</v>
      </c>
      <c r="BH116" s="132">
        <v>47829.552866149723</v>
      </c>
      <c r="BI116" s="133">
        <v>0</v>
      </c>
      <c r="BJ116" s="133">
        <v>16118.813363750871</v>
      </c>
      <c r="BK116" s="134">
        <v>13094.982366142993</v>
      </c>
      <c r="BL116" s="132">
        <v>10500.675358233499</v>
      </c>
      <c r="BM116" s="133">
        <v>11711.034141514099</v>
      </c>
      <c r="BN116" s="133">
        <v>10756.463988651751</v>
      </c>
      <c r="BO116" s="134">
        <v>11798.066905891887</v>
      </c>
      <c r="BP116" s="132">
        <v>11396.749267252862</v>
      </c>
      <c r="BQ116" s="133">
        <v>11207.305936073059</v>
      </c>
      <c r="BR116" s="133">
        <v>11372.160607318663</v>
      </c>
      <c r="BS116" s="134">
        <v>12393.647631695441</v>
      </c>
      <c r="BT116" s="133">
        <v>11790.465921714698</v>
      </c>
      <c r="BU116" s="133"/>
      <c r="BV116" s="57"/>
      <c r="BW116" s="58"/>
      <c r="BX116" s="59"/>
      <c r="BY116" s="59"/>
      <c r="BZ116" s="59"/>
      <c r="CA116" s="59"/>
      <c r="CB116" s="59"/>
      <c r="CC116" s="59"/>
      <c r="CD116" s="59"/>
      <c r="CE116" s="59"/>
      <c r="CF116" s="59"/>
      <c r="CG116" s="59"/>
      <c r="CH116" s="59"/>
      <c r="CI116" s="59"/>
      <c r="CJ116" s="59"/>
      <c r="CK116" s="59"/>
      <c r="CL116" s="59"/>
    </row>
    <row r="117" spans="1:90" x14ac:dyDescent="0.25">
      <c r="A117" s="9"/>
      <c r="B117" s="9"/>
      <c r="C117" s="3" t="s">
        <v>22</v>
      </c>
      <c r="D117" s="3"/>
      <c r="E117" s="3"/>
      <c r="F117" s="20"/>
      <c r="G117" s="20"/>
      <c r="H117" s="132">
        <v>3819.0379151382626</v>
      </c>
      <c r="I117" s="133">
        <v>809.84547819587033</v>
      </c>
      <c r="J117" s="133">
        <v>4186.3017035942812</v>
      </c>
      <c r="K117" s="134">
        <v>7527.6146579381648</v>
      </c>
      <c r="L117" s="132">
        <v>6981.4127884152877</v>
      </c>
      <c r="M117" s="133">
        <v>-18.729026680683162</v>
      </c>
      <c r="N117" s="133">
        <v>4537.150530536268</v>
      </c>
      <c r="O117" s="134">
        <v>6705.0060110051209</v>
      </c>
      <c r="P117" s="132">
        <v>7429.4772361957057</v>
      </c>
      <c r="Q117" s="133">
        <v>4017.6773146363207</v>
      </c>
      <c r="R117" s="133">
        <v>6675.3313326427397</v>
      </c>
      <c r="S117" s="134">
        <v>8490.2661070070135</v>
      </c>
      <c r="T117" s="132">
        <v>7083.2867732561635</v>
      </c>
      <c r="U117" s="133">
        <v>2321.4563292501534</v>
      </c>
      <c r="V117" s="133">
        <v>6706.863883593207</v>
      </c>
      <c r="W117" s="134">
        <v>6943.5492303328647</v>
      </c>
      <c r="X117" s="132">
        <v>5240.0305018298686</v>
      </c>
      <c r="Y117" s="133">
        <v>7803.2920872896939</v>
      </c>
      <c r="Z117" s="133">
        <v>7686.2230518008055</v>
      </c>
      <c r="AA117" s="134">
        <v>8052.1542377280448</v>
      </c>
      <c r="AB117" s="132">
        <v>7268.8202695984019</v>
      </c>
      <c r="AC117" s="133">
        <v>4733.7385504702343</v>
      </c>
      <c r="AD117" s="133">
        <v>7908.6911121806743</v>
      </c>
      <c r="AE117" s="134">
        <v>6331.1449640880919</v>
      </c>
      <c r="AF117" s="132">
        <v>5020.4775345866592</v>
      </c>
      <c r="AG117" s="133">
        <v>615.09050638431654</v>
      </c>
      <c r="AH117" s="133">
        <v>7448.4047414187889</v>
      </c>
      <c r="AI117" s="134">
        <v>5394.0198162766947</v>
      </c>
      <c r="AJ117" s="132">
        <v>4240.7160247365318</v>
      </c>
      <c r="AK117" s="133">
        <v>1681.2340214692563</v>
      </c>
      <c r="AL117" s="133">
        <v>3931.4135002403964</v>
      </c>
      <c r="AM117" s="134">
        <v>6637.6279738779122</v>
      </c>
      <c r="AN117" s="132">
        <v>9445.3166671476301</v>
      </c>
      <c r="AO117" s="133">
        <v>4835.8541930416495</v>
      </c>
      <c r="AP117" s="133">
        <v>7957.6672286678158</v>
      </c>
      <c r="AQ117" s="134">
        <v>6455.0253108619163</v>
      </c>
      <c r="AR117" s="132">
        <v>6566.3272043122597</v>
      </c>
      <c r="AS117" s="133">
        <v>3792.9479554043473</v>
      </c>
      <c r="AT117" s="133">
        <v>5088.0329505711788</v>
      </c>
      <c r="AU117" s="134">
        <v>6021.7666051335145</v>
      </c>
      <c r="AV117" s="132">
        <v>3349.6463732075194</v>
      </c>
      <c r="AW117" s="133">
        <v>7899.9138792766535</v>
      </c>
      <c r="AX117" s="133">
        <v>6591.2189682225471</v>
      </c>
      <c r="AY117" s="134">
        <v>7083.9033725227628</v>
      </c>
      <c r="AZ117" s="132">
        <v>7014.2948190975094</v>
      </c>
      <c r="BA117" s="133">
        <v>5390.0349238537083</v>
      </c>
      <c r="BB117" s="133">
        <v>6749.0485613595929</v>
      </c>
      <c r="BC117" s="134">
        <v>8626.0230861268556</v>
      </c>
      <c r="BD117" s="132">
        <v>8926.2560186885221</v>
      </c>
      <c r="BE117" s="133">
        <v>10200.543759975604</v>
      </c>
      <c r="BF117" s="133">
        <v>9549.9912729977968</v>
      </c>
      <c r="BG117" s="134">
        <v>10965.086684864893</v>
      </c>
      <c r="BH117" s="132">
        <v>25875.777747869932</v>
      </c>
      <c r="BI117" s="133">
        <v>15129.238959723034</v>
      </c>
      <c r="BJ117" s="133">
        <v>16578.680479813615</v>
      </c>
      <c r="BK117" s="134">
        <v>14492.064764347546</v>
      </c>
      <c r="BL117" s="132">
        <v>11583.010335917314</v>
      </c>
      <c r="BM117" s="133">
        <v>8396.8332508659059</v>
      </c>
      <c r="BN117" s="133">
        <v>9531.3688825843055</v>
      </c>
      <c r="BO117" s="134">
        <v>12413.30015048038</v>
      </c>
      <c r="BP117" s="132">
        <v>12486.544630961896</v>
      </c>
      <c r="BQ117" s="133">
        <v>7074.8885844748866</v>
      </c>
      <c r="BR117" s="133">
        <v>10379.336931380105</v>
      </c>
      <c r="BS117" s="134">
        <v>12802.014718902168</v>
      </c>
      <c r="BT117" s="133">
        <v>10735.770763902505</v>
      </c>
      <c r="BU117" s="133"/>
      <c r="BV117" s="57"/>
      <c r="BW117" s="58"/>
      <c r="BX117" s="59"/>
      <c r="BY117" s="59"/>
      <c r="BZ117" s="59"/>
      <c r="CA117" s="59"/>
      <c r="CB117" s="59"/>
      <c r="CC117" s="59"/>
      <c r="CD117" s="59"/>
      <c r="CE117" s="59"/>
      <c r="CF117" s="59"/>
      <c r="CG117" s="59"/>
      <c r="CH117" s="59"/>
      <c r="CI117" s="59"/>
      <c r="CJ117" s="59"/>
      <c r="CK117" s="59"/>
      <c r="CL117" s="59"/>
    </row>
    <row r="118" spans="1:90" x14ac:dyDescent="0.25">
      <c r="A118" s="9"/>
      <c r="B118" s="9"/>
      <c r="C118" s="3" t="s">
        <v>23</v>
      </c>
      <c r="D118" s="3"/>
      <c r="E118" s="3"/>
      <c r="F118" s="20"/>
      <c r="G118" s="20"/>
      <c r="H118" s="132">
        <v>4784.8816506074572</v>
      </c>
      <c r="I118" s="133">
        <v>2944.2163025168402</v>
      </c>
      <c r="J118" s="133">
        <v>6329.5194198161771</v>
      </c>
      <c r="K118" s="134">
        <v>4684.7520025727072</v>
      </c>
      <c r="L118" s="132">
        <v>5370.435292734941</v>
      </c>
      <c r="M118" s="133">
        <v>5144.1346067561153</v>
      </c>
      <c r="N118" s="133">
        <v>6437.5714728374951</v>
      </c>
      <c r="O118" s="134">
        <v>5557.617676169597</v>
      </c>
      <c r="P118" s="132">
        <v>5901.3228011390383</v>
      </c>
      <c r="Q118" s="133">
        <v>5834.3734326780923</v>
      </c>
      <c r="R118" s="133">
        <v>6832.249793593468</v>
      </c>
      <c r="S118" s="134">
        <v>6653.6143544021115</v>
      </c>
      <c r="T118" s="132">
        <v>5805.3771522633442</v>
      </c>
      <c r="U118" s="133">
        <v>6632.3849193426868</v>
      </c>
      <c r="V118" s="133">
        <v>6860.1595722436905</v>
      </c>
      <c r="W118" s="134">
        <v>6478.1839061007931</v>
      </c>
      <c r="X118" s="132">
        <v>7441.348345020644</v>
      </c>
      <c r="Y118" s="133">
        <v>7029.3662876853095</v>
      </c>
      <c r="Z118" s="133">
        <v>7226.1944232567084</v>
      </c>
      <c r="AA118" s="134">
        <v>6830.0592437522691</v>
      </c>
      <c r="AB118" s="132">
        <v>6601.8585176765791</v>
      </c>
      <c r="AC118" s="133">
        <v>6275.0870962836198</v>
      </c>
      <c r="AD118" s="133">
        <v>6750.7748741816231</v>
      </c>
      <c r="AE118" s="134">
        <v>5539.1712939878189</v>
      </c>
      <c r="AF118" s="132">
        <v>5066.364062315165</v>
      </c>
      <c r="AG118" s="133">
        <v>6107.92121718824</v>
      </c>
      <c r="AH118" s="133">
        <v>7193.6320503671177</v>
      </c>
      <c r="AI118" s="134">
        <v>6146.9250690261715</v>
      </c>
      <c r="AJ118" s="132">
        <v>7991.2764049697998</v>
      </c>
      <c r="AK118" s="133">
        <v>8197.7482321948628</v>
      </c>
      <c r="AL118" s="133">
        <v>14309.898868709974</v>
      </c>
      <c r="AM118" s="134">
        <v>13326.130826263534</v>
      </c>
      <c r="AN118" s="132">
        <v>13179.31002100453</v>
      </c>
      <c r="AO118" s="133">
        <v>1103985.5186980141</v>
      </c>
      <c r="AP118" s="133">
        <v>21473.429269786062</v>
      </c>
      <c r="AQ118" s="134">
        <v>12778.450529596212</v>
      </c>
      <c r="AR118" s="132">
        <v>25091.538235738099</v>
      </c>
      <c r="AS118" s="133">
        <v>10657.241426590022</v>
      </c>
      <c r="AT118" s="133">
        <v>13501.553710050939</v>
      </c>
      <c r="AU118" s="134">
        <v>8121.2934218029332</v>
      </c>
      <c r="AV118" s="132">
        <v>48231.679542370483</v>
      </c>
      <c r="AW118" s="133">
        <v>7295.9673793752499</v>
      </c>
      <c r="AX118" s="133">
        <v>7363.9580991104185</v>
      </c>
      <c r="AY118" s="134">
        <v>5590.0687529777451</v>
      </c>
      <c r="AZ118" s="132">
        <v>5886.9451237790454</v>
      </c>
      <c r="BA118" s="133">
        <v>7255.2128475285554</v>
      </c>
      <c r="BB118" s="133">
        <v>9435.8769138511361</v>
      </c>
      <c r="BC118" s="134">
        <v>13535.106094495899</v>
      </c>
      <c r="BD118" s="132">
        <v>12482.877429799482</v>
      </c>
      <c r="BE118" s="133">
        <v>14653.932832787195</v>
      </c>
      <c r="BF118" s="133">
        <v>26439.266013402987</v>
      </c>
      <c r="BG118" s="134">
        <v>16674.072858532159</v>
      </c>
      <c r="BH118" s="132">
        <v>26072.63085977934</v>
      </c>
      <c r="BI118" s="133">
        <v>-38271.230416140977</v>
      </c>
      <c r="BJ118" s="133">
        <v>-60886.823365825046</v>
      </c>
      <c r="BK118" s="134">
        <v>20008.577697985238</v>
      </c>
      <c r="BL118" s="132">
        <v>19384.610607377963</v>
      </c>
      <c r="BM118" s="133">
        <v>25309.534568459108</v>
      </c>
      <c r="BN118" s="133">
        <v>20612.152826730584</v>
      </c>
      <c r="BO118" s="134">
        <v>16617.450618161154</v>
      </c>
      <c r="BP118" s="132">
        <v>16025.759917568266</v>
      </c>
      <c r="BQ118" s="133">
        <v>24734.442060085836</v>
      </c>
      <c r="BR118" s="133">
        <v>20061.313458022782</v>
      </c>
      <c r="BS118" s="134">
        <v>12068.77889277258</v>
      </c>
      <c r="BT118" s="133">
        <v>15731.925899194033</v>
      </c>
      <c r="BU118" s="133"/>
      <c r="BV118" s="57"/>
      <c r="BW118" s="58"/>
      <c r="BX118" s="59"/>
      <c r="BY118" s="59"/>
      <c r="BZ118" s="59"/>
      <c r="CA118" s="59"/>
      <c r="CB118" s="59"/>
      <c r="CC118" s="59"/>
      <c r="CD118" s="59"/>
      <c r="CE118" s="59"/>
      <c r="CF118" s="59"/>
      <c r="CG118" s="59"/>
      <c r="CH118" s="59"/>
      <c r="CI118" s="59"/>
      <c r="CJ118" s="59"/>
      <c r="CK118" s="59"/>
      <c r="CL118" s="59"/>
    </row>
    <row r="119" spans="1:90" x14ac:dyDescent="0.25">
      <c r="A119" s="9"/>
      <c r="B119" s="9"/>
      <c r="C119" s="3"/>
      <c r="D119" s="3"/>
      <c r="E119" s="3"/>
      <c r="F119" s="20"/>
      <c r="G119" s="20"/>
      <c r="H119" s="132"/>
      <c r="I119" s="133"/>
      <c r="J119" s="133"/>
      <c r="K119" s="134"/>
      <c r="L119" s="132"/>
      <c r="M119" s="133"/>
      <c r="N119" s="133"/>
      <c r="O119" s="134"/>
      <c r="P119" s="132"/>
      <c r="Q119" s="133"/>
      <c r="R119" s="133"/>
      <c r="S119" s="134"/>
      <c r="T119" s="132"/>
      <c r="U119" s="133"/>
      <c r="V119" s="133"/>
      <c r="W119" s="134"/>
      <c r="X119" s="132"/>
      <c r="Y119" s="133"/>
      <c r="Z119" s="133"/>
      <c r="AA119" s="134"/>
      <c r="AB119" s="132"/>
      <c r="AC119" s="133"/>
      <c r="AD119" s="133"/>
      <c r="AE119" s="134"/>
      <c r="AF119" s="132"/>
      <c r="AG119" s="133"/>
      <c r="AH119" s="133"/>
      <c r="AI119" s="134"/>
      <c r="AJ119" s="132"/>
      <c r="AK119" s="133"/>
      <c r="AL119" s="133"/>
      <c r="AM119" s="134"/>
      <c r="AN119" s="132"/>
      <c r="AO119" s="133"/>
      <c r="AP119" s="133"/>
      <c r="AQ119" s="134"/>
      <c r="AR119" s="132"/>
      <c r="AS119" s="133"/>
      <c r="AT119" s="133"/>
      <c r="AU119" s="134"/>
      <c r="AV119" s="132"/>
      <c r="AW119" s="133"/>
      <c r="AX119" s="133"/>
      <c r="AY119" s="134"/>
      <c r="AZ119" s="132"/>
      <c r="BA119" s="133"/>
      <c r="BB119" s="133"/>
      <c r="BC119" s="134"/>
      <c r="BD119" s="132"/>
      <c r="BE119" s="133"/>
      <c r="BF119" s="133"/>
      <c r="BG119" s="134"/>
      <c r="BH119" s="132"/>
      <c r="BI119" s="133"/>
      <c r="BJ119" s="133"/>
      <c r="BK119" s="134"/>
      <c r="BL119" s="132"/>
      <c r="BM119" s="133"/>
      <c r="BN119" s="133"/>
      <c r="BO119" s="134"/>
      <c r="BP119" s="132"/>
      <c r="BQ119" s="133"/>
      <c r="BR119" s="133"/>
      <c r="BS119" s="134"/>
      <c r="BT119" s="132"/>
      <c r="BU119" s="133"/>
      <c r="BV119" s="57"/>
      <c r="BW119" s="58"/>
      <c r="BX119" s="59"/>
      <c r="BY119" s="59"/>
      <c r="BZ119" s="59"/>
      <c r="CA119" s="59"/>
      <c r="CB119" s="59"/>
      <c r="CC119" s="59"/>
      <c r="CD119" s="59"/>
      <c r="CE119" s="59"/>
      <c r="CF119" s="59"/>
      <c r="CG119" s="59"/>
      <c r="CH119" s="59"/>
      <c r="CI119" s="59"/>
      <c r="CJ119" s="59"/>
      <c r="CK119" s="59"/>
      <c r="CL119" s="59"/>
    </row>
    <row r="120" spans="1:90" x14ac:dyDescent="0.25">
      <c r="A120" s="9"/>
      <c r="B120" s="9"/>
      <c r="C120" s="4" t="s">
        <v>32</v>
      </c>
      <c r="D120" s="46"/>
      <c r="E120" s="46"/>
      <c r="F120" s="46"/>
      <c r="G120" s="46"/>
      <c r="H120" s="30"/>
      <c r="I120" s="31"/>
      <c r="J120" s="31"/>
      <c r="K120" s="32"/>
      <c r="L120" s="30"/>
      <c r="M120" s="31"/>
      <c r="N120" s="31"/>
      <c r="O120" s="34"/>
      <c r="P120" s="61"/>
      <c r="Q120" s="33"/>
      <c r="R120" s="33"/>
      <c r="S120" s="34"/>
      <c r="T120" s="33"/>
      <c r="U120" s="33"/>
      <c r="V120" s="33"/>
      <c r="W120" s="36"/>
      <c r="X120" s="35"/>
      <c r="Y120" s="35"/>
      <c r="Z120" s="35"/>
      <c r="AA120" s="36"/>
      <c r="AB120" s="35"/>
      <c r="AC120" s="35"/>
      <c r="AD120" s="35"/>
      <c r="AE120" s="36"/>
      <c r="AF120" s="35"/>
      <c r="AG120" s="35"/>
      <c r="AH120" s="35"/>
      <c r="AI120" s="36"/>
      <c r="AJ120" s="35"/>
      <c r="AK120" s="35"/>
      <c r="AL120" s="35"/>
      <c r="AM120" s="36"/>
      <c r="AN120" s="35"/>
      <c r="AO120" s="35"/>
      <c r="AP120" s="35"/>
      <c r="AQ120" s="36"/>
      <c r="AR120" s="35"/>
      <c r="AS120" s="35"/>
      <c r="AT120" s="35"/>
      <c r="AU120" s="36"/>
      <c r="AV120" s="35"/>
      <c r="AW120" s="35"/>
      <c r="AX120" s="35"/>
      <c r="AY120" s="36"/>
      <c r="AZ120" s="35"/>
      <c r="BA120" s="35"/>
      <c r="BB120" s="35"/>
      <c r="BC120" s="36"/>
      <c r="BD120" s="35"/>
      <c r="BE120" s="35"/>
      <c r="BF120" s="35"/>
      <c r="BG120" s="36"/>
      <c r="BH120" s="35"/>
      <c r="BI120" s="35"/>
      <c r="BJ120" s="35"/>
      <c r="BK120" s="36"/>
      <c r="BL120" s="35"/>
      <c r="BM120" s="35"/>
      <c r="BN120" s="35"/>
      <c r="BO120" s="36"/>
      <c r="BP120" s="35"/>
      <c r="BQ120" s="35"/>
      <c r="BR120" s="35"/>
      <c r="BS120" s="36"/>
      <c r="BT120" s="35"/>
      <c r="BU120" s="35"/>
      <c r="BV120" s="35"/>
      <c r="BW120" s="36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</row>
    <row r="121" spans="1:90" x14ac:dyDescent="0.25">
      <c r="A121" s="9"/>
      <c r="B121" s="9"/>
      <c r="C121" s="3" t="s">
        <v>33</v>
      </c>
      <c r="D121" s="3"/>
      <c r="E121" s="3"/>
      <c r="F121" s="20"/>
      <c r="G121" s="20"/>
      <c r="H121" s="52"/>
      <c r="I121" s="31"/>
      <c r="J121" s="31"/>
      <c r="K121" s="32"/>
      <c r="L121" s="62">
        <v>102.54</v>
      </c>
      <c r="M121" s="63">
        <v>95.373333333333335</v>
      </c>
      <c r="N121" s="63">
        <v>81.040000000000006</v>
      </c>
      <c r="O121" s="64">
        <v>81.040000000000006</v>
      </c>
      <c r="P121" s="62">
        <v>81.040000000000006</v>
      </c>
      <c r="Q121" s="63">
        <v>79.626666666666665</v>
      </c>
      <c r="R121" s="63">
        <v>76.8</v>
      </c>
      <c r="S121" s="64">
        <v>76.8</v>
      </c>
      <c r="T121" s="63">
        <v>76.8</v>
      </c>
      <c r="U121" s="63">
        <v>82.486666666666665</v>
      </c>
      <c r="V121" s="63">
        <v>93.86</v>
      </c>
      <c r="W121" s="64">
        <v>93.86</v>
      </c>
      <c r="X121" s="63">
        <v>93.86</v>
      </c>
      <c r="Y121" s="63">
        <v>96.874703196347028</v>
      </c>
      <c r="Z121" s="63">
        <v>102.9041095890411</v>
      </c>
      <c r="AA121" s="64">
        <v>102.9041095890411</v>
      </c>
      <c r="AB121" s="63">
        <v>103</v>
      </c>
      <c r="AC121" s="63"/>
      <c r="AD121" s="63">
        <v>90.21</v>
      </c>
      <c r="AE121" s="64">
        <v>90.21</v>
      </c>
      <c r="AF121" s="65">
        <v>90.21</v>
      </c>
      <c r="AG121" s="65">
        <v>137.126301369863</v>
      </c>
      <c r="AH121" s="65">
        <v>230.95890410958907</v>
      </c>
      <c r="AI121" s="66">
        <v>230.95890410958907</v>
      </c>
      <c r="AJ121" s="65">
        <v>230.95890410958907</v>
      </c>
      <c r="AK121" s="67">
        <v>258.63013698630141</v>
      </c>
      <c r="AL121" s="65">
        <v>313.97260273972609</v>
      </c>
      <c r="AM121" s="68">
        <v>313.97260273972609</v>
      </c>
      <c r="AN121" s="67">
        <v>313.97260273972609</v>
      </c>
      <c r="AO121" s="67">
        <v>286.35616438356169</v>
      </c>
      <c r="AP121" s="65">
        <v>231.12328767123287</v>
      </c>
      <c r="AQ121" s="68">
        <v>231.12328767123287</v>
      </c>
      <c r="AR121" s="67">
        <v>231.12328767123287</v>
      </c>
      <c r="AS121" s="67">
        <v>212.16438356164383</v>
      </c>
      <c r="AT121" s="65">
        <v>174.24657534246575</v>
      </c>
      <c r="AU121" s="68">
        <v>174.24657534246575</v>
      </c>
      <c r="AV121" s="67">
        <v>174.24657534246575</v>
      </c>
      <c r="AW121" s="67">
        <v>166.90410958904107</v>
      </c>
      <c r="AX121" s="65">
        <v>152.21917808219177</v>
      </c>
      <c r="AY121" s="68">
        <v>152.21917808219177</v>
      </c>
      <c r="AZ121" s="67">
        <v>152.21917808219177</v>
      </c>
      <c r="BA121" s="67">
        <v>143.12328767123284</v>
      </c>
      <c r="BB121" s="65">
        <v>124.93150684931504</v>
      </c>
      <c r="BC121" s="68">
        <v>124.93150684931504</v>
      </c>
      <c r="BD121" s="67">
        <v>124.93150684931504</v>
      </c>
      <c r="BE121" s="67">
        <v>124.93150684931504</v>
      </c>
      <c r="BF121" s="65">
        <v>124.93150684931504</v>
      </c>
      <c r="BG121" s="68">
        <v>124.93150684931504</v>
      </c>
      <c r="BH121" s="67">
        <v>124.93150684931504</v>
      </c>
      <c r="BI121" s="67">
        <v>124.93150684931504</v>
      </c>
      <c r="BJ121" s="65">
        <v>124.93150684931504</v>
      </c>
      <c r="BK121" s="68">
        <v>124.93150684931504</v>
      </c>
      <c r="BL121" s="67">
        <v>124.93150684931504</v>
      </c>
      <c r="BM121" s="67">
        <v>124.93150684931504</v>
      </c>
      <c r="BN121" s="65">
        <v>124.93150684931504</v>
      </c>
      <c r="BO121" s="68">
        <v>124.93150684931504</v>
      </c>
      <c r="BP121" s="67">
        <v>124.93150684931504</v>
      </c>
      <c r="BQ121" s="67">
        <v>124.93150684931504</v>
      </c>
      <c r="BR121" s="65"/>
      <c r="BS121" s="68"/>
      <c r="BT121" s="67"/>
      <c r="BU121" s="67"/>
      <c r="BV121" s="65"/>
      <c r="BW121" s="68"/>
      <c r="BX121" s="59"/>
      <c r="BY121" s="59"/>
      <c r="BZ121" s="59"/>
      <c r="CA121" s="59"/>
      <c r="CB121" s="59"/>
      <c r="CC121" s="59"/>
      <c r="CD121" s="59"/>
      <c r="CE121" s="59"/>
      <c r="CF121" s="59"/>
      <c r="CG121" s="59"/>
      <c r="CH121" s="59"/>
      <c r="CI121" s="59"/>
      <c r="CJ121" s="59"/>
      <c r="CK121" s="59"/>
      <c r="CL121" s="59"/>
    </row>
    <row r="122" spans="1:90" x14ac:dyDescent="0.25">
      <c r="A122" s="9"/>
      <c r="B122" s="9"/>
      <c r="C122" s="3" t="s">
        <v>34</v>
      </c>
      <c r="D122" s="3"/>
      <c r="E122" s="3"/>
      <c r="F122" s="20"/>
      <c r="G122" s="20"/>
      <c r="H122" s="52"/>
      <c r="I122" s="53"/>
      <c r="J122" s="53"/>
      <c r="K122" s="54"/>
      <c r="L122" s="62">
        <v>102.54</v>
      </c>
      <c r="M122" s="63">
        <v>96.14</v>
      </c>
      <c r="N122" s="63">
        <v>83.34</v>
      </c>
      <c r="O122" s="64">
        <v>83.34</v>
      </c>
      <c r="P122" s="62">
        <v>83.34</v>
      </c>
      <c r="Q122" s="63">
        <v>83.13333333333334</v>
      </c>
      <c r="R122" s="63">
        <v>82.72</v>
      </c>
      <c r="S122" s="64">
        <v>82.72</v>
      </c>
      <c r="T122" s="63">
        <v>82.72</v>
      </c>
      <c r="U122" s="63">
        <v>86.433333333333337</v>
      </c>
      <c r="V122" s="63">
        <v>93.86</v>
      </c>
      <c r="W122" s="64">
        <v>93.86</v>
      </c>
      <c r="X122" s="63">
        <v>93.86</v>
      </c>
      <c r="Y122" s="63">
        <v>96.874703196347028</v>
      </c>
      <c r="Z122" s="63">
        <v>102.9041095890411</v>
      </c>
      <c r="AA122" s="64">
        <v>102.9041095890411</v>
      </c>
      <c r="AB122" s="63">
        <v>103</v>
      </c>
      <c r="AC122" s="63"/>
      <c r="AD122" s="63">
        <v>90.21</v>
      </c>
      <c r="AE122" s="64">
        <v>90.21</v>
      </c>
      <c r="AF122" s="65">
        <v>90.21</v>
      </c>
      <c r="AG122" s="65">
        <v>137.126301369863</v>
      </c>
      <c r="AH122" s="65">
        <v>230.95890410958907</v>
      </c>
      <c r="AI122" s="66">
        <v>230.95890410958907</v>
      </c>
      <c r="AJ122" s="65">
        <v>230.95890410958907</v>
      </c>
      <c r="AK122" s="67">
        <v>258.63013698630141</v>
      </c>
      <c r="AL122" s="65">
        <v>313.97260273972609</v>
      </c>
      <c r="AM122" s="68">
        <v>313.97260273972609</v>
      </c>
      <c r="AN122" s="67">
        <v>313.97260273972609</v>
      </c>
      <c r="AO122" s="67">
        <v>286.35616438356169</v>
      </c>
      <c r="AP122" s="65">
        <v>231.12328767123287</v>
      </c>
      <c r="AQ122" s="68">
        <v>231.12328767123287</v>
      </c>
      <c r="AR122" s="67">
        <v>231.12328767123287</v>
      </c>
      <c r="AS122" s="67">
        <v>212.16438356164383</v>
      </c>
      <c r="AT122" s="65">
        <v>174.24657534246575</v>
      </c>
      <c r="AU122" s="68">
        <v>174.24657534246575</v>
      </c>
      <c r="AV122" s="67">
        <v>174.24657534246575</v>
      </c>
      <c r="AW122" s="67">
        <v>166.90410958904107</v>
      </c>
      <c r="AX122" s="65">
        <v>152.21917808219177</v>
      </c>
      <c r="AY122" s="68">
        <v>152.21917808219177</v>
      </c>
      <c r="AZ122" s="67">
        <v>152.21917808219177</v>
      </c>
      <c r="BA122" s="67">
        <v>143.12328767123284</v>
      </c>
      <c r="BB122" s="65">
        <v>124.93150684931504</v>
      </c>
      <c r="BC122" s="68">
        <v>124.93150684931504</v>
      </c>
      <c r="BD122" s="67">
        <v>124.93150684931504</v>
      </c>
      <c r="BE122" s="67">
        <v>124.93150684931504</v>
      </c>
      <c r="BF122" s="65">
        <v>124.93150684931504</v>
      </c>
      <c r="BG122" s="68">
        <v>124.93150684931504</v>
      </c>
      <c r="BH122" s="67">
        <v>124.93150684931504</v>
      </c>
      <c r="BI122" s="67">
        <v>124.93150684931504</v>
      </c>
      <c r="BJ122" s="65">
        <v>124.93150684931504</v>
      </c>
      <c r="BK122" s="68">
        <v>124.93150684931504</v>
      </c>
      <c r="BL122" s="67">
        <v>124.93150684931504</v>
      </c>
      <c r="BM122" s="67">
        <v>124.93150684931504</v>
      </c>
      <c r="BN122" s="65">
        <v>124.93150684931504</v>
      </c>
      <c r="BO122" s="68">
        <v>124.93150684931504</v>
      </c>
      <c r="BP122" s="67">
        <v>124.93150684931504</v>
      </c>
      <c r="BQ122" s="67">
        <v>124.93150684931504</v>
      </c>
      <c r="BR122" s="65"/>
      <c r="BS122" s="68"/>
      <c r="BT122" s="67"/>
      <c r="BU122" s="67"/>
      <c r="BV122" s="65"/>
      <c r="BW122" s="68"/>
      <c r="BX122" s="59"/>
      <c r="BY122" s="59"/>
      <c r="BZ122" s="59"/>
      <c r="CA122" s="59"/>
      <c r="CB122" s="59"/>
      <c r="CC122" s="59"/>
      <c r="CD122" s="59"/>
      <c r="CE122" s="59"/>
      <c r="CF122" s="59"/>
      <c r="CG122" s="59"/>
      <c r="CH122" s="59"/>
      <c r="CI122" s="59"/>
      <c r="CJ122" s="59"/>
      <c r="CK122" s="59"/>
      <c r="CL122" s="59"/>
    </row>
    <row r="123" spans="1:90" x14ac:dyDescent="0.25">
      <c r="A123" s="9"/>
      <c r="B123" s="9"/>
      <c r="C123" s="3" t="s">
        <v>35</v>
      </c>
      <c r="D123" s="3"/>
      <c r="E123" s="3"/>
      <c r="F123" s="20"/>
      <c r="G123" s="20"/>
      <c r="H123" s="52"/>
      <c r="I123" s="53"/>
      <c r="J123" s="53"/>
      <c r="K123" s="54"/>
      <c r="L123" s="62">
        <v>110</v>
      </c>
      <c r="M123" s="63">
        <v>78.819999999999993</v>
      </c>
      <c r="N123" s="63">
        <v>16.46</v>
      </c>
      <c r="O123" s="64">
        <v>16.46</v>
      </c>
      <c r="P123" s="62">
        <v>16.46</v>
      </c>
      <c r="Q123" s="63">
        <v>20.216666666666669</v>
      </c>
      <c r="R123" s="63">
        <v>27.73</v>
      </c>
      <c r="S123" s="64">
        <v>27.73</v>
      </c>
      <c r="T123" s="63">
        <v>27.73</v>
      </c>
      <c r="U123" s="63">
        <v>60.483333333333327</v>
      </c>
      <c r="V123" s="63">
        <v>125.99</v>
      </c>
      <c r="W123" s="64">
        <v>125.99</v>
      </c>
      <c r="X123" s="63">
        <v>125.99</v>
      </c>
      <c r="Y123" s="63">
        <v>129.32666666666668</v>
      </c>
      <c r="Z123" s="63">
        <v>136</v>
      </c>
      <c r="AA123" s="64">
        <v>136</v>
      </c>
      <c r="AB123" s="63">
        <v>136</v>
      </c>
      <c r="AC123" s="63"/>
      <c r="AD123" s="63">
        <v>59.37</v>
      </c>
      <c r="AE123" s="64">
        <v>59.37</v>
      </c>
      <c r="AF123" s="65">
        <v>59.37</v>
      </c>
      <c r="AG123" s="65">
        <v>79.58</v>
      </c>
      <c r="AH123" s="65">
        <v>120</v>
      </c>
      <c r="AI123" s="66">
        <v>120</v>
      </c>
      <c r="AJ123" s="65">
        <v>120</v>
      </c>
      <c r="AK123" s="67">
        <v>134.92333333333335</v>
      </c>
      <c r="AL123" s="69">
        <v>164.77</v>
      </c>
      <c r="AM123" s="68">
        <v>164.77</v>
      </c>
      <c r="AN123" s="67">
        <v>164.77</v>
      </c>
      <c r="AO123" s="67">
        <v>143.18</v>
      </c>
      <c r="AP123" s="69">
        <v>100</v>
      </c>
      <c r="AQ123" s="68">
        <v>100</v>
      </c>
      <c r="AR123" s="67">
        <v>100</v>
      </c>
      <c r="AS123" s="67">
        <v>92.176666666666648</v>
      </c>
      <c r="AT123" s="69">
        <v>76.53</v>
      </c>
      <c r="AU123" s="68">
        <v>76.53</v>
      </c>
      <c r="AV123" s="67">
        <v>76.53</v>
      </c>
      <c r="AW123" s="67">
        <v>97.686666666666667</v>
      </c>
      <c r="AX123" s="69">
        <v>140</v>
      </c>
      <c r="AY123" s="68">
        <v>140</v>
      </c>
      <c r="AZ123" s="67">
        <v>140</v>
      </c>
      <c r="BA123" s="67">
        <v>110</v>
      </c>
      <c r="BB123" s="65">
        <v>50</v>
      </c>
      <c r="BC123" s="68">
        <v>50</v>
      </c>
      <c r="BD123" s="67">
        <v>50</v>
      </c>
      <c r="BE123" s="67">
        <v>44.709999999999994</v>
      </c>
      <c r="BF123" s="65">
        <v>34.130000000000003</v>
      </c>
      <c r="BG123" s="68">
        <v>34.130000000000003</v>
      </c>
      <c r="BH123" s="67">
        <v>34.130000000000003</v>
      </c>
      <c r="BI123" s="67">
        <v>34.130000000000003</v>
      </c>
      <c r="BJ123" s="67">
        <v>34.130000000000003</v>
      </c>
      <c r="BK123" s="68">
        <v>34.130000000000003</v>
      </c>
      <c r="BL123" s="67">
        <v>34.130000000000003</v>
      </c>
      <c r="BM123" s="67">
        <v>34.130000000000003</v>
      </c>
      <c r="BN123" s="67">
        <v>34.130000000000003</v>
      </c>
      <c r="BO123" s="68">
        <v>34.130000000000003</v>
      </c>
      <c r="BP123" s="67">
        <v>34.130000000000003</v>
      </c>
      <c r="BQ123" s="67">
        <v>34.130000000000003</v>
      </c>
      <c r="BR123" s="67"/>
      <c r="BS123" s="68"/>
      <c r="BT123" s="67"/>
      <c r="BU123" s="67"/>
      <c r="BV123" s="67"/>
      <c r="BW123" s="68"/>
      <c r="BX123" s="59"/>
      <c r="BY123" s="59"/>
      <c r="BZ123" s="59"/>
      <c r="CA123" s="59"/>
      <c r="CB123" s="59"/>
      <c r="CC123" s="59"/>
      <c r="CD123" s="59"/>
      <c r="CE123" s="59"/>
      <c r="CF123" s="59"/>
      <c r="CG123" s="59"/>
      <c r="CH123" s="59"/>
      <c r="CI123" s="59"/>
      <c r="CJ123" s="59"/>
      <c r="CK123" s="59"/>
      <c r="CL123" s="59"/>
    </row>
    <row r="124" spans="1:90" x14ac:dyDescent="0.25">
      <c r="A124" s="9"/>
      <c r="B124" s="9"/>
      <c r="C124" s="3" t="s">
        <v>36</v>
      </c>
      <c r="D124" s="3"/>
      <c r="E124" s="3"/>
      <c r="F124" s="20"/>
      <c r="G124" s="20"/>
      <c r="H124" s="52"/>
      <c r="I124" s="53"/>
      <c r="J124" s="53"/>
      <c r="K124" s="54"/>
      <c r="L124" s="62">
        <v>110</v>
      </c>
      <c r="M124" s="63">
        <v>117.79</v>
      </c>
      <c r="N124" s="63">
        <v>133.37</v>
      </c>
      <c r="O124" s="64">
        <v>133.37</v>
      </c>
      <c r="P124" s="62">
        <v>133.37</v>
      </c>
      <c r="Q124" s="63">
        <v>164.29666666666665</v>
      </c>
      <c r="R124" s="63">
        <v>226.15</v>
      </c>
      <c r="S124" s="64">
        <v>226.15</v>
      </c>
      <c r="T124" s="63">
        <v>226.15</v>
      </c>
      <c r="U124" s="63">
        <v>196.26666666666665</v>
      </c>
      <c r="V124" s="63">
        <v>136.5</v>
      </c>
      <c r="W124" s="64">
        <v>136.5</v>
      </c>
      <c r="X124" s="63">
        <v>136.5</v>
      </c>
      <c r="Y124" s="63">
        <v>146.82</v>
      </c>
      <c r="Z124" s="63">
        <v>167.46</v>
      </c>
      <c r="AA124" s="64">
        <v>167.46</v>
      </c>
      <c r="AB124" s="63">
        <v>167.46</v>
      </c>
      <c r="AC124" s="63"/>
      <c r="AD124" s="63">
        <v>119.13</v>
      </c>
      <c r="AE124" s="64">
        <v>119.13</v>
      </c>
      <c r="AF124" s="65">
        <v>119.13</v>
      </c>
      <c r="AG124" s="65">
        <v>119.41999999999999</v>
      </c>
      <c r="AH124" s="65">
        <v>120</v>
      </c>
      <c r="AI124" s="66">
        <v>120</v>
      </c>
      <c r="AJ124" s="65">
        <v>120</v>
      </c>
      <c r="AK124" s="67">
        <v>134.92333333333335</v>
      </c>
      <c r="AL124" s="69">
        <v>164.77</v>
      </c>
      <c r="AM124" s="68">
        <v>164.77</v>
      </c>
      <c r="AN124" s="67">
        <v>164.77</v>
      </c>
      <c r="AO124" s="67">
        <v>143.18</v>
      </c>
      <c r="AP124" s="69">
        <v>100</v>
      </c>
      <c r="AQ124" s="68">
        <v>100</v>
      </c>
      <c r="AR124" s="67">
        <v>100</v>
      </c>
      <c r="AS124" s="67">
        <v>95.346666666666664</v>
      </c>
      <c r="AT124" s="69">
        <v>86.04</v>
      </c>
      <c r="AU124" s="68">
        <v>86.04</v>
      </c>
      <c r="AV124" s="67">
        <v>86.04</v>
      </c>
      <c r="AW124" s="67">
        <v>104.02666666666667</v>
      </c>
      <c r="AX124" s="69">
        <v>140</v>
      </c>
      <c r="AY124" s="68">
        <v>140</v>
      </c>
      <c r="AZ124" s="67">
        <v>140</v>
      </c>
      <c r="BA124" s="67">
        <v>125.26333333333332</v>
      </c>
      <c r="BB124" s="65">
        <v>95.79</v>
      </c>
      <c r="BC124" s="68">
        <v>95.79</v>
      </c>
      <c r="BD124" s="67">
        <v>95.79</v>
      </c>
      <c r="BE124" s="67">
        <v>80.356666666666669</v>
      </c>
      <c r="BF124" s="65">
        <v>49.49</v>
      </c>
      <c r="BG124" s="68">
        <v>49.49</v>
      </c>
      <c r="BH124" s="67">
        <v>49.49</v>
      </c>
      <c r="BI124" s="67">
        <v>49.49</v>
      </c>
      <c r="BJ124" s="67">
        <v>49.49</v>
      </c>
      <c r="BK124" s="68">
        <v>49.49</v>
      </c>
      <c r="BL124" s="67">
        <v>49.49</v>
      </c>
      <c r="BM124" s="67">
        <v>49.49</v>
      </c>
      <c r="BN124" s="67">
        <v>49.49</v>
      </c>
      <c r="BO124" s="68">
        <v>49.49</v>
      </c>
      <c r="BP124" s="67">
        <v>49.49</v>
      </c>
      <c r="BQ124" s="67">
        <v>49.49</v>
      </c>
      <c r="BR124" s="67"/>
      <c r="BS124" s="68"/>
      <c r="BT124" s="67"/>
      <c r="BU124" s="67"/>
      <c r="BV124" s="67"/>
      <c r="BW124" s="68"/>
      <c r="BX124" s="59"/>
      <c r="BY124" s="59"/>
      <c r="BZ124" s="59"/>
      <c r="CA124" s="59"/>
      <c r="CB124" s="59"/>
      <c r="CC124" s="59"/>
      <c r="CD124" s="59"/>
      <c r="CE124" s="59"/>
      <c r="CF124" s="59"/>
      <c r="CG124" s="59"/>
      <c r="CH124" s="59"/>
      <c r="CI124" s="59"/>
      <c r="CJ124" s="59"/>
      <c r="CK124" s="59"/>
      <c r="CL124" s="59"/>
    </row>
    <row r="125" spans="1:90" x14ac:dyDescent="0.25">
      <c r="A125" s="9"/>
      <c r="B125" s="9"/>
      <c r="C125" s="3" t="s">
        <v>37</v>
      </c>
      <c r="D125" s="3"/>
      <c r="E125" s="3"/>
      <c r="F125" s="20"/>
      <c r="G125" s="20"/>
      <c r="H125" s="52"/>
      <c r="I125" s="53"/>
      <c r="J125" s="53"/>
      <c r="K125" s="54"/>
      <c r="L125" s="62">
        <v>110</v>
      </c>
      <c r="M125" s="63">
        <v>117.79</v>
      </c>
      <c r="N125" s="63">
        <v>133.37</v>
      </c>
      <c r="O125" s="64">
        <v>133.37</v>
      </c>
      <c r="P125" s="62">
        <v>133.37</v>
      </c>
      <c r="Q125" s="63">
        <v>164.29666666666665</v>
      </c>
      <c r="R125" s="63">
        <v>226.15</v>
      </c>
      <c r="S125" s="64">
        <v>226.15</v>
      </c>
      <c r="T125" s="63">
        <v>226.15</v>
      </c>
      <c r="U125" s="63">
        <v>196.26666666666665</v>
      </c>
      <c r="V125" s="63">
        <v>136.5</v>
      </c>
      <c r="W125" s="64">
        <v>136.5</v>
      </c>
      <c r="X125" s="63">
        <v>136.5</v>
      </c>
      <c r="Y125" s="63">
        <v>146.82</v>
      </c>
      <c r="Z125" s="63">
        <v>167.46</v>
      </c>
      <c r="AA125" s="64">
        <v>167.46</v>
      </c>
      <c r="AB125" s="63">
        <v>167.46</v>
      </c>
      <c r="AC125" s="63"/>
      <c r="AD125" s="63">
        <v>119.13</v>
      </c>
      <c r="AE125" s="64">
        <v>119.13</v>
      </c>
      <c r="AF125" s="65">
        <v>119.13</v>
      </c>
      <c r="AG125" s="65">
        <v>119.41999999999999</v>
      </c>
      <c r="AH125" s="65">
        <v>120</v>
      </c>
      <c r="AI125" s="66">
        <v>120</v>
      </c>
      <c r="AJ125" s="65">
        <v>120</v>
      </c>
      <c r="AK125" s="67">
        <v>134.92333333333335</v>
      </c>
      <c r="AL125" s="69">
        <v>164.77</v>
      </c>
      <c r="AM125" s="68">
        <v>164.77</v>
      </c>
      <c r="AN125" s="67">
        <v>164.77</v>
      </c>
      <c r="AO125" s="67">
        <v>143.18</v>
      </c>
      <c r="AP125" s="69">
        <v>100</v>
      </c>
      <c r="AQ125" s="68">
        <v>100</v>
      </c>
      <c r="AR125" s="67">
        <v>100</v>
      </c>
      <c r="AS125" s="67">
        <v>95.346666666666664</v>
      </c>
      <c r="AT125" s="69">
        <v>86.04</v>
      </c>
      <c r="AU125" s="68">
        <v>86.04</v>
      </c>
      <c r="AV125" s="67">
        <v>86.04</v>
      </c>
      <c r="AW125" s="67">
        <v>104.02666666666667</v>
      </c>
      <c r="AX125" s="69">
        <v>140</v>
      </c>
      <c r="AY125" s="68">
        <v>140</v>
      </c>
      <c r="AZ125" s="67">
        <v>140</v>
      </c>
      <c r="BA125" s="67">
        <v>125.26333333333332</v>
      </c>
      <c r="BB125" s="65">
        <v>95.79</v>
      </c>
      <c r="BC125" s="68">
        <v>95.79</v>
      </c>
      <c r="BD125" s="67">
        <v>95.79</v>
      </c>
      <c r="BE125" s="67">
        <v>80.356666666666669</v>
      </c>
      <c r="BF125" s="65">
        <v>49.49</v>
      </c>
      <c r="BG125" s="68">
        <v>49.49</v>
      </c>
      <c r="BH125" s="67">
        <v>49.49</v>
      </c>
      <c r="BI125" s="67">
        <v>49.49</v>
      </c>
      <c r="BJ125" s="67">
        <v>49.49</v>
      </c>
      <c r="BK125" s="68">
        <v>49.49</v>
      </c>
      <c r="BL125" s="67">
        <v>49.49</v>
      </c>
      <c r="BM125" s="67">
        <v>49.49</v>
      </c>
      <c r="BN125" s="67">
        <v>49.49</v>
      </c>
      <c r="BO125" s="68">
        <v>49.49</v>
      </c>
      <c r="BP125" s="67">
        <v>49.49</v>
      </c>
      <c r="BQ125" s="67">
        <v>49.49</v>
      </c>
      <c r="BR125" s="67"/>
      <c r="BS125" s="68"/>
      <c r="BT125" s="67"/>
      <c r="BU125" s="67"/>
      <c r="BV125" s="67"/>
      <c r="BW125" s="68"/>
      <c r="BX125" s="59"/>
      <c r="BY125" s="59"/>
      <c r="BZ125" s="59"/>
      <c r="CA125" s="59"/>
      <c r="CB125" s="59"/>
      <c r="CC125" s="59"/>
      <c r="CD125" s="59"/>
      <c r="CE125" s="59"/>
      <c r="CF125" s="59"/>
      <c r="CG125" s="59"/>
      <c r="CH125" s="59"/>
      <c r="CI125" s="59"/>
      <c r="CJ125" s="59"/>
      <c r="CK125" s="59"/>
      <c r="CL125" s="59"/>
    </row>
    <row r="126" spans="1:90" x14ac:dyDescent="0.25">
      <c r="A126" s="9"/>
      <c r="B126" s="9"/>
      <c r="C126" s="3" t="s">
        <v>38</v>
      </c>
      <c r="D126" s="3"/>
      <c r="E126" s="3"/>
      <c r="F126" s="20"/>
      <c r="G126" s="20"/>
      <c r="H126" s="52"/>
      <c r="I126" s="53"/>
      <c r="J126" s="53"/>
      <c r="K126" s="54"/>
      <c r="L126" s="62">
        <v>110</v>
      </c>
      <c r="M126" s="63">
        <v>119.91</v>
      </c>
      <c r="N126" s="63">
        <v>139.72999999999999</v>
      </c>
      <c r="O126" s="64">
        <v>139.72999999999999</v>
      </c>
      <c r="P126" s="62">
        <v>139.72999999999999</v>
      </c>
      <c r="Q126" s="63">
        <v>174.82</v>
      </c>
      <c r="R126" s="63">
        <v>245</v>
      </c>
      <c r="S126" s="64">
        <v>245</v>
      </c>
      <c r="T126" s="63">
        <v>245</v>
      </c>
      <c r="U126" s="63">
        <v>208.83333333333334</v>
      </c>
      <c r="V126" s="63">
        <v>136.5</v>
      </c>
      <c r="W126" s="64">
        <v>136.5</v>
      </c>
      <c r="X126" s="63">
        <v>136.5</v>
      </c>
      <c r="Y126" s="63">
        <v>146.82</v>
      </c>
      <c r="Z126" s="63">
        <v>167.46</v>
      </c>
      <c r="AA126" s="64">
        <v>167.46</v>
      </c>
      <c r="AB126" s="63">
        <v>167.46</v>
      </c>
      <c r="AC126" s="63"/>
      <c r="AD126" s="63">
        <v>119.13</v>
      </c>
      <c r="AE126" s="64">
        <v>119.13</v>
      </c>
      <c r="AF126" s="65">
        <v>119.13</v>
      </c>
      <c r="AG126" s="65">
        <v>119.41999999999999</v>
      </c>
      <c r="AH126" s="65">
        <v>120</v>
      </c>
      <c r="AI126" s="66">
        <v>120</v>
      </c>
      <c r="AJ126" s="65">
        <v>120</v>
      </c>
      <c r="AK126" s="67">
        <v>155.13999999999999</v>
      </c>
      <c r="AL126" s="69">
        <v>225.42</v>
      </c>
      <c r="AM126" s="68">
        <v>225.42</v>
      </c>
      <c r="AN126" s="67">
        <v>225.42</v>
      </c>
      <c r="AO126" s="67">
        <v>190.27999999999997</v>
      </c>
      <c r="AP126" s="69">
        <v>120</v>
      </c>
      <c r="AQ126" s="68">
        <v>120</v>
      </c>
      <c r="AR126" s="67">
        <v>120</v>
      </c>
      <c r="AS126" s="67">
        <v>142.62333333333333</v>
      </c>
      <c r="AT126" s="69">
        <v>187.87</v>
      </c>
      <c r="AU126" s="68">
        <v>187.87</v>
      </c>
      <c r="AV126" s="67">
        <v>187.87</v>
      </c>
      <c r="AW126" s="67">
        <v>180.49</v>
      </c>
      <c r="AX126" s="69">
        <v>165.73</v>
      </c>
      <c r="AY126" s="68">
        <v>165.73</v>
      </c>
      <c r="AZ126" s="67">
        <v>165.73</v>
      </c>
      <c r="BA126" s="67">
        <v>143.10666666666665</v>
      </c>
      <c r="BB126" s="65">
        <v>97.86</v>
      </c>
      <c r="BC126" s="68">
        <v>97.86</v>
      </c>
      <c r="BD126" s="67">
        <v>97.86</v>
      </c>
      <c r="BE126" s="67">
        <v>81.736666666666665</v>
      </c>
      <c r="BF126" s="65">
        <v>49.49</v>
      </c>
      <c r="BG126" s="68">
        <v>49.49</v>
      </c>
      <c r="BH126" s="67">
        <v>49.49</v>
      </c>
      <c r="BI126" s="67">
        <v>49.49</v>
      </c>
      <c r="BJ126" s="67">
        <v>49.49</v>
      </c>
      <c r="BK126" s="68">
        <v>49.49</v>
      </c>
      <c r="BL126" s="67">
        <v>49.49</v>
      </c>
      <c r="BM126" s="67">
        <v>49.49</v>
      </c>
      <c r="BN126" s="67">
        <v>49.49</v>
      </c>
      <c r="BO126" s="68">
        <v>49.49</v>
      </c>
      <c r="BP126" s="67">
        <v>49.49</v>
      </c>
      <c r="BQ126" s="67">
        <v>49.49</v>
      </c>
      <c r="BR126" s="67"/>
      <c r="BS126" s="68"/>
      <c r="BT126" s="67"/>
      <c r="BU126" s="67"/>
      <c r="BV126" s="67"/>
      <c r="BW126" s="68"/>
      <c r="BX126" s="59"/>
      <c r="BY126" s="59"/>
      <c r="BZ126" s="59"/>
      <c r="CA126" s="59"/>
      <c r="CB126" s="59"/>
      <c r="CC126" s="59"/>
      <c r="CD126" s="59"/>
      <c r="CE126" s="59"/>
      <c r="CF126" s="59"/>
      <c r="CG126" s="59"/>
      <c r="CH126" s="59"/>
      <c r="CI126" s="59"/>
      <c r="CJ126" s="59"/>
      <c r="CK126" s="59"/>
      <c r="CL126" s="59"/>
    </row>
    <row r="127" spans="1:90" x14ac:dyDescent="0.25">
      <c r="A127" s="9"/>
      <c r="B127" s="9"/>
      <c r="C127" s="3" t="s">
        <v>39</v>
      </c>
      <c r="D127" s="3"/>
      <c r="E127" s="3"/>
      <c r="F127" s="20"/>
      <c r="G127" s="20"/>
      <c r="H127" s="52"/>
      <c r="I127" s="53"/>
      <c r="J127" s="53"/>
      <c r="K127" s="54"/>
      <c r="L127" s="62">
        <v>110</v>
      </c>
      <c r="M127" s="63">
        <v>119.91</v>
      </c>
      <c r="N127" s="63">
        <v>139.72999999999999</v>
      </c>
      <c r="O127" s="64">
        <v>139.72999999999999</v>
      </c>
      <c r="P127" s="62">
        <v>139.72999999999999</v>
      </c>
      <c r="Q127" s="63">
        <v>174.82</v>
      </c>
      <c r="R127" s="63">
        <v>245</v>
      </c>
      <c r="S127" s="64">
        <v>245</v>
      </c>
      <c r="T127" s="63">
        <v>245</v>
      </c>
      <c r="U127" s="63">
        <v>208.83333333333334</v>
      </c>
      <c r="V127" s="63">
        <v>136.5</v>
      </c>
      <c r="W127" s="64">
        <v>136.5</v>
      </c>
      <c r="X127" s="63">
        <v>136.5</v>
      </c>
      <c r="Y127" s="63">
        <v>146.82</v>
      </c>
      <c r="Z127" s="63">
        <v>167.46</v>
      </c>
      <c r="AA127" s="64">
        <v>167.46</v>
      </c>
      <c r="AB127" s="63">
        <v>167.46</v>
      </c>
      <c r="AC127" s="63"/>
      <c r="AD127" s="63">
        <v>119.13</v>
      </c>
      <c r="AE127" s="64">
        <v>119.13</v>
      </c>
      <c r="AF127" s="65">
        <v>119.13</v>
      </c>
      <c r="AG127" s="65">
        <v>119.41999999999999</v>
      </c>
      <c r="AH127" s="65">
        <v>120</v>
      </c>
      <c r="AI127" s="66">
        <v>120</v>
      </c>
      <c r="AJ127" s="65">
        <v>120</v>
      </c>
      <c r="AK127" s="67">
        <v>155.13999999999999</v>
      </c>
      <c r="AL127" s="69">
        <v>225.42</v>
      </c>
      <c r="AM127" s="68">
        <v>225.42</v>
      </c>
      <c r="AN127" s="67">
        <v>225.42</v>
      </c>
      <c r="AO127" s="67">
        <v>190.20333333333332</v>
      </c>
      <c r="AP127" s="69">
        <v>119.77</v>
      </c>
      <c r="AQ127" s="68">
        <v>119.77</v>
      </c>
      <c r="AR127" s="67">
        <v>119.77</v>
      </c>
      <c r="AS127" s="67">
        <v>142.47</v>
      </c>
      <c r="AT127" s="69">
        <v>187.87</v>
      </c>
      <c r="AU127" s="68">
        <v>187.87</v>
      </c>
      <c r="AV127" s="67">
        <v>187.87</v>
      </c>
      <c r="AW127" s="67">
        <v>180.49</v>
      </c>
      <c r="AX127" s="69">
        <v>165.73</v>
      </c>
      <c r="AY127" s="68">
        <v>165.73</v>
      </c>
      <c r="AZ127" s="67">
        <v>165.73</v>
      </c>
      <c r="BA127" s="67">
        <v>143.10666666666665</v>
      </c>
      <c r="BB127" s="65">
        <v>97.86</v>
      </c>
      <c r="BC127" s="68">
        <v>97.86</v>
      </c>
      <c r="BD127" s="67">
        <v>97.86</v>
      </c>
      <c r="BE127" s="67">
        <v>88.559999999999988</v>
      </c>
      <c r="BF127" s="65">
        <v>69.959999999999994</v>
      </c>
      <c r="BG127" s="68">
        <v>69.959999999999994</v>
      </c>
      <c r="BH127" s="67">
        <v>69.959999999999994</v>
      </c>
      <c r="BI127" s="67">
        <v>69.959999999999994</v>
      </c>
      <c r="BJ127" s="67">
        <v>69.959999999999994</v>
      </c>
      <c r="BK127" s="68">
        <v>69.959999999999994</v>
      </c>
      <c r="BL127" s="67">
        <v>69.959999999999994</v>
      </c>
      <c r="BM127" s="67">
        <v>69.959999999999994</v>
      </c>
      <c r="BN127" s="67">
        <v>69.959999999999994</v>
      </c>
      <c r="BO127" s="68">
        <v>69.959999999999994</v>
      </c>
      <c r="BP127" s="67">
        <v>69.959999999999994</v>
      </c>
      <c r="BQ127" s="67">
        <v>69.959999999999994</v>
      </c>
      <c r="BR127" s="67"/>
      <c r="BS127" s="68"/>
      <c r="BT127" s="67"/>
      <c r="BU127" s="67"/>
      <c r="BV127" s="67"/>
      <c r="BW127" s="68"/>
      <c r="BX127" s="59"/>
      <c r="BY127" s="59"/>
      <c r="BZ127" s="59"/>
      <c r="CA127" s="59"/>
      <c r="CB127" s="59"/>
      <c r="CC127" s="59"/>
      <c r="CD127" s="59"/>
      <c r="CE127" s="59"/>
      <c r="CF127" s="59"/>
      <c r="CG127" s="59"/>
      <c r="CH127" s="59"/>
      <c r="CI127" s="59"/>
      <c r="CJ127" s="59"/>
      <c r="CK127" s="59"/>
      <c r="CL127" s="59"/>
    </row>
    <row r="128" spans="1:90" x14ac:dyDescent="0.25">
      <c r="A128" s="9"/>
      <c r="B128" s="9"/>
      <c r="C128" s="3" t="s">
        <v>40</v>
      </c>
      <c r="D128" s="3"/>
      <c r="E128" s="3"/>
      <c r="F128" s="20"/>
      <c r="G128" s="20"/>
      <c r="H128" s="52"/>
      <c r="I128" s="53"/>
      <c r="J128" s="53"/>
      <c r="K128" s="54"/>
      <c r="L128" s="62">
        <v>110</v>
      </c>
      <c r="M128" s="63">
        <v>78.819999999999993</v>
      </c>
      <c r="N128" s="63">
        <v>16.46</v>
      </c>
      <c r="O128" s="64">
        <v>16.46</v>
      </c>
      <c r="P128" s="62">
        <v>16.46</v>
      </c>
      <c r="Q128" s="63">
        <v>20.216666666666669</v>
      </c>
      <c r="R128" s="63">
        <v>27.73</v>
      </c>
      <c r="S128" s="64">
        <v>27.73</v>
      </c>
      <c r="T128" s="63">
        <v>27.73</v>
      </c>
      <c r="U128" s="63">
        <v>60.483333333333327</v>
      </c>
      <c r="V128" s="63">
        <v>125.99</v>
      </c>
      <c r="W128" s="64">
        <v>125.99</v>
      </c>
      <c r="X128" s="63">
        <v>125.99</v>
      </c>
      <c r="Y128" s="63">
        <v>129.32666666666668</v>
      </c>
      <c r="Z128" s="63">
        <v>136</v>
      </c>
      <c r="AA128" s="64">
        <v>136</v>
      </c>
      <c r="AB128" s="63">
        <v>136</v>
      </c>
      <c r="AC128" s="63"/>
      <c r="AD128" s="63">
        <v>59.37</v>
      </c>
      <c r="AE128" s="64">
        <v>59.37</v>
      </c>
      <c r="AF128" s="65">
        <v>59.37</v>
      </c>
      <c r="AG128" s="65">
        <v>79.58</v>
      </c>
      <c r="AH128" s="65">
        <v>120</v>
      </c>
      <c r="AI128" s="66">
        <v>120</v>
      </c>
      <c r="AJ128" s="65">
        <v>120</v>
      </c>
      <c r="AK128" s="67">
        <v>151.66666666666666</v>
      </c>
      <c r="AL128" s="69">
        <v>215</v>
      </c>
      <c r="AM128" s="68">
        <v>215</v>
      </c>
      <c r="AN128" s="67">
        <v>215</v>
      </c>
      <c r="AO128" s="67">
        <v>210.92333333333332</v>
      </c>
      <c r="AP128" s="69">
        <v>202.77</v>
      </c>
      <c r="AQ128" s="68">
        <v>202.77</v>
      </c>
      <c r="AR128" s="67">
        <v>202.77</v>
      </c>
      <c r="AS128" s="67">
        <v>197.88666666666666</v>
      </c>
      <c r="AT128" s="69">
        <v>188.12</v>
      </c>
      <c r="AU128" s="68">
        <v>188.12</v>
      </c>
      <c r="AV128" s="67">
        <v>188.12</v>
      </c>
      <c r="AW128" s="67">
        <v>190.59666666666666</v>
      </c>
      <c r="AX128" s="69">
        <v>195.55</v>
      </c>
      <c r="AY128" s="68">
        <v>195.55</v>
      </c>
      <c r="AZ128" s="67">
        <v>195.55</v>
      </c>
      <c r="BA128" s="67">
        <v>153.35333333333335</v>
      </c>
      <c r="BB128" s="65">
        <v>68.959999999999994</v>
      </c>
      <c r="BC128" s="68">
        <v>68.959999999999994</v>
      </c>
      <c r="BD128" s="67">
        <v>68.959999999999994</v>
      </c>
      <c r="BE128" s="67">
        <v>57.349999999999994</v>
      </c>
      <c r="BF128" s="65">
        <v>34.130000000000003</v>
      </c>
      <c r="BG128" s="68">
        <v>34.130000000000003</v>
      </c>
      <c r="BH128" s="67">
        <v>34.130000000000003</v>
      </c>
      <c r="BI128" s="67">
        <v>34.130000000000003</v>
      </c>
      <c r="BJ128" s="67">
        <v>34.130000000000003</v>
      </c>
      <c r="BK128" s="68">
        <v>34.130000000000003</v>
      </c>
      <c r="BL128" s="67">
        <v>34.130000000000003</v>
      </c>
      <c r="BM128" s="67">
        <v>34.130000000000003</v>
      </c>
      <c r="BN128" s="67">
        <v>34.130000000000003</v>
      </c>
      <c r="BO128" s="68">
        <v>34.130000000000003</v>
      </c>
      <c r="BP128" s="67">
        <v>34.130000000000003</v>
      </c>
      <c r="BQ128" s="67">
        <v>34.130000000000003</v>
      </c>
      <c r="BR128" s="67"/>
      <c r="BS128" s="68"/>
      <c r="BT128" s="67"/>
      <c r="BU128" s="67"/>
      <c r="BV128" s="67"/>
      <c r="BW128" s="68"/>
      <c r="BX128" s="59"/>
      <c r="BY128" s="59"/>
      <c r="BZ128" s="59"/>
      <c r="CA128" s="59"/>
      <c r="CB128" s="59"/>
      <c r="CC128" s="59"/>
      <c r="CD128" s="59"/>
      <c r="CE128" s="59"/>
      <c r="CF128" s="59"/>
      <c r="CG128" s="59"/>
      <c r="CH128" s="59"/>
      <c r="CI128" s="59"/>
      <c r="CJ128" s="59"/>
      <c r="CK128" s="59"/>
      <c r="CL128" s="59"/>
    </row>
    <row r="129" spans="1:90" x14ac:dyDescent="0.25">
      <c r="A129" s="9"/>
      <c r="B129" s="9"/>
      <c r="C129" s="3" t="s">
        <v>41</v>
      </c>
      <c r="D129" s="3"/>
      <c r="E129" s="3"/>
      <c r="F129" s="20"/>
      <c r="G129" s="20"/>
      <c r="H129" s="52"/>
      <c r="I129" s="53"/>
      <c r="J129" s="53"/>
      <c r="K129" s="54"/>
      <c r="L129" s="62">
        <v>110</v>
      </c>
      <c r="M129" s="63">
        <v>135</v>
      </c>
      <c r="N129" s="63">
        <v>185</v>
      </c>
      <c r="O129" s="64">
        <v>185</v>
      </c>
      <c r="P129" s="62">
        <v>185</v>
      </c>
      <c r="Q129" s="63">
        <v>205</v>
      </c>
      <c r="R129" s="63">
        <v>245</v>
      </c>
      <c r="S129" s="64">
        <v>245</v>
      </c>
      <c r="T129" s="63">
        <v>245</v>
      </c>
      <c r="U129" s="63">
        <v>238.33333333333334</v>
      </c>
      <c r="V129" s="63">
        <v>225</v>
      </c>
      <c r="W129" s="64">
        <v>225</v>
      </c>
      <c r="X129" s="63">
        <v>225</v>
      </c>
      <c r="Y129" s="63">
        <v>205.82</v>
      </c>
      <c r="Z129" s="63">
        <v>167.46</v>
      </c>
      <c r="AA129" s="64">
        <v>167.46</v>
      </c>
      <c r="AB129" s="63">
        <v>167.46</v>
      </c>
      <c r="AC129" s="63"/>
      <c r="AD129" s="63">
        <v>219</v>
      </c>
      <c r="AE129" s="64">
        <v>219</v>
      </c>
      <c r="AF129" s="65">
        <v>219</v>
      </c>
      <c r="AG129" s="65">
        <v>217.66666666666666</v>
      </c>
      <c r="AH129" s="65">
        <v>215</v>
      </c>
      <c r="AI129" s="66">
        <v>215</v>
      </c>
      <c r="AJ129" s="65">
        <v>215</v>
      </c>
      <c r="AK129" s="67">
        <v>218.4733333333333</v>
      </c>
      <c r="AL129" s="69">
        <v>225.42</v>
      </c>
      <c r="AM129" s="68">
        <v>225.42</v>
      </c>
      <c r="AN129" s="67">
        <v>225.42</v>
      </c>
      <c r="AO129" s="67">
        <v>190.27999999999997</v>
      </c>
      <c r="AP129" s="69">
        <v>120</v>
      </c>
      <c r="AQ129" s="68">
        <v>120</v>
      </c>
      <c r="AR129" s="67">
        <v>120</v>
      </c>
      <c r="AS129" s="67">
        <v>142.62333333333333</v>
      </c>
      <c r="AT129" s="69">
        <v>187.87</v>
      </c>
      <c r="AU129" s="68">
        <v>187.87</v>
      </c>
      <c r="AV129" s="67">
        <v>187.87</v>
      </c>
      <c r="AW129" s="67">
        <v>193.34333333333333</v>
      </c>
      <c r="AX129" s="69">
        <v>204.29</v>
      </c>
      <c r="AY129" s="68">
        <v>204.29</v>
      </c>
      <c r="AZ129" s="67">
        <v>204.29</v>
      </c>
      <c r="BA129" s="67">
        <v>168.81333333333333</v>
      </c>
      <c r="BB129" s="65">
        <v>97.86</v>
      </c>
      <c r="BC129" s="68">
        <v>97.86</v>
      </c>
      <c r="BD129" s="67">
        <v>97.86</v>
      </c>
      <c r="BE129" s="67">
        <v>81.736666666666665</v>
      </c>
      <c r="BF129" s="65">
        <v>49.49</v>
      </c>
      <c r="BG129" s="68">
        <v>49.49</v>
      </c>
      <c r="BH129" s="67">
        <v>49.49</v>
      </c>
      <c r="BI129" s="67">
        <v>49.49</v>
      </c>
      <c r="BJ129" s="67">
        <v>49.49</v>
      </c>
      <c r="BK129" s="68">
        <v>49.49</v>
      </c>
      <c r="BL129" s="67">
        <v>49.49</v>
      </c>
      <c r="BM129" s="67">
        <v>49.49</v>
      </c>
      <c r="BN129" s="67">
        <v>49.49</v>
      </c>
      <c r="BO129" s="68">
        <v>49.49</v>
      </c>
      <c r="BP129" s="67">
        <v>49.49</v>
      </c>
      <c r="BQ129" s="67">
        <v>49.49</v>
      </c>
      <c r="BR129" s="67"/>
      <c r="BS129" s="68"/>
      <c r="BT129" s="67"/>
      <c r="BU129" s="67"/>
      <c r="BV129" s="67"/>
      <c r="BW129" s="68"/>
      <c r="BX129" s="59"/>
      <c r="BY129" s="59"/>
      <c r="BZ129" s="59"/>
      <c r="CA129" s="59"/>
      <c r="CB129" s="59"/>
      <c r="CC129" s="59"/>
      <c r="CD129" s="59"/>
      <c r="CE129" s="59"/>
      <c r="CF129" s="59"/>
      <c r="CG129" s="59"/>
      <c r="CH129" s="59"/>
      <c r="CI129" s="59"/>
      <c r="CJ129" s="59"/>
      <c r="CK129" s="59"/>
      <c r="CL129" s="59"/>
    </row>
    <row r="130" spans="1:90" x14ac:dyDescent="0.25">
      <c r="A130" s="9"/>
      <c r="B130" s="9"/>
      <c r="C130" s="3" t="s">
        <v>42</v>
      </c>
      <c r="D130" s="3"/>
      <c r="E130" s="3"/>
      <c r="F130" s="20"/>
      <c r="G130" s="20"/>
      <c r="H130" s="52"/>
      <c r="I130" s="53"/>
      <c r="J130" s="53"/>
      <c r="K130" s="54"/>
      <c r="L130" s="62">
        <v>5</v>
      </c>
      <c r="M130" s="63">
        <v>29</v>
      </c>
      <c r="N130" s="63">
        <v>41</v>
      </c>
      <c r="O130" s="64">
        <v>31.666666666666668</v>
      </c>
      <c r="P130" s="62">
        <v>27</v>
      </c>
      <c r="Q130" s="63">
        <v>101</v>
      </c>
      <c r="R130" s="63">
        <v>138</v>
      </c>
      <c r="S130" s="64">
        <v>108.66666666666667</v>
      </c>
      <c r="T130" s="63">
        <v>94</v>
      </c>
      <c r="U130" s="70">
        <v>144</v>
      </c>
      <c r="V130" s="70">
        <v>169</v>
      </c>
      <c r="W130" s="58">
        <v>108.38812785388127</v>
      </c>
      <c r="X130" s="57">
        <v>78.082191780821915</v>
      </c>
      <c r="Y130" s="57">
        <v>103.83561643835614</v>
      </c>
      <c r="Z130" s="57">
        <v>116.71232876712327</v>
      </c>
      <c r="AA130" s="58">
        <v>63.452054794520535</v>
      </c>
      <c r="AB130" s="57">
        <v>36.821917808219183</v>
      </c>
      <c r="AC130" s="57"/>
      <c r="AD130" s="57">
        <v>119.01369863013699</v>
      </c>
      <c r="AE130" s="58">
        <v>56.109589041095887</v>
      </c>
      <c r="AF130" s="57">
        <v>24.657534246575342</v>
      </c>
      <c r="AG130" s="57">
        <v>101.36986301369862</v>
      </c>
      <c r="AH130" s="57">
        <v>139.72602739726028</v>
      </c>
      <c r="AI130" s="58">
        <v>75.06849315068493</v>
      </c>
      <c r="AJ130" s="57">
        <v>42.739726027397268</v>
      </c>
      <c r="AK130" s="53">
        <v>123.83561643835615</v>
      </c>
      <c r="AL130" s="57">
        <v>164.38356164383561</v>
      </c>
      <c r="AM130" s="54">
        <v>83.287671232876704</v>
      </c>
      <c r="AN130" s="53">
        <v>42.739726027397268</v>
      </c>
      <c r="AO130" s="53">
        <v>123.83561643835615</v>
      </c>
      <c r="AP130" s="67">
        <v>164.38356164383561</v>
      </c>
      <c r="AQ130" s="54">
        <v>83.287671232876704</v>
      </c>
      <c r="AR130" s="53">
        <v>42.739726027397268</v>
      </c>
      <c r="AS130" s="53">
        <v>123.83561643835615</v>
      </c>
      <c r="AT130" s="67">
        <v>164.38356164383561</v>
      </c>
      <c r="AU130" s="54">
        <v>83.287671232876704</v>
      </c>
      <c r="AV130" s="53">
        <v>42.739726027397268</v>
      </c>
      <c r="AW130" s="53">
        <v>123.83561643835615</v>
      </c>
      <c r="AX130" s="67">
        <v>164.38356164383561</v>
      </c>
      <c r="AY130" s="68">
        <v>83.287671232876704</v>
      </c>
      <c r="AZ130" s="53">
        <v>42.739726027397268</v>
      </c>
      <c r="BA130" s="53">
        <v>123.83561643835615</v>
      </c>
      <c r="BB130" s="67">
        <v>164.38356164383561</v>
      </c>
      <c r="BC130" s="68">
        <v>83.287671232876704</v>
      </c>
      <c r="BD130" s="53">
        <v>42.739726027397268</v>
      </c>
      <c r="BE130" s="53">
        <v>123.83561643835615</v>
      </c>
      <c r="BF130" s="67">
        <v>164.38356164383561</v>
      </c>
      <c r="BG130" s="68">
        <v>83.287671232876704</v>
      </c>
      <c r="BH130" s="53">
        <v>42.739726027397268</v>
      </c>
      <c r="BI130" s="53">
        <v>123.83561643835615</v>
      </c>
      <c r="BJ130" s="67">
        <v>164.38356164383561</v>
      </c>
      <c r="BK130" s="68">
        <v>83.287671232876704</v>
      </c>
      <c r="BL130" s="53">
        <v>42.739726027397268</v>
      </c>
      <c r="BM130" s="53">
        <v>123.83561643835615</v>
      </c>
      <c r="BN130" s="67">
        <v>164.38356164383561</v>
      </c>
      <c r="BO130" s="68">
        <v>83.287671232876704</v>
      </c>
      <c r="BP130" s="53">
        <v>42.739726027397268</v>
      </c>
      <c r="BQ130" s="53">
        <v>123.83561643835615</v>
      </c>
      <c r="BR130" s="67"/>
      <c r="BS130" s="68"/>
      <c r="BT130" s="53"/>
      <c r="BU130" s="53"/>
      <c r="BV130" s="67"/>
      <c r="BW130" s="68"/>
      <c r="BX130" s="59"/>
      <c r="BY130" s="59"/>
      <c r="BZ130" s="59"/>
      <c r="CA130" s="59"/>
      <c r="CB130" s="59"/>
      <c r="CC130" s="59"/>
      <c r="CD130" s="59"/>
      <c r="CE130" s="59"/>
      <c r="CF130" s="59"/>
      <c r="CG130" s="59"/>
      <c r="CH130" s="59"/>
      <c r="CI130" s="59"/>
      <c r="CJ130" s="59"/>
      <c r="CK130" s="59"/>
      <c r="CL130" s="59"/>
    </row>
    <row r="131" spans="1:90" x14ac:dyDescent="0.25">
      <c r="A131" s="9"/>
      <c r="B131" s="9"/>
      <c r="C131" s="3" t="s">
        <v>43</v>
      </c>
      <c r="D131" s="3"/>
      <c r="E131" s="3"/>
      <c r="F131" s="20"/>
      <c r="G131" s="20"/>
      <c r="H131" s="52"/>
      <c r="I131" s="53"/>
      <c r="J131" s="53"/>
      <c r="K131" s="54"/>
      <c r="L131" s="62">
        <v>89</v>
      </c>
      <c r="M131" s="63">
        <v>286.33333333333331</v>
      </c>
      <c r="N131" s="63">
        <v>385</v>
      </c>
      <c r="O131" s="64">
        <v>227</v>
      </c>
      <c r="P131" s="62">
        <v>148</v>
      </c>
      <c r="Q131" s="63">
        <v>374</v>
      </c>
      <c r="R131" s="63">
        <v>487</v>
      </c>
      <c r="S131" s="64">
        <v>326.33333333333331</v>
      </c>
      <c r="T131" s="63">
        <v>246</v>
      </c>
      <c r="U131" s="70">
        <v>437.33333333333331</v>
      </c>
      <c r="V131" s="70">
        <v>533</v>
      </c>
      <c r="W131" s="58">
        <v>374.05022831050229</v>
      </c>
      <c r="X131" s="57">
        <v>294.57534246575347</v>
      </c>
      <c r="Y131" s="57">
        <v>441.20547945205482</v>
      </c>
      <c r="Z131" s="57">
        <v>514.52054794520552</v>
      </c>
      <c r="AA131" s="58">
        <v>299.28767123287673</v>
      </c>
      <c r="AB131" s="57">
        <v>191.67123287671237</v>
      </c>
      <c r="AC131" s="57"/>
      <c r="AD131" s="57">
        <v>361.3150684931507</v>
      </c>
      <c r="AE131" s="58">
        <v>197.15068493150685</v>
      </c>
      <c r="AF131" s="57">
        <v>115.06849315068493</v>
      </c>
      <c r="AG131" s="57">
        <v>306.84931506849313</v>
      </c>
      <c r="AH131" s="57">
        <v>402.73972602739724</v>
      </c>
      <c r="AI131" s="58">
        <v>240.10958904109589</v>
      </c>
      <c r="AJ131" s="57">
        <v>158.79452054794521</v>
      </c>
      <c r="AK131" s="53">
        <v>321.42465753424653</v>
      </c>
      <c r="AL131" s="53">
        <v>402.73972602739724</v>
      </c>
      <c r="AM131" s="54">
        <v>240.10958904109589</v>
      </c>
      <c r="AN131" s="53">
        <v>158.79452054794521</v>
      </c>
      <c r="AO131" s="53">
        <v>321.42465753424653</v>
      </c>
      <c r="AP131" s="67">
        <v>402.73972602739724</v>
      </c>
      <c r="AQ131" s="54">
        <v>240.10958904109589</v>
      </c>
      <c r="AR131" s="53">
        <v>158.79452054794521</v>
      </c>
      <c r="AS131" s="53">
        <v>321.42465753424653</v>
      </c>
      <c r="AT131" s="67">
        <v>402.73972602739724</v>
      </c>
      <c r="AU131" s="54">
        <v>240.10958904109589</v>
      </c>
      <c r="AV131" s="53">
        <v>158.79452054794521</v>
      </c>
      <c r="AW131" s="53">
        <v>321.42465753424653</v>
      </c>
      <c r="AX131" s="67">
        <v>402.73972602739724</v>
      </c>
      <c r="AY131" s="68">
        <v>240.10958904109589</v>
      </c>
      <c r="AZ131" s="53">
        <v>158.79452054794521</v>
      </c>
      <c r="BA131" s="53">
        <v>321.42465753424653</v>
      </c>
      <c r="BB131" s="67">
        <v>402.73972602739724</v>
      </c>
      <c r="BC131" s="68">
        <v>240.10958904109589</v>
      </c>
      <c r="BD131" s="53">
        <v>158.79452054794521</v>
      </c>
      <c r="BE131" s="53">
        <v>321.42465753424653</v>
      </c>
      <c r="BF131" s="67">
        <v>402.73972602739724</v>
      </c>
      <c r="BG131" s="68">
        <v>240.10958904109589</v>
      </c>
      <c r="BH131" s="53">
        <v>158.79452054794521</v>
      </c>
      <c r="BI131" s="53">
        <v>321.42465753424653</v>
      </c>
      <c r="BJ131" s="67">
        <v>402.73972602739724</v>
      </c>
      <c r="BK131" s="68">
        <v>240.10958904109589</v>
      </c>
      <c r="BL131" s="53">
        <v>158.79452054794521</v>
      </c>
      <c r="BM131" s="53">
        <v>321.42465753424653</v>
      </c>
      <c r="BN131" s="67">
        <v>402.73972602739724</v>
      </c>
      <c r="BO131" s="68">
        <v>240.10958904109589</v>
      </c>
      <c r="BP131" s="53">
        <v>158.79452054794521</v>
      </c>
      <c r="BQ131" s="53">
        <v>321.42465753424653</v>
      </c>
      <c r="BR131" s="67"/>
      <c r="BS131" s="68"/>
      <c r="BT131" s="53"/>
      <c r="BU131" s="53"/>
      <c r="BV131" s="67"/>
      <c r="BW131" s="68"/>
      <c r="BX131" s="59"/>
      <c r="BY131" s="59"/>
      <c r="BZ131" s="59"/>
      <c r="CA131" s="59"/>
      <c r="CB131" s="59"/>
      <c r="CC131" s="59"/>
      <c r="CD131" s="59"/>
      <c r="CE131" s="59"/>
      <c r="CF131" s="59"/>
      <c r="CG131" s="59"/>
      <c r="CH131" s="59"/>
      <c r="CI131" s="59"/>
      <c r="CJ131" s="59"/>
      <c r="CK131" s="59"/>
      <c r="CL131" s="59"/>
    </row>
    <row r="132" spans="1:90" x14ac:dyDescent="0.25">
      <c r="A132" s="9"/>
      <c r="B132" s="9"/>
      <c r="C132" s="3" t="s">
        <v>44</v>
      </c>
      <c r="D132" s="3"/>
      <c r="E132" s="3"/>
      <c r="F132" s="20"/>
      <c r="G132" s="20"/>
      <c r="H132" s="52"/>
      <c r="I132" s="53"/>
      <c r="J132" s="53"/>
      <c r="K132" s="54"/>
      <c r="L132" s="62">
        <v>110</v>
      </c>
      <c r="M132" s="63">
        <v>78.819999999999993</v>
      </c>
      <c r="N132" s="63">
        <v>16.46</v>
      </c>
      <c r="O132" s="64">
        <v>16.46</v>
      </c>
      <c r="P132" s="62">
        <v>16.46</v>
      </c>
      <c r="Q132" s="63">
        <v>20.216666666666669</v>
      </c>
      <c r="R132" s="63">
        <v>27.73</v>
      </c>
      <c r="S132" s="64">
        <v>27.73</v>
      </c>
      <c r="T132" s="63">
        <v>27.73</v>
      </c>
      <c r="U132" s="63">
        <v>60.483333333333327</v>
      </c>
      <c r="V132" s="63">
        <v>125.99</v>
      </c>
      <c r="W132" s="64">
        <v>125.99</v>
      </c>
      <c r="X132" s="63">
        <v>125.99</v>
      </c>
      <c r="Y132" s="63">
        <v>129.32666666666668</v>
      </c>
      <c r="Z132" s="63">
        <v>357</v>
      </c>
      <c r="AA132" s="64">
        <v>357</v>
      </c>
      <c r="AB132" s="63">
        <v>357</v>
      </c>
      <c r="AC132" s="63"/>
      <c r="AD132" s="63">
        <v>114.23</v>
      </c>
      <c r="AE132" s="64">
        <v>114.23</v>
      </c>
      <c r="AF132" s="65">
        <v>114.23</v>
      </c>
      <c r="AG132" s="65">
        <v>116.15333333333334</v>
      </c>
      <c r="AH132" s="65">
        <v>120</v>
      </c>
      <c r="AI132" s="66">
        <v>120</v>
      </c>
      <c r="AJ132" s="65">
        <v>120</v>
      </c>
      <c r="AK132" s="67">
        <v>134.92333333333335</v>
      </c>
      <c r="AL132" s="69">
        <v>164.77</v>
      </c>
      <c r="AM132" s="68">
        <v>164.77</v>
      </c>
      <c r="AN132" s="67">
        <v>164.77</v>
      </c>
      <c r="AO132" s="67">
        <v>143.18</v>
      </c>
      <c r="AP132" s="69">
        <v>100</v>
      </c>
      <c r="AQ132" s="68">
        <v>100</v>
      </c>
      <c r="AR132" s="67">
        <v>100</v>
      </c>
      <c r="AS132" s="67">
        <v>92.176666666666648</v>
      </c>
      <c r="AT132" s="69">
        <v>76.53</v>
      </c>
      <c r="AU132" s="68">
        <v>76.53</v>
      </c>
      <c r="AV132" s="67">
        <v>76.53</v>
      </c>
      <c r="AW132" s="67">
        <v>108.13</v>
      </c>
      <c r="AX132" s="69">
        <v>171.33</v>
      </c>
      <c r="AY132" s="68">
        <v>171.33</v>
      </c>
      <c r="AZ132" s="67">
        <v>171.33</v>
      </c>
      <c r="BA132" s="67">
        <v>130.88666666666666</v>
      </c>
      <c r="BB132" s="65">
        <v>50</v>
      </c>
      <c r="BC132" s="68">
        <v>50</v>
      </c>
      <c r="BD132" s="67">
        <v>50</v>
      </c>
      <c r="BE132" s="67">
        <v>44.709999999999994</v>
      </c>
      <c r="BF132" s="65">
        <v>34.130000000000003</v>
      </c>
      <c r="BG132" s="68">
        <v>34.130000000000003</v>
      </c>
      <c r="BH132" s="67">
        <v>34.130000000000003</v>
      </c>
      <c r="BI132" s="67">
        <v>34.130000000000003</v>
      </c>
      <c r="BJ132" s="67">
        <v>34.130000000000003</v>
      </c>
      <c r="BK132" s="68">
        <v>34.130000000000003</v>
      </c>
      <c r="BL132" s="67">
        <v>34.130000000000003</v>
      </c>
      <c r="BM132" s="67">
        <v>34.130000000000003</v>
      </c>
      <c r="BN132" s="67">
        <v>34.130000000000003</v>
      </c>
      <c r="BO132" s="68">
        <v>34.130000000000003</v>
      </c>
      <c r="BP132" s="67">
        <v>34.130000000000003</v>
      </c>
      <c r="BQ132" s="67">
        <v>34.130000000000003</v>
      </c>
      <c r="BR132" s="67"/>
      <c r="BS132" s="68"/>
      <c r="BT132" s="67"/>
      <c r="BU132" s="67"/>
      <c r="BV132" s="67"/>
      <c r="BW132" s="68"/>
      <c r="BX132" s="59"/>
      <c r="BY132" s="59"/>
      <c r="BZ132" s="59"/>
      <c r="CA132" s="59"/>
      <c r="CB132" s="59"/>
      <c r="CC132" s="59"/>
      <c r="CD132" s="59"/>
      <c r="CE132" s="59"/>
      <c r="CF132" s="59"/>
      <c r="CG132" s="59"/>
      <c r="CH132" s="59"/>
      <c r="CI132" s="59"/>
      <c r="CJ132" s="59"/>
      <c r="CK132" s="59"/>
      <c r="CL132" s="59"/>
    </row>
    <row r="133" spans="1:90" x14ac:dyDescent="0.25">
      <c r="A133" s="9"/>
      <c r="B133" s="9"/>
      <c r="C133" s="3" t="s">
        <v>45</v>
      </c>
      <c r="D133" s="3"/>
      <c r="E133" s="3"/>
      <c r="F133" s="20"/>
      <c r="G133" s="20"/>
      <c r="H133" s="52"/>
      <c r="I133" s="53"/>
      <c r="J133" s="53"/>
      <c r="K133" s="54"/>
      <c r="L133" s="62">
        <v>0</v>
      </c>
      <c r="M133" s="63">
        <v>0</v>
      </c>
      <c r="N133" s="63">
        <v>0</v>
      </c>
      <c r="O133" s="64">
        <v>0</v>
      </c>
      <c r="P133" s="62">
        <v>0.1</v>
      </c>
      <c r="Q133" s="63">
        <v>0.41666666666666669</v>
      </c>
      <c r="R133" s="63">
        <v>1.05</v>
      </c>
      <c r="S133" s="64">
        <v>1.05</v>
      </c>
      <c r="T133" s="63">
        <v>1.05</v>
      </c>
      <c r="U133" s="63">
        <v>11.516666666666666</v>
      </c>
      <c r="V133" s="63">
        <v>16.75</v>
      </c>
      <c r="W133" s="64">
        <v>16.75</v>
      </c>
      <c r="X133" s="63">
        <v>16.75</v>
      </c>
      <c r="Y133" s="53">
        <v>105.58333333333333</v>
      </c>
      <c r="Z133" s="63">
        <v>150</v>
      </c>
      <c r="AA133" s="64">
        <v>150</v>
      </c>
      <c r="AB133" s="63">
        <v>150</v>
      </c>
      <c r="AC133" s="53"/>
      <c r="AD133" s="63">
        <v>72</v>
      </c>
      <c r="AE133" s="64">
        <v>72</v>
      </c>
      <c r="AF133" s="63">
        <v>72</v>
      </c>
      <c r="AG133" s="53">
        <v>25</v>
      </c>
      <c r="AH133" s="63">
        <v>1.5</v>
      </c>
      <c r="AI133" s="64">
        <v>1.5</v>
      </c>
      <c r="AJ133" s="63">
        <v>1.5</v>
      </c>
      <c r="AK133" s="53">
        <v>7.1666666666666661</v>
      </c>
      <c r="AL133" s="63">
        <v>10</v>
      </c>
      <c r="AM133" s="64">
        <v>10</v>
      </c>
      <c r="AN133" s="63">
        <v>10</v>
      </c>
      <c r="AO133" s="53">
        <v>5.3266666666666662</v>
      </c>
      <c r="AP133" s="63">
        <v>2.99</v>
      </c>
      <c r="AQ133" s="64">
        <v>2.99</v>
      </c>
      <c r="AR133" s="63">
        <v>2.99</v>
      </c>
      <c r="AS133" s="53">
        <v>4.33</v>
      </c>
      <c r="AT133" s="69">
        <v>5</v>
      </c>
      <c r="AU133" s="64">
        <v>5</v>
      </c>
      <c r="AV133" s="53">
        <v>5</v>
      </c>
      <c r="AW133" s="53">
        <v>5</v>
      </c>
      <c r="AX133" s="67">
        <v>5</v>
      </c>
      <c r="AY133" s="68">
        <v>5</v>
      </c>
      <c r="AZ133" s="53">
        <v>5</v>
      </c>
      <c r="BA133" s="53">
        <v>5</v>
      </c>
      <c r="BB133" s="67">
        <v>5</v>
      </c>
      <c r="BC133" s="68">
        <v>5</v>
      </c>
      <c r="BD133" s="53">
        <v>5</v>
      </c>
      <c r="BE133" s="53">
        <v>5</v>
      </c>
      <c r="BF133" s="67">
        <v>5</v>
      </c>
      <c r="BG133" s="68">
        <v>5</v>
      </c>
      <c r="BH133" s="53">
        <v>5</v>
      </c>
      <c r="BI133" s="53">
        <v>5</v>
      </c>
      <c r="BJ133" s="67">
        <v>5</v>
      </c>
      <c r="BK133" s="68">
        <v>5</v>
      </c>
      <c r="BL133" s="53">
        <v>5</v>
      </c>
      <c r="BM133" s="53">
        <v>5</v>
      </c>
      <c r="BN133" s="67">
        <v>5</v>
      </c>
      <c r="BO133" s="68">
        <v>5</v>
      </c>
      <c r="BP133" s="53">
        <v>5</v>
      </c>
      <c r="BQ133" s="53">
        <v>5</v>
      </c>
      <c r="BR133" s="67"/>
      <c r="BS133" s="68"/>
      <c r="BT133" s="53"/>
      <c r="BU133" s="53"/>
      <c r="BV133" s="67"/>
      <c r="BW133" s="68"/>
      <c r="BX133" s="59"/>
      <c r="BY133" s="59"/>
      <c r="BZ133" s="59"/>
      <c r="CA133" s="59"/>
      <c r="CB133" s="59"/>
      <c r="CC133" s="59"/>
      <c r="CD133" s="59"/>
      <c r="CE133" s="59"/>
      <c r="CF133" s="59"/>
      <c r="CG133" s="59"/>
      <c r="CH133" s="59"/>
      <c r="CI133" s="59"/>
      <c r="CJ133" s="59"/>
      <c r="CK133" s="59"/>
      <c r="CL133" s="59"/>
    </row>
    <row r="134" spans="1:90" x14ac:dyDescent="0.25">
      <c r="A134" s="9"/>
      <c r="B134" s="9"/>
      <c r="C134" s="3" t="s">
        <v>46</v>
      </c>
      <c r="D134" s="3"/>
      <c r="E134" s="3"/>
      <c r="F134" s="20"/>
      <c r="G134" s="20"/>
      <c r="H134" s="52"/>
      <c r="I134" s="53"/>
      <c r="J134" s="53"/>
      <c r="K134" s="54"/>
      <c r="L134" s="62">
        <v>102.54</v>
      </c>
      <c r="M134" s="63">
        <v>96.14</v>
      </c>
      <c r="N134" s="63">
        <v>83.34</v>
      </c>
      <c r="O134" s="64">
        <v>83.34</v>
      </c>
      <c r="P134" s="62">
        <v>83.34</v>
      </c>
      <c r="Q134" s="63">
        <v>83.13333333333334</v>
      </c>
      <c r="R134" s="63">
        <v>82.72</v>
      </c>
      <c r="S134" s="64">
        <v>82.72</v>
      </c>
      <c r="T134" s="63">
        <v>82.72</v>
      </c>
      <c r="U134" s="63">
        <v>86.433333333333337</v>
      </c>
      <c r="V134" s="63">
        <v>93.86</v>
      </c>
      <c r="W134" s="64">
        <v>93.86</v>
      </c>
      <c r="X134" s="63">
        <v>93.86</v>
      </c>
      <c r="Y134" s="63">
        <v>96.874703196347028</v>
      </c>
      <c r="Z134" s="63">
        <v>102.9041095890411</v>
      </c>
      <c r="AA134" s="64">
        <v>102.9041095890411</v>
      </c>
      <c r="AB134" s="63">
        <v>103</v>
      </c>
      <c r="AC134" s="63"/>
      <c r="AD134" s="63">
        <v>94.78</v>
      </c>
      <c r="AE134" s="64">
        <v>94.78</v>
      </c>
      <c r="AF134" s="65">
        <v>94.78</v>
      </c>
      <c r="AG134" s="65">
        <v>140.17296803652968</v>
      </c>
      <c r="AH134" s="65">
        <v>230.95890410958907</v>
      </c>
      <c r="AI134" s="66">
        <v>230.95890410958907</v>
      </c>
      <c r="AJ134" s="65">
        <v>230.95890410958907</v>
      </c>
      <c r="AK134" s="67">
        <v>258.63013698630141</v>
      </c>
      <c r="AL134" s="65">
        <v>313.97260273972609</v>
      </c>
      <c r="AM134" s="68">
        <v>313.97260273972609</v>
      </c>
      <c r="AN134" s="67">
        <v>313.97260273972609</v>
      </c>
      <c r="AO134" s="67">
        <v>286.35616438356169</v>
      </c>
      <c r="AP134" s="65">
        <v>231.12328767123287</v>
      </c>
      <c r="AQ134" s="68">
        <v>231.12328767123287</v>
      </c>
      <c r="AR134" s="67">
        <v>231.12328767123287</v>
      </c>
      <c r="AS134" s="67">
        <v>212.13150684931506</v>
      </c>
      <c r="AT134" s="65">
        <v>174.14794520547943</v>
      </c>
      <c r="AU134" s="68">
        <v>174.14794520547943</v>
      </c>
      <c r="AV134" s="67">
        <v>174.14794520547943</v>
      </c>
      <c r="AW134" s="67">
        <v>166.83835616438353</v>
      </c>
      <c r="AX134" s="65">
        <v>152.21917808219177</v>
      </c>
      <c r="AY134" s="68">
        <v>152.21917808219177</v>
      </c>
      <c r="AZ134" s="67">
        <v>152.21917808219177</v>
      </c>
      <c r="BA134" s="67">
        <v>143.12328767123284</v>
      </c>
      <c r="BB134" s="65">
        <v>124.93150684931504</v>
      </c>
      <c r="BC134" s="68">
        <v>124.93150684931504</v>
      </c>
      <c r="BD134" s="67">
        <v>124.93150684931504</v>
      </c>
      <c r="BE134" s="67">
        <v>105.20547945205477</v>
      </c>
      <c r="BF134" s="65">
        <v>65.753424657534254</v>
      </c>
      <c r="BG134" s="68">
        <v>65.753424657534254</v>
      </c>
      <c r="BH134" s="67">
        <v>65.753424657534254</v>
      </c>
      <c r="BI134" s="67">
        <v>72.438356164383563</v>
      </c>
      <c r="BJ134" s="65">
        <v>85.808219178082197</v>
      </c>
      <c r="BK134" s="68">
        <v>85.808219178082197</v>
      </c>
      <c r="BL134" s="67">
        <v>85.808219178082197</v>
      </c>
      <c r="BM134" s="67">
        <v>85.808219178082197</v>
      </c>
      <c r="BN134" s="65">
        <v>85.808219178082197</v>
      </c>
      <c r="BO134" s="68">
        <v>85.808219178082197</v>
      </c>
      <c r="BP134" s="67">
        <v>85.808219178082197</v>
      </c>
      <c r="BQ134" s="67">
        <v>85.808219178082197</v>
      </c>
      <c r="BR134" s="65"/>
      <c r="BS134" s="68"/>
      <c r="BT134" s="67"/>
      <c r="BU134" s="67"/>
      <c r="BV134" s="65"/>
      <c r="BW134" s="68"/>
      <c r="BX134" s="59"/>
      <c r="BY134" s="59"/>
      <c r="BZ134" s="59"/>
      <c r="CA134" s="59"/>
      <c r="CB134" s="59"/>
      <c r="CC134" s="59"/>
      <c r="CD134" s="59"/>
      <c r="CE134" s="59"/>
      <c r="CF134" s="59"/>
      <c r="CG134" s="59"/>
      <c r="CH134" s="59"/>
      <c r="CI134" s="59"/>
      <c r="CJ134" s="59"/>
      <c r="CK134" s="59"/>
      <c r="CL134" s="59"/>
    </row>
    <row r="135" spans="1:90" x14ac:dyDescent="0.25">
      <c r="A135" s="9"/>
      <c r="B135" s="9"/>
      <c r="C135" s="3" t="s">
        <v>47</v>
      </c>
      <c r="D135" s="3"/>
      <c r="E135" s="3"/>
      <c r="F135" s="20"/>
      <c r="G135" s="20"/>
      <c r="H135" s="52"/>
      <c r="I135" s="53"/>
      <c r="J135" s="53"/>
      <c r="K135" s="54"/>
      <c r="L135" s="62">
        <v>102.54</v>
      </c>
      <c r="M135" s="63">
        <v>96.14</v>
      </c>
      <c r="N135" s="63">
        <v>83.34</v>
      </c>
      <c r="O135" s="64">
        <v>83.34</v>
      </c>
      <c r="P135" s="62">
        <v>83.34</v>
      </c>
      <c r="Q135" s="63">
        <v>83.13333333333334</v>
      </c>
      <c r="R135" s="63">
        <v>82.72</v>
      </c>
      <c r="S135" s="64">
        <v>82.72</v>
      </c>
      <c r="T135" s="63">
        <v>82.72</v>
      </c>
      <c r="U135" s="63">
        <v>86.433333333333337</v>
      </c>
      <c r="V135" s="63">
        <v>93.86</v>
      </c>
      <c r="W135" s="64">
        <v>93.86</v>
      </c>
      <c r="X135" s="63">
        <v>93.86</v>
      </c>
      <c r="Y135" s="63">
        <v>96.874703196347028</v>
      </c>
      <c r="Z135" s="63">
        <v>102.9041095890411</v>
      </c>
      <c r="AA135" s="64">
        <v>102.9041095890411</v>
      </c>
      <c r="AB135" s="63">
        <v>103</v>
      </c>
      <c r="AC135" s="63"/>
      <c r="AD135" s="63">
        <v>219</v>
      </c>
      <c r="AE135" s="64">
        <v>219</v>
      </c>
      <c r="AF135" s="65">
        <v>219</v>
      </c>
      <c r="AG135" s="65">
        <v>310.38356164383561</v>
      </c>
      <c r="AH135" s="65">
        <v>493.15068493150687</v>
      </c>
      <c r="AI135" s="66">
        <v>493.15068493150687</v>
      </c>
      <c r="AJ135" s="65">
        <v>493.15068493150687</v>
      </c>
      <c r="AK135" s="67">
        <v>433.42465753424653</v>
      </c>
      <c r="AL135" s="65">
        <v>313.97260273972609</v>
      </c>
      <c r="AM135" s="68">
        <v>313.97260273972609</v>
      </c>
      <c r="AN135" s="67">
        <v>313.97260273972609</v>
      </c>
      <c r="AO135" s="67">
        <v>286.35616438356169</v>
      </c>
      <c r="AP135" s="65">
        <v>231.12328767123287</v>
      </c>
      <c r="AQ135" s="68">
        <v>231.12328767123287</v>
      </c>
      <c r="AR135" s="67">
        <v>231.12328767123287</v>
      </c>
      <c r="AS135" s="67">
        <v>212.13150684931506</v>
      </c>
      <c r="AT135" s="65">
        <v>174.14794520547943</v>
      </c>
      <c r="AU135" s="68">
        <v>174.14794520547943</v>
      </c>
      <c r="AV135" s="67">
        <v>174.14794520547943</v>
      </c>
      <c r="AW135" s="67">
        <v>166.83835616438353</v>
      </c>
      <c r="AX135" s="65">
        <v>152.21917808219177</v>
      </c>
      <c r="AY135" s="68">
        <v>152.21917808219177</v>
      </c>
      <c r="AZ135" s="67">
        <v>152.21917808219177</v>
      </c>
      <c r="BA135" s="67">
        <v>143.12328767123284</v>
      </c>
      <c r="BB135" s="65">
        <v>124.93150684931504</v>
      </c>
      <c r="BC135" s="68">
        <v>124.93150684931504</v>
      </c>
      <c r="BD135" s="67">
        <v>124.93150684931504</v>
      </c>
      <c r="BE135" s="67">
        <v>105.20547945205477</v>
      </c>
      <c r="BF135" s="65">
        <v>65.753424657534254</v>
      </c>
      <c r="BG135" s="68">
        <v>65.753424657534254</v>
      </c>
      <c r="BH135" s="67">
        <v>65.753424657534254</v>
      </c>
      <c r="BI135" s="67">
        <v>71.013698630136986</v>
      </c>
      <c r="BJ135" s="65">
        <v>81.534246575342451</v>
      </c>
      <c r="BK135" s="68">
        <v>81.534246575342451</v>
      </c>
      <c r="BL135" s="67">
        <v>81.534246575342451</v>
      </c>
      <c r="BM135" s="67">
        <v>81.534246575342451</v>
      </c>
      <c r="BN135" s="65">
        <v>81.534246575342451</v>
      </c>
      <c r="BO135" s="68">
        <v>81.534246575342451</v>
      </c>
      <c r="BP135" s="67">
        <v>81.534246575342451</v>
      </c>
      <c r="BQ135" s="67">
        <v>81.534246575342451</v>
      </c>
      <c r="BR135" s="65"/>
      <c r="BS135" s="68"/>
      <c r="BT135" s="67"/>
      <c r="BU135" s="67"/>
      <c r="BV135" s="65"/>
      <c r="BW135" s="68"/>
      <c r="BX135" s="59"/>
      <c r="BY135" s="59"/>
      <c r="BZ135" s="59"/>
      <c r="CA135" s="59"/>
      <c r="CB135" s="59"/>
      <c r="CC135" s="59"/>
      <c r="CD135" s="59"/>
      <c r="CE135" s="59"/>
      <c r="CF135" s="59"/>
      <c r="CG135" s="59"/>
      <c r="CH135" s="59"/>
      <c r="CI135" s="59"/>
      <c r="CJ135" s="59"/>
      <c r="CK135" s="59"/>
      <c r="CL135" s="59"/>
    </row>
    <row r="136" spans="1:90" x14ac:dyDescent="0.25">
      <c r="A136" s="9"/>
      <c r="B136" s="9"/>
      <c r="C136" s="3" t="s">
        <v>48</v>
      </c>
      <c r="D136" s="3"/>
      <c r="E136" s="3"/>
      <c r="F136" s="20"/>
      <c r="G136" s="20"/>
      <c r="H136" s="30"/>
      <c r="I136" s="53"/>
      <c r="J136" s="53"/>
      <c r="K136" s="54"/>
      <c r="L136" s="62">
        <v>5</v>
      </c>
      <c r="M136" s="63">
        <v>29</v>
      </c>
      <c r="N136" s="63">
        <v>41</v>
      </c>
      <c r="O136" s="64">
        <v>31.666666666666668</v>
      </c>
      <c r="P136" s="62">
        <v>27</v>
      </c>
      <c r="Q136" s="63">
        <v>101</v>
      </c>
      <c r="R136" s="63">
        <v>138</v>
      </c>
      <c r="S136" s="64">
        <v>108.66666666666667</v>
      </c>
      <c r="T136" s="63">
        <v>246</v>
      </c>
      <c r="U136" s="70">
        <v>300.30136986301369</v>
      </c>
      <c r="V136" s="70">
        <v>327.45205479452056</v>
      </c>
      <c r="W136" s="58">
        <v>238.46575342465755</v>
      </c>
      <c r="X136" s="57">
        <v>193.97260273972606</v>
      </c>
      <c r="Y136" s="57">
        <v>250.95890410958904</v>
      </c>
      <c r="Z136" s="57">
        <v>279.45205479452056</v>
      </c>
      <c r="AA136" s="58">
        <v>174.90410958904107</v>
      </c>
      <c r="AB136" s="57">
        <v>122.63013698630137</v>
      </c>
      <c r="AC136" s="57"/>
      <c r="AD136" s="57">
        <v>271.23287671232879</v>
      </c>
      <c r="AE136" s="58">
        <v>167.12328767123287</v>
      </c>
      <c r="AF136" s="57">
        <v>115.06849315068493</v>
      </c>
      <c r="AG136" s="57">
        <v>219.17808219178082</v>
      </c>
      <c r="AH136" s="57">
        <v>271.23287671232879</v>
      </c>
      <c r="AI136" s="58">
        <v>167.12328767123287</v>
      </c>
      <c r="AJ136" s="57">
        <v>115.06849315068493</v>
      </c>
      <c r="AK136" s="67">
        <v>219.17808219178082</v>
      </c>
      <c r="AL136" s="67">
        <v>271.23287671232879</v>
      </c>
      <c r="AM136" s="54">
        <v>167.12328767123287</v>
      </c>
      <c r="AN136" s="53">
        <v>115.06849315068493</v>
      </c>
      <c r="AO136" s="67">
        <v>219.17808219178082</v>
      </c>
      <c r="AP136" s="67">
        <v>271.23287671232879</v>
      </c>
      <c r="AQ136" s="54">
        <v>167.12328767123287</v>
      </c>
      <c r="AR136" s="53">
        <v>115.06849315068493</v>
      </c>
      <c r="AS136" s="67">
        <v>219.17808219178082</v>
      </c>
      <c r="AT136" s="67">
        <v>271.23287671232879</v>
      </c>
      <c r="AU136" s="54">
        <v>167.12328767123287</v>
      </c>
      <c r="AV136" s="53">
        <v>115.06849315068493</v>
      </c>
      <c r="AW136" s="67">
        <v>219.17808219178082</v>
      </c>
      <c r="AX136" s="67">
        <v>271.23287671232879</v>
      </c>
      <c r="AY136" s="68">
        <v>167.12328767123287</v>
      </c>
      <c r="AZ136" s="53">
        <v>115.06849315068493</v>
      </c>
      <c r="BA136" s="67">
        <v>219.17808219178082</v>
      </c>
      <c r="BB136" s="67">
        <v>271.23287671232879</v>
      </c>
      <c r="BC136" s="68">
        <v>167.12328767123287</v>
      </c>
      <c r="BD136" s="53">
        <v>115.06849315068493</v>
      </c>
      <c r="BE136" s="67">
        <v>219.17808219178082</v>
      </c>
      <c r="BF136" s="67">
        <v>271.23287671232879</v>
      </c>
      <c r="BG136" s="68">
        <v>167.12328767123287</v>
      </c>
      <c r="BH136" s="53">
        <v>115.06849315068493</v>
      </c>
      <c r="BI136" s="67">
        <v>219.17808219178082</v>
      </c>
      <c r="BJ136" s="67">
        <v>271.23287671232879</v>
      </c>
      <c r="BK136" s="68">
        <v>167.12328767123287</v>
      </c>
      <c r="BL136" s="53">
        <v>115.06849315068493</v>
      </c>
      <c r="BM136" s="67">
        <v>219.17808219178082</v>
      </c>
      <c r="BN136" s="67">
        <v>271.23287671232879</v>
      </c>
      <c r="BO136" s="68">
        <v>167.12328767123287</v>
      </c>
      <c r="BP136" s="53">
        <v>115.06849315068493</v>
      </c>
      <c r="BQ136" s="67">
        <v>219.17808219178082</v>
      </c>
      <c r="BR136" s="67"/>
      <c r="BS136" s="68"/>
      <c r="BT136" s="53"/>
      <c r="BU136" s="67"/>
      <c r="BV136" s="67"/>
      <c r="BW136" s="68"/>
      <c r="BX136" s="59"/>
      <c r="BY136" s="59"/>
      <c r="BZ136" s="59"/>
      <c r="CA136" s="59"/>
      <c r="CB136" s="59"/>
      <c r="CC136" s="59"/>
      <c r="CD136" s="59"/>
      <c r="CE136" s="59"/>
      <c r="CF136" s="59"/>
      <c r="CG136" s="59"/>
      <c r="CH136" s="59"/>
      <c r="CI136" s="59"/>
      <c r="CJ136" s="59"/>
      <c r="CK136" s="59"/>
      <c r="CL136" s="59"/>
    </row>
    <row r="137" spans="1:90" x14ac:dyDescent="0.25">
      <c r="A137" s="9"/>
      <c r="B137" s="9"/>
      <c r="C137" s="3" t="s">
        <v>49</v>
      </c>
      <c r="D137" s="3"/>
      <c r="E137" s="3"/>
      <c r="F137" s="20"/>
      <c r="G137" s="20"/>
      <c r="H137" s="52"/>
      <c r="I137" s="31"/>
      <c r="J137" s="31"/>
      <c r="K137" s="32"/>
      <c r="L137" s="62">
        <v>102.54</v>
      </c>
      <c r="M137" s="63">
        <v>96.14</v>
      </c>
      <c r="N137" s="63">
        <v>83.34</v>
      </c>
      <c r="O137" s="64">
        <v>83.34</v>
      </c>
      <c r="P137" s="62">
        <v>83.34</v>
      </c>
      <c r="Q137" s="63">
        <v>83.13333333333334</v>
      </c>
      <c r="R137" s="63">
        <v>82.72</v>
      </c>
      <c r="S137" s="64">
        <v>82.72</v>
      </c>
      <c r="T137" s="63">
        <v>82.72</v>
      </c>
      <c r="U137" s="63">
        <v>86.433333333333337</v>
      </c>
      <c r="V137" s="63">
        <v>93.86</v>
      </c>
      <c r="W137" s="64">
        <v>93.86</v>
      </c>
      <c r="X137" s="63">
        <v>93.86</v>
      </c>
      <c r="Y137" s="63">
        <v>96.874703196347028</v>
      </c>
      <c r="Z137" s="63">
        <v>102.9041095890411</v>
      </c>
      <c r="AA137" s="64">
        <v>102.9041095890411</v>
      </c>
      <c r="AB137" s="63">
        <v>103</v>
      </c>
      <c r="AC137" s="63"/>
      <c r="AD137" s="63">
        <v>90.21</v>
      </c>
      <c r="AE137" s="64">
        <v>90.21</v>
      </c>
      <c r="AF137" s="65">
        <v>90.21</v>
      </c>
      <c r="AG137" s="65">
        <v>137.126301369863</v>
      </c>
      <c r="AH137" s="65">
        <v>230.95890410958907</v>
      </c>
      <c r="AI137" s="66">
        <v>230.95890410958907</v>
      </c>
      <c r="AJ137" s="65">
        <v>230.95890410958907</v>
      </c>
      <c r="AK137" s="67">
        <v>275.39726027397262</v>
      </c>
      <c r="AL137" s="65">
        <v>364.27397260273972</v>
      </c>
      <c r="AM137" s="68">
        <v>364.27397260273972</v>
      </c>
      <c r="AN137" s="67">
        <v>364.27397260273972</v>
      </c>
      <c r="AO137" s="67">
        <v>319.89041095890411</v>
      </c>
      <c r="AP137" s="65">
        <v>231.12328767123287</v>
      </c>
      <c r="AQ137" s="68">
        <v>231.12328767123287</v>
      </c>
      <c r="AR137" s="67">
        <v>231.12328767123287</v>
      </c>
      <c r="AS137" s="67">
        <v>212.13150684931506</v>
      </c>
      <c r="AT137" s="65">
        <v>174.14794520547943</v>
      </c>
      <c r="AU137" s="68">
        <v>174.14794520547943</v>
      </c>
      <c r="AV137" s="67">
        <v>174.14794520547943</v>
      </c>
      <c r="AW137" s="67">
        <v>166.83835616438353</v>
      </c>
      <c r="AX137" s="65">
        <v>152.21917808219177</v>
      </c>
      <c r="AY137" s="68">
        <v>152.21917808219177</v>
      </c>
      <c r="AZ137" s="67">
        <v>152.21917808219177</v>
      </c>
      <c r="BA137" s="67">
        <v>143.12328767123284</v>
      </c>
      <c r="BB137" s="65">
        <v>124.93150684931504</v>
      </c>
      <c r="BC137" s="68">
        <v>124.93150684931504</v>
      </c>
      <c r="BD137" s="67">
        <v>124.93150684931504</v>
      </c>
      <c r="BE137" s="67">
        <v>105.20547945205477</v>
      </c>
      <c r="BF137" s="65">
        <v>65.753424657534254</v>
      </c>
      <c r="BG137" s="68">
        <v>65.753424657534254</v>
      </c>
      <c r="BH137" s="67">
        <v>65.753424657534254</v>
      </c>
      <c r="BI137" s="67">
        <v>87.452054794520549</v>
      </c>
      <c r="BJ137" s="65">
        <v>130.84931506849315</v>
      </c>
      <c r="BK137" s="68">
        <v>130.84931506849315</v>
      </c>
      <c r="BL137" s="67">
        <v>130.84931506849315</v>
      </c>
      <c r="BM137" s="67">
        <v>130.84931506849313</v>
      </c>
      <c r="BN137" s="65">
        <v>130.84931506849315</v>
      </c>
      <c r="BO137" s="68">
        <v>130.84931506849315</v>
      </c>
      <c r="BP137" s="67">
        <v>130.84931506849315</v>
      </c>
      <c r="BQ137" s="67">
        <v>130.84931506849313</v>
      </c>
      <c r="BR137" s="65"/>
      <c r="BS137" s="68"/>
      <c r="BT137" s="67"/>
      <c r="BU137" s="67"/>
      <c r="BV137" s="65"/>
      <c r="BW137" s="68"/>
      <c r="BX137" s="59"/>
      <c r="BY137" s="59"/>
      <c r="BZ137" s="59"/>
      <c r="CA137" s="59"/>
      <c r="CB137" s="59"/>
      <c r="CC137" s="59"/>
      <c r="CD137" s="59"/>
      <c r="CE137" s="59"/>
      <c r="CF137" s="59"/>
      <c r="CG137" s="59"/>
      <c r="CH137" s="59"/>
      <c r="CI137" s="59"/>
      <c r="CJ137" s="59"/>
      <c r="CK137" s="59"/>
      <c r="CL137" s="59"/>
    </row>
    <row r="138" spans="1:90" x14ac:dyDescent="0.25">
      <c r="A138" s="9"/>
      <c r="B138" s="9"/>
      <c r="C138" s="3"/>
      <c r="D138" s="3"/>
      <c r="E138" s="3"/>
      <c r="F138" s="20"/>
      <c r="G138" s="20"/>
      <c r="H138" s="52"/>
      <c r="I138" s="31"/>
      <c r="J138" s="31"/>
      <c r="K138" s="32"/>
      <c r="L138" s="62"/>
      <c r="M138" s="63"/>
      <c r="N138" s="63"/>
      <c r="O138" s="64"/>
      <c r="P138" s="62"/>
      <c r="Q138" s="63"/>
      <c r="R138" s="63"/>
      <c r="S138" s="64"/>
      <c r="T138" s="63"/>
      <c r="U138" s="63"/>
      <c r="V138" s="63"/>
      <c r="W138" s="64"/>
      <c r="X138" s="63"/>
      <c r="Y138" s="63"/>
      <c r="Z138" s="63"/>
      <c r="AA138" s="64"/>
      <c r="AB138" s="63"/>
      <c r="AC138" s="63"/>
      <c r="AD138" s="63"/>
      <c r="AE138" s="64"/>
      <c r="AF138" s="65"/>
      <c r="AG138" s="65"/>
      <c r="AH138" s="65"/>
      <c r="AI138" s="66"/>
      <c r="AJ138" s="65"/>
      <c r="AK138" s="67"/>
      <c r="AL138" s="65"/>
      <c r="AM138" s="68"/>
      <c r="AN138" s="67"/>
      <c r="AO138" s="67"/>
      <c r="AP138" s="65"/>
      <c r="AQ138" s="68"/>
      <c r="AR138" s="67"/>
      <c r="AS138" s="67"/>
      <c r="AT138" s="65"/>
      <c r="AU138" s="68"/>
      <c r="AV138" s="67"/>
      <c r="AW138" s="67"/>
      <c r="AX138" s="65"/>
      <c r="AY138" s="68"/>
      <c r="AZ138" s="67"/>
      <c r="BA138" s="67"/>
      <c r="BB138" s="65"/>
      <c r="BC138" s="68"/>
      <c r="BD138" s="67"/>
      <c r="BE138" s="67"/>
      <c r="BF138" s="65"/>
      <c r="BG138" s="68"/>
      <c r="BH138" s="67"/>
      <c r="BI138" s="67"/>
      <c r="BJ138" s="65"/>
      <c r="BK138" s="68"/>
      <c r="BL138" s="67"/>
      <c r="BM138" s="67"/>
      <c r="BN138" s="65"/>
      <c r="BO138" s="68"/>
      <c r="BP138" s="67"/>
      <c r="BQ138" s="67"/>
      <c r="BR138" s="65"/>
      <c r="BS138" s="68"/>
      <c r="BT138" s="67"/>
      <c r="BU138" s="67"/>
      <c r="BV138" s="65"/>
      <c r="BW138" s="68"/>
      <c r="BX138" s="59"/>
      <c r="BY138" s="59"/>
      <c r="BZ138" s="59"/>
      <c r="CA138" s="59"/>
      <c r="CB138" s="59"/>
      <c r="CC138" s="59"/>
      <c r="CD138" s="59"/>
      <c r="CE138" s="59"/>
      <c r="CF138" s="59"/>
      <c r="CG138" s="59"/>
      <c r="CH138" s="59"/>
      <c r="CI138" s="59"/>
      <c r="CJ138" s="59"/>
      <c r="CK138" s="59"/>
      <c r="CL138" s="59"/>
    </row>
    <row r="139" spans="1:90" x14ac:dyDescent="0.25">
      <c r="A139" s="9"/>
      <c r="B139" s="9"/>
      <c r="C139" s="1" t="s">
        <v>50</v>
      </c>
      <c r="D139" s="46"/>
      <c r="E139" s="78"/>
      <c r="F139" s="78"/>
      <c r="G139" s="78"/>
      <c r="H139" s="52"/>
      <c r="I139" s="53"/>
      <c r="J139" s="53"/>
      <c r="K139" s="54"/>
      <c r="L139" s="52"/>
      <c r="M139" s="53"/>
      <c r="N139" s="53"/>
      <c r="O139" s="58"/>
      <c r="P139" s="71"/>
      <c r="Q139" s="57"/>
      <c r="R139" s="57"/>
      <c r="S139" s="58"/>
      <c r="T139" s="57"/>
      <c r="U139" s="57"/>
      <c r="V139" s="57"/>
      <c r="W139" s="58"/>
      <c r="X139" s="57"/>
      <c r="Y139" s="57"/>
      <c r="Z139" s="57"/>
      <c r="AA139" s="58"/>
      <c r="AB139" s="57"/>
      <c r="AC139" s="57"/>
      <c r="AD139" s="57"/>
      <c r="AE139" s="58"/>
      <c r="AF139" s="70"/>
      <c r="AG139" s="70"/>
      <c r="AH139" s="70"/>
      <c r="AI139" s="72"/>
      <c r="AJ139" s="70"/>
      <c r="AK139" s="53"/>
      <c r="AL139" s="53"/>
      <c r="AM139" s="72"/>
      <c r="AN139" s="70"/>
      <c r="AO139" s="53"/>
      <c r="AP139" s="53"/>
      <c r="AQ139" s="72"/>
      <c r="AR139" s="53"/>
      <c r="AS139" s="53"/>
      <c r="AT139" s="53"/>
      <c r="AU139" s="72"/>
      <c r="AV139" s="53"/>
      <c r="AW139" s="53"/>
      <c r="AX139" s="53"/>
      <c r="AY139" s="54"/>
      <c r="AZ139" s="53"/>
      <c r="BA139" s="53"/>
      <c r="BB139" s="53"/>
      <c r="BC139" s="54"/>
      <c r="BD139" s="53"/>
      <c r="BE139" s="53"/>
      <c r="BF139" s="53"/>
      <c r="BG139" s="54"/>
      <c r="BH139" s="53"/>
      <c r="BI139" s="53"/>
      <c r="BJ139" s="53"/>
      <c r="BK139" s="54"/>
      <c r="BL139" s="53"/>
      <c r="BM139" s="53"/>
      <c r="BN139" s="53"/>
      <c r="BO139" s="54"/>
      <c r="BP139" s="53"/>
      <c r="BQ139" s="53"/>
      <c r="BR139" s="53"/>
      <c r="BS139" s="54"/>
      <c r="BT139" s="53"/>
      <c r="BU139" s="53"/>
      <c r="BV139" s="53"/>
      <c r="BW139" s="54"/>
      <c r="BX139" s="59"/>
      <c r="BY139" s="59"/>
      <c r="BZ139" s="59"/>
      <c r="CA139" s="59"/>
      <c r="CB139" s="59"/>
      <c r="CC139" s="59"/>
      <c r="CD139" s="59"/>
      <c r="CE139" s="59"/>
      <c r="CF139" s="59"/>
      <c r="CG139" s="59"/>
      <c r="CH139" s="59"/>
      <c r="CI139" s="59"/>
      <c r="CJ139" s="59"/>
      <c r="CK139" s="59"/>
      <c r="CL139" s="59"/>
    </row>
    <row r="140" spans="1:90" x14ac:dyDescent="0.25">
      <c r="A140" s="9"/>
      <c r="B140" s="9"/>
      <c r="C140" s="3" t="s">
        <v>51</v>
      </c>
      <c r="D140" s="3"/>
      <c r="E140" s="3"/>
      <c r="F140" s="20"/>
      <c r="G140" s="20"/>
      <c r="H140" s="52"/>
      <c r="I140" s="57"/>
      <c r="J140" s="57"/>
      <c r="K140" s="58"/>
      <c r="L140" s="71"/>
      <c r="M140" s="57"/>
      <c r="N140" s="57"/>
      <c r="O140" s="58"/>
      <c r="P140" s="71">
        <v>0</v>
      </c>
      <c r="Q140" s="57">
        <v>0</v>
      </c>
      <c r="R140" s="57">
        <v>0</v>
      </c>
      <c r="S140" s="58">
        <v>0</v>
      </c>
      <c r="T140" s="57">
        <v>0</v>
      </c>
      <c r="U140" s="57">
        <v>0</v>
      </c>
      <c r="V140" s="57">
        <v>0</v>
      </c>
      <c r="W140" s="58">
        <v>0</v>
      </c>
      <c r="X140" s="57">
        <v>0</v>
      </c>
      <c r="Y140" s="57">
        <v>0</v>
      </c>
      <c r="Z140" s="57">
        <v>0</v>
      </c>
      <c r="AA140" s="58">
        <v>0</v>
      </c>
      <c r="AB140" s="57">
        <v>0</v>
      </c>
      <c r="AC140" s="57"/>
      <c r="AD140" s="57">
        <v>0</v>
      </c>
      <c r="AE140" s="58">
        <v>0</v>
      </c>
      <c r="AF140" s="57">
        <v>0</v>
      </c>
      <c r="AG140" s="57">
        <v>0</v>
      </c>
      <c r="AH140" s="57">
        <v>0</v>
      </c>
      <c r="AI140" s="58">
        <v>0</v>
      </c>
      <c r="AJ140" s="57">
        <v>0</v>
      </c>
      <c r="AK140" s="53">
        <v>0</v>
      </c>
      <c r="AL140" s="53">
        <v>0</v>
      </c>
      <c r="AM140" s="58">
        <v>0</v>
      </c>
      <c r="AN140" s="57">
        <v>0</v>
      </c>
      <c r="AO140" s="53">
        <v>0</v>
      </c>
      <c r="AP140" s="53">
        <v>0</v>
      </c>
      <c r="AQ140" s="58">
        <v>0</v>
      </c>
      <c r="AR140" s="53">
        <v>0</v>
      </c>
      <c r="AS140" s="53">
        <v>0</v>
      </c>
      <c r="AT140" s="53">
        <v>0</v>
      </c>
      <c r="AU140" s="58">
        <v>0</v>
      </c>
      <c r="AV140" s="53">
        <v>0</v>
      </c>
      <c r="AW140" s="53">
        <v>0</v>
      </c>
      <c r="AX140" s="53">
        <v>0</v>
      </c>
      <c r="AY140" s="54">
        <v>0</v>
      </c>
      <c r="AZ140" s="53">
        <v>0</v>
      </c>
      <c r="BA140" s="53">
        <v>0</v>
      </c>
      <c r="BB140" s="53">
        <v>0</v>
      </c>
      <c r="BC140" s="54">
        <v>0</v>
      </c>
      <c r="BD140" s="53">
        <v>0</v>
      </c>
      <c r="BE140" s="53">
        <v>0</v>
      </c>
      <c r="BF140" s="53">
        <v>0</v>
      </c>
      <c r="BG140" s="54">
        <v>0</v>
      </c>
      <c r="BH140" s="53">
        <v>0</v>
      </c>
      <c r="BI140" s="53">
        <v>0</v>
      </c>
      <c r="BJ140" s="53">
        <v>0</v>
      </c>
      <c r="BK140" s="54">
        <v>0</v>
      </c>
      <c r="BL140" s="53">
        <v>0</v>
      </c>
      <c r="BM140" s="53">
        <v>0</v>
      </c>
      <c r="BN140" s="53">
        <v>0</v>
      </c>
      <c r="BO140" s="54">
        <v>0</v>
      </c>
      <c r="BP140" s="53">
        <v>0</v>
      </c>
      <c r="BQ140" s="53">
        <v>0</v>
      </c>
      <c r="BR140" s="53"/>
      <c r="BS140" s="54"/>
      <c r="BT140" s="53"/>
      <c r="BU140" s="53"/>
      <c r="BV140" s="53"/>
      <c r="BW140" s="54"/>
      <c r="BX140" s="59"/>
      <c r="BY140" s="59"/>
      <c r="BZ140" s="59"/>
      <c r="CA140" s="59"/>
      <c r="CB140" s="59"/>
      <c r="CC140" s="59"/>
      <c r="CD140" s="59"/>
      <c r="CE140" s="59"/>
      <c r="CF140" s="59"/>
      <c r="CG140" s="59"/>
      <c r="CH140" s="59"/>
      <c r="CI140" s="59"/>
      <c r="CJ140" s="59"/>
      <c r="CK140" s="59"/>
      <c r="CL140" s="59"/>
    </row>
    <row r="141" spans="1:90" x14ac:dyDescent="0.25">
      <c r="A141" s="9"/>
      <c r="B141" s="9"/>
      <c r="C141" s="3" t="s">
        <v>52</v>
      </c>
      <c r="D141" s="3"/>
      <c r="E141" s="3"/>
      <c r="F141" s="20"/>
      <c r="G141" s="20"/>
      <c r="H141" s="52"/>
      <c r="I141" s="57"/>
      <c r="J141" s="57"/>
      <c r="K141" s="58"/>
      <c r="L141" s="71"/>
      <c r="M141" s="57"/>
      <c r="N141" s="57"/>
      <c r="O141" s="58"/>
      <c r="P141" s="71">
        <v>1.97</v>
      </c>
      <c r="Q141" s="57">
        <v>1.97</v>
      </c>
      <c r="R141" s="57">
        <v>1.97</v>
      </c>
      <c r="S141" s="58">
        <v>1.97</v>
      </c>
      <c r="T141" s="57">
        <v>4</v>
      </c>
      <c r="U141" s="57">
        <v>4</v>
      </c>
      <c r="V141" s="57">
        <v>4</v>
      </c>
      <c r="W141" s="58">
        <v>4</v>
      </c>
      <c r="X141" s="57">
        <v>6</v>
      </c>
      <c r="Y141" s="57">
        <v>6</v>
      </c>
      <c r="Z141" s="57">
        <v>6</v>
      </c>
      <c r="AA141" s="58">
        <v>6</v>
      </c>
      <c r="AB141" s="57">
        <v>8</v>
      </c>
      <c r="AC141" s="57"/>
      <c r="AD141" s="57">
        <v>8</v>
      </c>
      <c r="AE141" s="58">
        <v>8</v>
      </c>
      <c r="AF141" s="57">
        <v>10</v>
      </c>
      <c r="AG141" s="57">
        <v>10</v>
      </c>
      <c r="AH141" s="57">
        <v>10</v>
      </c>
      <c r="AI141" s="58">
        <v>10</v>
      </c>
      <c r="AJ141" s="57">
        <v>10</v>
      </c>
      <c r="AK141" s="53">
        <v>10</v>
      </c>
      <c r="AL141" s="53">
        <v>10</v>
      </c>
      <c r="AM141" s="58">
        <v>10</v>
      </c>
      <c r="AN141" s="57">
        <v>10</v>
      </c>
      <c r="AO141" s="53">
        <v>10</v>
      </c>
      <c r="AP141" s="53">
        <v>10</v>
      </c>
      <c r="AQ141" s="58">
        <v>10</v>
      </c>
      <c r="AR141" s="53">
        <v>10</v>
      </c>
      <c r="AS141" s="53">
        <v>10</v>
      </c>
      <c r="AT141" s="53">
        <v>10</v>
      </c>
      <c r="AU141" s="58">
        <v>10</v>
      </c>
      <c r="AV141" s="53">
        <v>10</v>
      </c>
      <c r="AW141" s="53">
        <v>10</v>
      </c>
      <c r="AX141" s="53">
        <v>10</v>
      </c>
      <c r="AY141" s="54">
        <v>10</v>
      </c>
      <c r="AZ141" s="53">
        <v>10</v>
      </c>
      <c r="BA141" s="53">
        <v>10</v>
      </c>
      <c r="BB141" s="53">
        <v>10</v>
      </c>
      <c r="BC141" s="54">
        <v>10</v>
      </c>
      <c r="BD141" s="53">
        <v>10</v>
      </c>
      <c r="BE141" s="53">
        <v>10</v>
      </c>
      <c r="BF141" s="53">
        <v>10</v>
      </c>
      <c r="BG141" s="54">
        <v>10</v>
      </c>
      <c r="BH141" s="53">
        <v>10</v>
      </c>
      <c r="BI141" s="53">
        <v>10</v>
      </c>
      <c r="BJ141" s="53">
        <v>10</v>
      </c>
      <c r="BK141" s="54">
        <v>10</v>
      </c>
      <c r="BL141" s="53">
        <v>10</v>
      </c>
      <c r="BM141" s="53">
        <v>10</v>
      </c>
      <c r="BN141" s="53">
        <v>10</v>
      </c>
      <c r="BO141" s="54">
        <v>10</v>
      </c>
      <c r="BP141" s="53">
        <v>10</v>
      </c>
      <c r="BQ141" s="53">
        <v>10</v>
      </c>
      <c r="BR141" s="53"/>
      <c r="BS141" s="54"/>
      <c r="BT141" s="53"/>
      <c r="BU141" s="53"/>
      <c r="BV141" s="53"/>
      <c r="BW141" s="54"/>
      <c r="BX141" s="59"/>
      <c r="BY141" s="59"/>
      <c r="BZ141" s="59"/>
      <c r="CA141" s="59"/>
      <c r="CB141" s="59"/>
      <c r="CC141" s="59"/>
      <c r="CD141" s="59"/>
      <c r="CE141" s="59"/>
      <c r="CF141" s="59"/>
      <c r="CG141" s="59"/>
      <c r="CH141" s="59"/>
      <c r="CI141" s="59"/>
      <c r="CJ141" s="59"/>
      <c r="CK141" s="59"/>
      <c r="CL141" s="59"/>
    </row>
    <row r="142" spans="1:90" x14ac:dyDescent="0.25">
      <c r="A142" s="9"/>
      <c r="B142" s="9"/>
      <c r="C142" s="3" t="s">
        <v>53</v>
      </c>
      <c r="D142" s="3"/>
      <c r="E142" s="3"/>
      <c r="F142" s="20"/>
      <c r="G142" s="20"/>
      <c r="H142" s="52"/>
      <c r="I142" s="57"/>
      <c r="J142" s="57"/>
      <c r="K142" s="58"/>
      <c r="L142" s="71"/>
      <c r="M142" s="57"/>
      <c r="N142" s="57"/>
      <c r="O142" s="58"/>
      <c r="P142" s="71">
        <v>0</v>
      </c>
      <c r="Q142" s="57">
        <v>0</v>
      </c>
      <c r="R142" s="57">
        <v>0</v>
      </c>
      <c r="S142" s="58">
        <v>0</v>
      </c>
      <c r="T142" s="57">
        <v>0</v>
      </c>
      <c r="U142" s="57">
        <v>0</v>
      </c>
      <c r="V142" s="57">
        <v>0</v>
      </c>
      <c r="W142" s="58">
        <v>0</v>
      </c>
      <c r="X142" s="57">
        <v>0</v>
      </c>
      <c r="Y142" s="57">
        <v>0</v>
      </c>
      <c r="Z142" s="57">
        <v>0</v>
      </c>
      <c r="AA142" s="58">
        <v>0</v>
      </c>
      <c r="AB142" s="57">
        <v>0</v>
      </c>
      <c r="AC142" s="57"/>
      <c r="AD142" s="57">
        <v>0</v>
      </c>
      <c r="AE142" s="58">
        <v>0</v>
      </c>
      <c r="AF142" s="57">
        <v>0</v>
      </c>
      <c r="AG142" s="57">
        <v>0</v>
      </c>
      <c r="AH142" s="57">
        <v>0</v>
      </c>
      <c r="AI142" s="58">
        <v>0</v>
      </c>
      <c r="AJ142" s="57">
        <v>0</v>
      </c>
      <c r="AK142" s="53">
        <v>0</v>
      </c>
      <c r="AL142" s="53">
        <v>0</v>
      </c>
      <c r="AM142" s="58">
        <v>0</v>
      </c>
      <c r="AN142" s="57">
        <v>0</v>
      </c>
      <c r="AO142" s="53">
        <v>0</v>
      </c>
      <c r="AP142" s="53">
        <v>0</v>
      </c>
      <c r="AQ142" s="58">
        <v>0</v>
      </c>
      <c r="AR142" s="53">
        <v>0</v>
      </c>
      <c r="AS142" s="53">
        <v>0</v>
      </c>
      <c r="AT142" s="53">
        <v>0</v>
      </c>
      <c r="AU142" s="58">
        <v>0</v>
      </c>
      <c r="AV142" s="53">
        <v>0</v>
      </c>
      <c r="AW142" s="53">
        <v>0</v>
      </c>
      <c r="AX142" s="53">
        <v>0</v>
      </c>
      <c r="AY142" s="54">
        <v>0</v>
      </c>
      <c r="AZ142" s="53">
        <v>0</v>
      </c>
      <c r="BA142" s="53">
        <v>0</v>
      </c>
      <c r="BB142" s="53">
        <v>0</v>
      </c>
      <c r="BC142" s="54">
        <v>0</v>
      </c>
      <c r="BD142" s="53">
        <v>0</v>
      </c>
      <c r="BE142" s="53">
        <v>0</v>
      </c>
      <c r="BF142" s="53">
        <v>0</v>
      </c>
      <c r="BG142" s="54">
        <v>0</v>
      </c>
      <c r="BH142" s="53">
        <v>0</v>
      </c>
      <c r="BI142" s="53">
        <v>0</v>
      </c>
      <c r="BJ142" s="53">
        <v>0</v>
      </c>
      <c r="BK142" s="54">
        <v>0</v>
      </c>
      <c r="BL142" s="53">
        <v>0</v>
      </c>
      <c r="BM142" s="53">
        <v>0</v>
      </c>
      <c r="BN142" s="53">
        <v>0</v>
      </c>
      <c r="BO142" s="54">
        <v>0</v>
      </c>
      <c r="BP142" s="53">
        <v>0</v>
      </c>
      <c r="BQ142" s="53">
        <v>0</v>
      </c>
      <c r="BR142" s="53"/>
      <c r="BS142" s="54"/>
      <c r="BT142" s="53"/>
      <c r="BU142" s="53"/>
      <c r="BV142" s="53"/>
      <c r="BW142" s="54"/>
      <c r="BX142" s="59"/>
      <c r="BY142" s="59"/>
      <c r="BZ142" s="59"/>
      <c r="CA142" s="59"/>
      <c r="CB142" s="59"/>
      <c r="CC142" s="59"/>
      <c r="CD142" s="59"/>
      <c r="CE142" s="59"/>
      <c r="CF142" s="59"/>
      <c r="CG142" s="59"/>
      <c r="CH142" s="59"/>
      <c r="CI142" s="59"/>
      <c r="CJ142" s="59"/>
      <c r="CK142" s="59"/>
      <c r="CL142" s="59"/>
    </row>
    <row r="143" spans="1:90" x14ac:dyDescent="0.25">
      <c r="A143" s="9"/>
      <c r="B143" s="9"/>
      <c r="C143" s="3" t="s">
        <v>54</v>
      </c>
      <c r="D143" s="3"/>
      <c r="E143" s="3"/>
      <c r="F143" s="20"/>
      <c r="G143" s="20"/>
      <c r="H143" s="52"/>
      <c r="I143" s="57"/>
      <c r="J143" s="57"/>
      <c r="K143" s="58"/>
      <c r="L143" s="71"/>
      <c r="M143" s="57"/>
      <c r="N143" s="57"/>
      <c r="O143" s="58"/>
      <c r="P143" s="71">
        <v>0</v>
      </c>
      <c r="Q143" s="57">
        <v>0</v>
      </c>
      <c r="R143" s="57">
        <v>0</v>
      </c>
      <c r="S143" s="58">
        <v>0</v>
      </c>
      <c r="T143" s="57">
        <v>0</v>
      </c>
      <c r="U143" s="57">
        <v>0</v>
      </c>
      <c r="V143" s="57">
        <v>0</v>
      </c>
      <c r="W143" s="58">
        <v>0</v>
      </c>
      <c r="X143" s="57">
        <v>0</v>
      </c>
      <c r="Y143" s="57">
        <v>0</v>
      </c>
      <c r="Z143" s="57">
        <v>0</v>
      </c>
      <c r="AA143" s="58">
        <v>0</v>
      </c>
      <c r="AB143" s="57">
        <v>0</v>
      </c>
      <c r="AC143" s="57"/>
      <c r="AD143" s="57">
        <v>0</v>
      </c>
      <c r="AE143" s="58">
        <v>0</v>
      </c>
      <c r="AF143" s="57">
        <v>0</v>
      </c>
      <c r="AG143" s="57">
        <v>0</v>
      </c>
      <c r="AH143" s="57">
        <v>0</v>
      </c>
      <c r="AI143" s="58">
        <v>0</v>
      </c>
      <c r="AJ143" s="57">
        <v>0</v>
      </c>
      <c r="AK143" s="53">
        <v>0</v>
      </c>
      <c r="AL143" s="53">
        <v>0</v>
      </c>
      <c r="AM143" s="58">
        <v>0</v>
      </c>
      <c r="AN143" s="57">
        <v>0</v>
      </c>
      <c r="AO143" s="53">
        <v>0</v>
      </c>
      <c r="AP143" s="53">
        <v>0</v>
      </c>
      <c r="AQ143" s="58">
        <v>0</v>
      </c>
      <c r="AR143" s="53">
        <v>0</v>
      </c>
      <c r="AS143" s="53">
        <v>0</v>
      </c>
      <c r="AT143" s="53">
        <v>0</v>
      </c>
      <c r="AU143" s="58">
        <v>0</v>
      </c>
      <c r="AV143" s="53">
        <v>0</v>
      </c>
      <c r="AW143" s="53">
        <v>0</v>
      </c>
      <c r="AX143" s="53">
        <v>0</v>
      </c>
      <c r="AY143" s="54">
        <v>0</v>
      </c>
      <c r="AZ143" s="53">
        <v>0</v>
      </c>
      <c r="BA143" s="53">
        <v>0</v>
      </c>
      <c r="BB143" s="53">
        <v>0</v>
      </c>
      <c r="BC143" s="54">
        <v>0</v>
      </c>
      <c r="BD143" s="53">
        <v>0</v>
      </c>
      <c r="BE143" s="53">
        <v>0</v>
      </c>
      <c r="BF143" s="53">
        <v>0</v>
      </c>
      <c r="BG143" s="54">
        <v>0</v>
      </c>
      <c r="BH143" s="53">
        <v>0</v>
      </c>
      <c r="BI143" s="53">
        <v>0</v>
      </c>
      <c r="BJ143" s="53">
        <v>0</v>
      </c>
      <c r="BK143" s="54">
        <v>0</v>
      </c>
      <c r="BL143" s="53">
        <v>0</v>
      </c>
      <c r="BM143" s="53">
        <v>0</v>
      </c>
      <c r="BN143" s="53">
        <v>0</v>
      </c>
      <c r="BO143" s="54">
        <v>0</v>
      </c>
      <c r="BP143" s="53">
        <v>0</v>
      </c>
      <c r="BQ143" s="53">
        <v>0</v>
      </c>
      <c r="BR143" s="53"/>
      <c r="BS143" s="54"/>
      <c r="BT143" s="53"/>
      <c r="BU143" s="53"/>
      <c r="BV143" s="53"/>
      <c r="BW143" s="54"/>
      <c r="BX143" s="59"/>
      <c r="BY143" s="59"/>
      <c r="BZ143" s="59"/>
      <c r="CA143" s="59"/>
      <c r="CB143" s="59"/>
      <c r="CC143" s="59"/>
      <c r="CD143" s="59"/>
      <c r="CE143" s="59"/>
      <c r="CF143" s="59"/>
      <c r="CG143" s="59"/>
      <c r="CH143" s="59"/>
      <c r="CI143" s="59"/>
      <c r="CJ143" s="59"/>
      <c r="CK143" s="59"/>
      <c r="CL143" s="59"/>
    </row>
    <row r="144" spans="1:90" x14ac:dyDescent="0.25">
      <c r="A144" s="9"/>
      <c r="B144" s="9"/>
      <c r="C144" s="3" t="s">
        <v>55</v>
      </c>
      <c r="D144" s="3"/>
      <c r="E144" s="3"/>
      <c r="F144" s="20"/>
      <c r="G144" s="20"/>
      <c r="H144" s="52"/>
      <c r="I144" s="57"/>
      <c r="J144" s="57"/>
      <c r="K144" s="58"/>
      <c r="L144" s="71"/>
      <c r="M144" s="57"/>
      <c r="N144" s="57"/>
      <c r="O144" s="58"/>
      <c r="P144" s="71">
        <v>0</v>
      </c>
      <c r="Q144" s="57">
        <v>0</v>
      </c>
      <c r="R144" s="57">
        <v>0</v>
      </c>
      <c r="S144" s="58">
        <v>0</v>
      </c>
      <c r="T144" s="57">
        <v>0</v>
      </c>
      <c r="U144" s="57">
        <v>0</v>
      </c>
      <c r="V144" s="57">
        <v>0</v>
      </c>
      <c r="W144" s="58">
        <v>0</v>
      </c>
      <c r="X144" s="57">
        <v>0</v>
      </c>
      <c r="Y144" s="57">
        <v>0</v>
      </c>
      <c r="Z144" s="57">
        <v>0</v>
      </c>
      <c r="AA144" s="58">
        <v>0</v>
      </c>
      <c r="AB144" s="57">
        <v>0</v>
      </c>
      <c r="AC144" s="57"/>
      <c r="AD144" s="57">
        <v>0</v>
      </c>
      <c r="AE144" s="58">
        <v>0</v>
      </c>
      <c r="AF144" s="57">
        <v>0</v>
      </c>
      <c r="AG144" s="57">
        <v>0</v>
      </c>
      <c r="AH144" s="57">
        <v>0</v>
      </c>
      <c r="AI144" s="58">
        <v>0</v>
      </c>
      <c r="AJ144" s="57">
        <v>0</v>
      </c>
      <c r="AK144" s="53">
        <v>0</v>
      </c>
      <c r="AL144" s="53">
        <v>0</v>
      </c>
      <c r="AM144" s="58">
        <v>0</v>
      </c>
      <c r="AN144" s="57">
        <v>0</v>
      </c>
      <c r="AO144" s="53">
        <v>0</v>
      </c>
      <c r="AP144" s="53">
        <v>0</v>
      </c>
      <c r="AQ144" s="58">
        <v>0</v>
      </c>
      <c r="AR144" s="53">
        <v>0</v>
      </c>
      <c r="AS144" s="53">
        <v>0</v>
      </c>
      <c r="AT144" s="53">
        <v>0</v>
      </c>
      <c r="AU144" s="58">
        <v>0</v>
      </c>
      <c r="AV144" s="53">
        <v>0</v>
      </c>
      <c r="AW144" s="53">
        <v>0</v>
      </c>
      <c r="AX144" s="53">
        <v>0</v>
      </c>
      <c r="AY144" s="54">
        <v>0</v>
      </c>
      <c r="AZ144" s="53">
        <v>0</v>
      </c>
      <c r="BA144" s="53">
        <v>0</v>
      </c>
      <c r="BB144" s="53">
        <v>0</v>
      </c>
      <c r="BC144" s="54">
        <v>0</v>
      </c>
      <c r="BD144" s="53">
        <v>0</v>
      </c>
      <c r="BE144" s="53">
        <v>0</v>
      </c>
      <c r="BF144" s="53">
        <v>0</v>
      </c>
      <c r="BG144" s="54">
        <v>0</v>
      </c>
      <c r="BH144" s="53">
        <v>0</v>
      </c>
      <c r="BI144" s="53">
        <v>0</v>
      </c>
      <c r="BJ144" s="53">
        <v>0</v>
      </c>
      <c r="BK144" s="54">
        <v>0</v>
      </c>
      <c r="BL144" s="53">
        <v>0</v>
      </c>
      <c r="BM144" s="53">
        <v>0</v>
      </c>
      <c r="BN144" s="53">
        <v>0</v>
      </c>
      <c r="BO144" s="54">
        <v>0</v>
      </c>
      <c r="BP144" s="53">
        <v>0</v>
      </c>
      <c r="BQ144" s="53">
        <v>0</v>
      </c>
      <c r="BR144" s="53"/>
      <c r="BS144" s="54"/>
      <c r="BT144" s="53"/>
      <c r="BU144" s="53"/>
      <c r="BV144" s="53"/>
      <c r="BW144" s="54"/>
      <c r="BX144" s="59"/>
      <c r="BY144" s="59"/>
      <c r="BZ144" s="59"/>
      <c r="CA144" s="59"/>
      <c r="CB144" s="59"/>
      <c r="CC144" s="59"/>
      <c r="CD144" s="59"/>
      <c r="CE144" s="59"/>
      <c r="CF144" s="59"/>
      <c r="CG144" s="59"/>
      <c r="CH144" s="59"/>
      <c r="CI144" s="59"/>
      <c r="CJ144" s="59"/>
      <c r="CK144" s="59"/>
      <c r="CL144" s="59"/>
    </row>
    <row r="145" spans="1:90" x14ac:dyDescent="0.25">
      <c r="A145" s="9"/>
      <c r="B145" s="9"/>
      <c r="C145" s="3" t="s">
        <v>56</v>
      </c>
      <c r="D145" s="3"/>
      <c r="E145" s="3"/>
      <c r="F145" s="20"/>
      <c r="G145" s="20"/>
      <c r="H145" s="52"/>
      <c r="I145" s="57"/>
      <c r="J145" s="57"/>
      <c r="K145" s="58"/>
      <c r="L145" s="71"/>
      <c r="M145" s="57"/>
      <c r="N145" s="57"/>
      <c r="O145" s="58"/>
      <c r="P145" s="71">
        <v>0</v>
      </c>
      <c r="Q145" s="57">
        <v>0</v>
      </c>
      <c r="R145" s="57">
        <v>0</v>
      </c>
      <c r="S145" s="58">
        <v>0</v>
      </c>
      <c r="T145" s="57">
        <v>0</v>
      </c>
      <c r="U145" s="57">
        <v>0</v>
      </c>
      <c r="V145" s="57">
        <v>0</v>
      </c>
      <c r="W145" s="58">
        <v>0</v>
      </c>
      <c r="X145" s="57">
        <v>0</v>
      </c>
      <c r="Y145" s="57">
        <v>0</v>
      </c>
      <c r="Z145" s="57">
        <v>0</v>
      </c>
      <c r="AA145" s="58">
        <v>0</v>
      </c>
      <c r="AB145" s="57">
        <v>0</v>
      </c>
      <c r="AC145" s="57"/>
      <c r="AD145" s="57">
        <v>0</v>
      </c>
      <c r="AE145" s="58">
        <v>0</v>
      </c>
      <c r="AF145" s="57">
        <v>0</v>
      </c>
      <c r="AG145" s="57">
        <v>0</v>
      </c>
      <c r="AH145" s="57">
        <v>0</v>
      </c>
      <c r="AI145" s="58">
        <v>0</v>
      </c>
      <c r="AJ145" s="57">
        <v>0</v>
      </c>
      <c r="AK145" s="53">
        <v>0</v>
      </c>
      <c r="AL145" s="53">
        <v>0</v>
      </c>
      <c r="AM145" s="58">
        <v>0</v>
      </c>
      <c r="AN145" s="57">
        <v>0</v>
      </c>
      <c r="AO145" s="53">
        <v>0</v>
      </c>
      <c r="AP145" s="53">
        <v>0</v>
      </c>
      <c r="AQ145" s="58">
        <v>0</v>
      </c>
      <c r="AR145" s="53">
        <v>0</v>
      </c>
      <c r="AS145" s="53">
        <v>0</v>
      </c>
      <c r="AT145" s="53">
        <v>0</v>
      </c>
      <c r="AU145" s="58">
        <v>0</v>
      </c>
      <c r="AV145" s="53">
        <v>0</v>
      </c>
      <c r="AW145" s="53">
        <v>0</v>
      </c>
      <c r="AX145" s="53">
        <v>0</v>
      </c>
      <c r="AY145" s="54">
        <v>0</v>
      </c>
      <c r="AZ145" s="53">
        <v>0</v>
      </c>
      <c r="BA145" s="53">
        <v>0</v>
      </c>
      <c r="BB145" s="53">
        <v>0</v>
      </c>
      <c r="BC145" s="54">
        <v>0</v>
      </c>
      <c r="BD145" s="53">
        <v>0</v>
      </c>
      <c r="BE145" s="53">
        <v>0</v>
      </c>
      <c r="BF145" s="53">
        <v>0</v>
      </c>
      <c r="BG145" s="54">
        <v>0</v>
      </c>
      <c r="BH145" s="53">
        <v>0</v>
      </c>
      <c r="BI145" s="53">
        <v>0</v>
      </c>
      <c r="BJ145" s="53">
        <v>0</v>
      </c>
      <c r="BK145" s="54">
        <v>0</v>
      </c>
      <c r="BL145" s="53">
        <v>0</v>
      </c>
      <c r="BM145" s="53">
        <v>0</v>
      </c>
      <c r="BN145" s="53">
        <v>0</v>
      </c>
      <c r="BO145" s="54">
        <v>0</v>
      </c>
      <c r="BP145" s="53">
        <v>0</v>
      </c>
      <c r="BQ145" s="53">
        <v>0</v>
      </c>
      <c r="BR145" s="53"/>
      <c r="BS145" s="54"/>
      <c r="BT145" s="53"/>
      <c r="BU145" s="53"/>
      <c r="BV145" s="53"/>
      <c r="BW145" s="54"/>
      <c r="BX145" s="59"/>
      <c r="BY145" s="59"/>
      <c r="BZ145" s="59"/>
      <c r="CA145" s="59"/>
      <c r="CB145" s="59"/>
      <c r="CC145" s="59"/>
      <c r="CD145" s="59"/>
      <c r="CE145" s="59"/>
      <c r="CF145" s="59"/>
      <c r="CG145" s="59"/>
      <c r="CH145" s="59"/>
      <c r="CI145" s="59"/>
      <c r="CJ145" s="59"/>
      <c r="CK145" s="59"/>
      <c r="CL145" s="59"/>
    </row>
    <row r="146" spans="1:90" x14ac:dyDescent="0.25">
      <c r="A146" s="9"/>
      <c r="B146" s="9"/>
      <c r="C146" s="3" t="s">
        <v>57</v>
      </c>
      <c r="D146" s="3"/>
      <c r="E146" s="3"/>
      <c r="F146" s="20"/>
      <c r="G146" s="20"/>
      <c r="H146" s="52"/>
      <c r="I146" s="57"/>
      <c r="J146" s="57"/>
      <c r="K146" s="58"/>
      <c r="L146" s="71"/>
      <c r="M146" s="57"/>
      <c r="N146" s="57"/>
      <c r="O146" s="58"/>
      <c r="P146" s="71">
        <v>0</v>
      </c>
      <c r="Q146" s="57">
        <v>0</v>
      </c>
      <c r="R146" s="57">
        <v>0</v>
      </c>
      <c r="S146" s="58">
        <v>0</v>
      </c>
      <c r="T146" s="57">
        <v>0</v>
      </c>
      <c r="U146" s="57">
        <v>0</v>
      </c>
      <c r="V146" s="57">
        <v>0</v>
      </c>
      <c r="W146" s="58">
        <v>0</v>
      </c>
      <c r="X146" s="57">
        <v>0</v>
      </c>
      <c r="Y146" s="57">
        <v>0</v>
      </c>
      <c r="Z146" s="57">
        <v>0</v>
      </c>
      <c r="AA146" s="58">
        <v>0</v>
      </c>
      <c r="AB146" s="57">
        <v>0</v>
      </c>
      <c r="AC146" s="57"/>
      <c r="AD146" s="57">
        <v>0</v>
      </c>
      <c r="AE146" s="58">
        <v>0</v>
      </c>
      <c r="AF146" s="57">
        <v>0</v>
      </c>
      <c r="AG146" s="57">
        <v>0</v>
      </c>
      <c r="AH146" s="57">
        <v>0</v>
      </c>
      <c r="AI146" s="58">
        <v>0</v>
      </c>
      <c r="AJ146" s="57">
        <v>0</v>
      </c>
      <c r="AK146" s="53">
        <v>0</v>
      </c>
      <c r="AL146" s="53">
        <v>0</v>
      </c>
      <c r="AM146" s="58">
        <v>0</v>
      </c>
      <c r="AN146" s="57">
        <v>0</v>
      </c>
      <c r="AO146" s="53">
        <v>0</v>
      </c>
      <c r="AP146" s="53">
        <v>0</v>
      </c>
      <c r="AQ146" s="58">
        <v>0</v>
      </c>
      <c r="AR146" s="53">
        <v>0</v>
      </c>
      <c r="AS146" s="53">
        <v>0</v>
      </c>
      <c r="AT146" s="53">
        <v>0</v>
      </c>
      <c r="AU146" s="58">
        <v>0</v>
      </c>
      <c r="AV146" s="53">
        <v>0</v>
      </c>
      <c r="AW146" s="53">
        <v>0</v>
      </c>
      <c r="AX146" s="53">
        <v>0</v>
      </c>
      <c r="AY146" s="54">
        <v>0</v>
      </c>
      <c r="AZ146" s="53">
        <v>0</v>
      </c>
      <c r="BA146" s="53">
        <v>0</v>
      </c>
      <c r="BB146" s="53">
        <v>0</v>
      </c>
      <c r="BC146" s="54">
        <v>0</v>
      </c>
      <c r="BD146" s="53">
        <v>0</v>
      </c>
      <c r="BE146" s="53">
        <v>0</v>
      </c>
      <c r="BF146" s="53">
        <v>0</v>
      </c>
      <c r="BG146" s="54">
        <v>0</v>
      </c>
      <c r="BH146" s="53">
        <v>0</v>
      </c>
      <c r="BI146" s="53">
        <v>0</v>
      </c>
      <c r="BJ146" s="53">
        <v>0</v>
      </c>
      <c r="BK146" s="54">
        <v>0</v>
      </c>
      <c r="BL146" s="53">
        <v>0</v>
      </c>
      <c r="BM146" s="53">
        <v>0</v>
      </c>
      <c r="BN146" s="53">
        <v>0</v>
      </c>
      <c r="BO146" s="54">
        <v>0</v>
      </c>
      <c r="BP146" s="53">
        <v>0</v>
      </c>
      <c r="BQ146" s="53">
        <v>0</v>
      </c>
      <c r="BR146" s="53"/>
      <c r="BS146" s="54"/>
      <c r="BT146" s="53"/>
      <c r="BU146" s="53"/>
      <c r="BV146" s="53"/>
      <c r="BW146" s="54"/>
      <c r="BX146" s="59"/>
      <c r="BY146" s="59"/>
      <c r="BZ146" s="59"/>
      <c r="CA146" s="59"/>
      <c r="CB146" s="59"/>
      <c r="CC146" s="59"/>
      <c r="CD146" s="59"/>
      <c r="CE146" s="59"/>
      <c r="CF146" s="59"/>
      <c r="CG146" s="59"/>
      <c r="CH146" s="59"/>
      <c r="CI146" s="59"/>
      <c r="CJ146" s="59"/>
      <c r="CK146" s="59"/>
      <c r="CL146" s="59"/>
    </row>
    <row r="147" spans="1:90" x14ac:dyDescent="0.25">
      <c r="A147" s="9"/>
      <c r="B147" s="9"/>
      <c r="C147" s="3"/>
      <c r="D147" s="3"/>
      <c r="E147" s="3"/>
      <c r="F147" s="20"/>
      <c r="G147" s="20"/>
      <c r="H147" s="21"/>
      <c r="I147" s="53"/>
      <c r="J147" s="53"/>
      <c r="K147" s="54"/>
      <c r="L147" s="52"/>
      <c r="M147" s="53"/>
      <c r="N147" s="53"/>
      <c r="O147" s="54"/>
      <c r="P147" s="52"/>
      <c r="Q147" s="53"/>
      <c r="R147" s="53"/>
      <c r="S147" s="54"/>
      <c r="T147" s="53"/>
      <c r="U147" s="53"/>
      <c r="V147" s="53"/>
      <c r="W147" s="54"/>
      <c r="X147" s="53"/>
      <c r="Y147" s="53"/>
      <c r="Z147" s="53"/>
      <c r="AA147" s="54"/>
      <c r="AB147" s="53"/>
      <c r="AC147" s="53"/>
      <c r="AD147" s="53"/>
      <c r="AE147" s="54"/>
      <c r="AF147" s="53"/>
      <c r="AG147" s="53"/>
      <c r="AH147" s="53"/>
      <c r="AI147" s="54"/>
      <c r="AJ147" s="53"/>
      <c r="AK147" s="53"/>
      <c r="AL147" s="53"/>
      <c r="AM147" s="54"/>
      <c r="AN147" s="53"/>
      <c r="AO147" s="53"/>
      <c r="AP147" s="53"/>
      <c r="AQ147" s="54"/>
      <c r="AR147" s="53"/>
      <c r="AS147" s="53"/>
      <c r="AT147" s="53"/>
      <c r="AU147" s="54"/>
      <c r="AV147" s="53"/>
      <c r="AW147" s="53"/>
      <c r="AX147" s="53"/>
      <c r="AY147" s="54"/>
      <c r="AZ147" s="53"/>
      <c r="BA147" s="53"/>
      <c r="BB147" s="53"/>
      <c r="BC147" s="54"/>
      <c r="BD147" s="53"/>
      <c r="BE147" s="53"/>
      <c r="BF147" s="53"/>
      <c r="BG147" s="54"/>
      <c r="BH147" s="53"/>
      <c r="BI147" s="53"/>
      <c r="BJ147" s="53"/>
      <c r="BK147" s="54"/>
      <c r="BL147" s="53"/>
      <c r="BM147" s="53"/>
      <c r="BN147" s="53"/>
      <c r="BO147" s="54"/>
      <c r="BP147" s="53"/>
      <c r="BQ147" s="53"/>
      <c r="BR147" s="53"/>
      <c r="BS147" s="54"/>
      <c r="BT147" s="53"/>
      <c r="BU147" s="53"/>
      <c r="BV147" s="53"/>
      <c r="BW147" s="54"/>
      <c r="BX147" s="73"/>
      <c r="BY147" s="73"/>
      <c r="BZ147" s="73"/>
      <c r="CA147" s="73"/>
      <c r="CB147" s="73"/>
      <c r="CC147" s="73"/>
      <c r="CD147" s="73"/>
      <c r="CE147" s="73"/>
      <c r="CF147" s="73"/>
      <c r="CG147" s="73"/>
      <c r="CH147" s="73"/>
      <c r="CI147" s="73"/>
      <c r="CJ147" s="73"/>
      <c r="CK147" s="73"/>
      <c r="CL147" s="73"/>
    </row>
    <row r="148" spans="1:90" x14ac:dyDescent="0.25">
      <c r="A148" s="9"/>
      <c r="B148" s="9"/>
      <c r="C148" s="3"/>
      <c r="D148" s="3"/>
      <c r="E148" s="3"/>
      <c r="F148" s="20"/>
      <c r="G148" s="20"/>
      <c r="H148" s="10"/>
      <c r="I148" s="22"/>
      <c r="J148" s="22"/>
      <c r="K148" s="23"/>
      <c r="L148" s="21"/>
      <c r="M148" s="22"/>
      <c r="N148" s="22"/>
      <c r="O148" s="23"/>
      <c r="P148" s="21"/>
      <c r="Q148" s="22"/>
      <c r="R148" s="22"/>
      <c r="S148" s="23"/>
      <c r="T148" s="22"/>
      <c r="U148" s="22"/>
      <c r="V148" s="22"/>
      <c r="W148" s="23"/>
      <c r="X148" s="22"/>
      <c r="Y148" s="22"/>
      <c r="Z148" s="22"/>
      <c r="AA148" s="23"/>
      <c r="AB148" s="22"/>
      <c r="AC148" s="22"/>
      <c r="AD148" s="22"/>
      <c r="AE148" s="23"/>
      <c r="AF148" s="22"/>
      <c r="AG148" s="22"/>
      <c r="AH148" s="22"/>
      <c r="AI148" s="23"/>
      <c r="AJ148" s="22"/>
      <c r="AK148" s="22"/>
      <c r="AL148" s="22"/>
      <c r="AM148" s="23"/>
      <c r="AN148" s="22"/>
      <c r="AO148" s="22"/>
      <c r="AP148" s="22"/>
      <c r="AQ148" s="23"/>
      <c r="AR148" s="22"/>
      <c r="AS148" s="22"/>
      <c r="AT148" s="22"/>
      <c r="AU148" s="23"/>
      <c r="AV148" s="22"/>
      <c r="AW148" s="22"/>
      <c r="AX148" s="22"/>
      <c r="AY148" s="23"/>
      <c r="AZ148" s="22"/>
      <c r="BA148" s="22"/>
      <c r="BB148" s="22"/>
      <c r="BC148" s="23"/>
      <c r="BD148" s="22"/>
      <c r="BE148" s="22"/>
      <c r="BF148" s="22"/>
      <c r="BG148" s="23"/>
      <c r="BH148" s="22"/>
      <c r="BI148" s="22"/>
      <c r="BJ148" s="22"/>
      <c r="BK148" s="23"/>
      <c r="BL148" s="22"/>
      <c r="BM148" s="22"/>
      <c r="BN148" s="22"/>
      <c r="BO148" s="23"/>
      <c r="BP148" s="22"/>
      <c r="BQ148" s="22"/>
      <c r="BR148" s="22"/>
      <c r="BS148" s="23"/>
      <c r="BT148" s="22"/>
      <c r="BU148" s="22"/>
      <c r="BV148" s="22"/>
      <c r="BW148" s="23"/>
      <c r="BX148" s="74"/>
      <c r="BY148" s="74"/>
      <c r="BZ148" s="74"/>
      <c r="CA148" s="74"/>
      <c r="CB148" s="74"/>
      <c r="CC148" s="74"/>
      <c r="CD148" s="74"/>
      <c r="CE148" s="74"/>
      <c r="CF148" s="74"/>
      <c r="CG148" s="74"/>
      <c r="CH148" s="74"/>
      <c r="CI148" s="74"/>
      <c r="CJ148" s="74"/>
      <c r="CK148" s="74"/>
      <c r="CL148" s="74"/>
    </row>
    <row r="149" spans="1:90" ht="15.75" thickBot="1" x14ac:dyDescent="0.3">
      <c r="A149" s="75"/>
      <c r="C149" s="76"/>
      <c r="D149" s="76"/>
      <c r="E149" s="76"/>
      <c r="F149" s="20"/>
      <c r="G149" s="20"/>
      <c r="H149" s="11"/>
      <c r="I149" s="11"/>
      <c r="J149" s="11"/>
      <c r="K149" s="12"/>
      <c r="L149" s="10"/>
      <c r="M149" s="11"/>
      <c r="N149" s="11"/>
      <c r="O149" s="12"/>
      <c r="P149" s="10"/>
      <c r="Q149" s="11"/>
      <c r="R149" s="11"/>
      <c r="S149" s="12"/>
      <c r="T149" s="11"/>
      <c r="U149" s="11"/>
      <c r="V149" s="11"/>
      <c r="W149" s="12"/>
      <c r="X149" s="11"/>
      <c r="Y149" s="11"/>
      <c r="Z149" s="11"/>
      <c r="AA149" s="12"/>
      <c r="AB149" s="11"/>
      <c r="AC149" s="11"/>
      <c r="AD149" s="11"/>
      <c r="AE149" s="12"/>
      <c r="AF149" s="11"/>
      <c r="AG149" s="11"/>
      <c r="AH149" s="11"/>
      <c r="AI149" s="12"/>
      <c r="AJ149" s="11"/>
      <c r="AK149" s="11"/>
      <c r="AL149" s="11"/>
      <c r="AM149" s="12"/>
      <c r="AN149" s="11"/>
      <c r="AO149" s="11"/>
      <c r="AP149" s="11"/>
      <c r="AQ149" s="12"/>
      <c r="AR149" s="11"/>
      <c r="AS149" s="11"/>
      <c r="AT149" s="11"/>
      <c r="AU149" s="12"/>
      <c r="AV149" s="11"/>
      <c r="AW149" s="11"/>
      <c r="AX149" s="11"/>
      <c r="AY149" s="12"/>
      <c r="AZ149" s="11"/>
      <c r="BA149" s="11"/>
      <c r="BB149" s="11"/>
      <c r="BC149" s="12"/>
      <c r="BD149" s="11"/>
      <c r="BE149" s="11"/>
      <c r="BF149" s="11"/>
      <c r="BG149" s="12"/>
      <c r="BH149" s="11"/>
      <c r="BI149" s="11"/>
      <c r="BJ149" s="11"/>
      <c r="BK149" s="12"/>
      <c r="BL149" s="11"/>
      <c r="BM149" s="11"/>
      <c r="BN149" s="11"/>
      <c r="BO149" s="12"/>
      <c r="BP149" s="11"/>
      <c r="BQ149" s="11"/>
      <c r="BR149" s="11"/>
      <c r="BS149" s="12"/>
      <c r="BT149" s="11"/>
      <c r="BU149" s="11"/>
      <c r="BV149" s="11"/>
      <c r="BW149" s="12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</row>
    <row r="150" spans="1:90" x14ac:dyDescent="0.25">
      <c r="A150" s="77"/>
      <c r="B150" s="78"/>
      <c r="C150" s="78"/>
      <c r="D150" s="78"/>
      <c r="E150" s="78"/>
      <c r="F150" s="78"/>
      <c r="G150" s="78"/>
      <c r="H150" s="79"/>
      <c r="I150" s="79"/>
      <c r="J150" s="79"/>
      <c r="K150" s="79"/>
      <c r="L150" s="79"/>
      <c r="M150" s="79"/>
      <c r="N150" s="79"/>
      <c r="O150" s="79"/>
      <c r="P150" s="77"/>
      <c r="Q150" s="79"/>
      <c r="R150" s="79"/>
      <c r="S150" s="79"/>
      <c r="T150" s="79"/>
      <c r="U150" s="79"/>
      <c r="V150" s="79"/>
      <c r="W150" s="77"/>
      <c r="X150" s="79"/>
      <c r="Y150" s="79"/>
      <c r="Z150" s="79"/>
      <c r="AA150" s="79"/>
      <c r="AB150" s="79"/>
      <c r="AC150" s="79"/>
      <c r="AD150" s="79"/>
      <c r="AE150" s="79"/>
      <c r="AF150" s="79"/>
      <c r="AG150" s="79"/>
      <c r="AH150" s="79"/>
      <c r="AI150" s="79"/>
      <c r="AJ150" s="79"/>
      <c r="AK150" s="79"/>
      <c r="AL150" s="79"/>
      <c r="AM150" s="79"/>
      <c r="AN150" s="79"/>
      <c r="AO150" s="79"/>
      <c r="AP150" s="79"/>
      <c r="AQ150" s="79"/>
      <c r="AR150" s="79"/>
      <c r="AS150" s="79"/>
      <c r="AT150" s="79"/>
      <c r="AU150" s="79"/>
      <c r="AV150" s="79"/>
      <c r="AW150" s="79"/>
      <c r="AX150" s="79"/>
      <c r="AY150" s="79"/>
      <c r="AZ150" s="79"/>
      <c r="BA150" s="79"/>
      <c r="BB150" s="79"/>
      <c r="BC150" s="79"/>
      <c r="BD150" s="79"/>
      <c r="BE150" s="79"/>
      <c r="BF150" s="79"/>
      <c r="BG150" s="79"/>
      <c r="BH150" s="79"/>
      <c r="BI150" s="79"/>
      <c r="BJ150" s="79"/>
      <c r="BK150" s="79"/>
      <c r="BL150" s="79"/>
      <c r="BM150" s="79"/>
      <c r="BN150" s="79"/>
      <c r="BO150" s="79"/>
      <c r="BP150" s="79"/>
      <c r="BQ150" s="79"/>
      <c r="BR150" s="79"/>
      <c r="BS150" s="79"/>
      <c r="BT150" s="79"/>
      <c r="BU150" s="79"/>
      <c r="BV150" s="79"/>
      <c r="BW150" s="79"/>
      <c r="BX150" s="79"/>
      <c r="BY150" s="79"/>
      <c r="BZ150" s="79"/>
      <c r="CA150" s="79"/>
      <c r="CB150" s="79"/>
      <c r="CC150" s="79"/>
      <c r="CD150" s="79"/>
      <c r="CE150" s="79"/>
      <c r="CF150" s="79"/>
      <c r="CG150" s="79"/>
      <c r="CH150" s="79"/>
      <c r="CI150" s="79"/>
      <c r="CJ150" s="79"/>
      <c r="CK150" s="79"/>
      <c r="CL150" s="79"/>
    </row>
    <row r="151" spans="1:90" x14ac:dyDescent="0.25">
      <c r="C151" s="3"/>
      <c r="F151" s="20"/>
      <c r="G151" s="20"/>
    </row>
    <row r="152" spans="1:90" x14ac:dyDescent="0.25">
      <c r="F152" s="20"/>
      <c r="G152" s="20"/>
    </row>
    <row r="153" spans="1:90" x14ac:dyDescent="0.25">
      <c r="F153" s="20"/>
      <c r="G153" s="20"/>
    </row>
    <row r="154" spans="1:90" x14ac:dyDescent="0.25">
      <c r="F154" s="20"/>
      <c r="G154" s="20"/>
    </row>
    <row r="155" spans="1:90" x14ac:dyDescent="0.25">
      <c r="F155" s="20"/>
      <c r="G155" s="20"/>
    </row>
    <row r="156" spans="1:90" x14ac:dyDescent="0.25">
      <c r="F156" s="20"/>
      <c r="G156" s="20"/>
    </row>
    <row r="157" spans="1:90" x14ac:dyDescent="0.25">
      <c r="F157" s="20"/>
      <c r="G157" s="20"/>
    </row>
    <row r="158" spans="1:90" x14ac:dyDescent="0.25">
      <c r="F158" s="20"/>
      <c r="G158" s="20"/>
    </row>
    <row r="159" spans="1:90" x14ac:dyDescent="0.25">
      <c r="F159" s="20"/>
      <c r="G159" s="20"/>
    </row>
    <row r="160" spans="1:90" x14ac:dyDescent="0.25">
      <c r="F160" s="20"/>
      <c r="G160" s="20"/>
    </row>
    <row r="161" spans="6:7" x14ac:dyDescent="0.25">
      <c r="F161" s="20"/>
      <c r="G161" s="20"/>
    </row>
    <row r="162" spans="6:7" x14ac:dyDescent="0.25">
      <c r="F162" s="20"/>
      <c r="G162" s="20"/>
    </row>
    <row r="163" spans="6:7" x14ac:dyDescent="0.25">
      <c r="F163" s="20"/>
      <c r="G163" s="20"/>
    </row>
    <row r="164" spans="6:7" x14ac:dyDescent="0.25">
      <c r="F164" s="20"/>
      <c r="G164" s="20"/>
    </row>
    <row r="165" spans="6:7" x14ac:dyDescent="0.25">
      <c r="F165" s="20"/>
      <c r="G165" s="20"/>
    </row>
    <row r="166" spans="6:7" x14ac:dyDescent="0.25">
      <c r="F166" s="20"/>
      <c r="G166" s="20"/>
    </row>
    <row r="167" spans="6:7" x14ac:dyDescent="0.25">
      <c r="F167" s="20"/>
      <c r="G167" s="20"/>
    </row>
    <row r="168" spans="6:7" x14ac:dyDescent="0.25">
      <c r="F168" s="20"/>
      <c r="G168" s="20"/>
    </row>
    <row r="169" spans="6:7" x14ac:dyDescent="0.25">
      <c r="F169" s="20"/>
      <c r="G169" s="20"/>
    </row>
    <row r="170" spans="6:7" x14ac:dyDescent="0.25">
      <c r="F170" s="20"/>
      <c r="G170" s="20"/>
    </row>
    <row r="171" spans="6:7" x14ac:dyDescent="0.25">
      <c r="F171" s="20"/>
      <c r="G171" s="20"/>
    </row>
    <row r="172" spans="6:7" x14ac:dyDescent="0.25">
      <c r="F172" s="20"/>
      <c r="G172" s="20"/>
    </row>
    <row r="173" spans="6:7" x14ac:dyDescent="0.25">
      <c r="F173" s="20"/>
      <c r="G173" s="20"/>
    </row>
    <row r="174" spans="6:7" x14ac:dyDescent="0.25">
      <c r="F174" s="20"/>
      <c r="G174" s="20"/>
    </row>
    <row r="175" spans="6:7" x14ac:dyDescent="0.25">
      <c r="F175" s="20"/>
      <c r="G175" s="20"/>
    </row>
    <row r="176" spans="6:7" x14ac:dyDescent="0.25">
      <c r="F176" s="20"/>
      <c r="G176" s="20"/>
    </row>
    <row r="177" spans="6:7" x14ac:dyDescent="0.25">
      <c r="F177" s="20"/>
      <c r="G177" s="20"/>
    </row>
    <row r="178" spans="6:7" x14ac:dyDescent="0.25">
      <c r="F178" s="20"/>
      <c r="G178" s="20"/>
    </row>
    <row r="179" spans="6:7" x14ac:dyDescent="0.25">
      <c r="F179" s="20"/>
      <c r="G179" s="20"/>
    </row>
    <row r="180" spans="6:7" x14ac:dyDescent="0.25">
      <c r="F180" s="20"/>
      <c r="G180" s="20"/>
    </row>
    <row r="181" spans="6:7" x14ac:dyDescent="0.25">
      <c r="F181" s="20"/>
      <c r="G181" s="20"/>
    </row>
    <row r="182" spans="6:7" x14ac:dyDescent="0.25">
      <c r="F182" s="20"/>
      <c r="G182" s="20"/>
    </row>
    <row r="183" spans="6:7" x14ac:dyDescent="0.25">
      <c r="F183" s="20"/>
      <c r="G183" s="20"/>
    </row>
    <row r="184" spans="6:7" x14ac:dyDescent="0.25">
      <c r="F184" s="20"/>
      <c r="G184" s="20"/>
    </row>
    <row r="185" spans="6:7" x14ac:dyDescent="0.25">
      <c r="F185" s="20"/>
      <c r="G185" s="20"/>
    </row>
    <row r="186" spans="6:7" x14ac:dyDescent="0.25">
      <c r="F186" s="20"/>
      <c r="G186" s="20"/>
    </row>
    <row r="187" spans="6:7" x14ac:dyDescent="0.25">
      <c r="F187" s="20"/>
      <c r="G187" s="20"/>
    </row>
    <row r="188" spans="6:7" x14ac:dyDescent="0.25">
      <c r="F188" s="20"/>
      <c r="G188" s="20"/>
    </row>
    <row r="189" spans="6:7" x14ac:dyDescent="0.25">
      <c r="F189" s="20"/>
      <c r="G189" s="20"/>
    </row>
    <row r="190" spans="6:7" x14ac:dyDescent="0.25">
      <c r="F190" s="20"/>
      <c r="G190" s="20"/>
    </row>
    <row r="191" spans="6:7" x14ac:dyDescent="0.25">
      <c r="F191" s="20"/>
      <c r="G191" s="20"/>
    </row>
    <row r="192" spans="6:7" x14ac:dyDescent="0.25">
      <c r="F192" s="20"/>
      <c r="G192" s="20"/>
    </row>
    <row r="193" spans="6:7" x14ac:dyDescent="0.25">
      <c r="F193" s="20"/>
      <c r="G193" s="20"/>
    </row>
    <row r="194" spans="6:7" x14ac:dyDescent="0.25">
      <c r="F194" s="20"/>
      <c r="G194" s="20"/>
    </row>
    <row r="195" spans="6:7" x14ac:dyDescent="0.25">
      <c r="F195" s="20"/>
      <c r="G195" s="20"/>
    </row>
    <row r="196" spans="6:7" x14ac:dyDescent="0.25">
      <c r="F196" s="20"/>
      <c r="G196" s="20"/>
    </row>
    <row r="197" spans="6:7" x14ac:dyDescent="0.25">
      <c r="F197" s="20"/>
      <c r="G197" s="20"/>
    </row>
    <row r="198" spans="6:7" x14ac:dyDescent="0.25">
      <c r="F198" s="20"/>
      <c r="G198" s="20"/>
    </row>
    <row r="199" spans="6:7" x14ac:dyDescent="0.25">
      <c r="F199" s="20"/>
      <c r="G199" s="20"/>
    </row>
    <row r="200" spans="6:7" x14ac:dyDescent="0.25">
      <c r="F200" s="20"/>
      <c r="G200" s="20"/>
    </row>
    <row r="201" spans="6:7" x14ac:dyDescent="0.25">
      <c r="F201" s="20"/>
      <c r="G201" s="20"/>
    </row>
    <row r="202" spans="6:7" x14ac:dyDescent="0.25">
      <c r="F202" s="20"/>
      <c r="G202" s="20"/>
    </row>
    <row r="203" spans="6:7" x14ac:dyDescent="0.25">
      <c r="F203" s="20"/>
      <c r="G203" s="20"/>
    </row>
    <row r="204" spans="6:7" x14ac:dyDescent="0.25">
      <c r="F204" s="20"/>
      <c r="G204" s="20"/>
    </row>
    <row r="205" spans="6:7" x14ac:dyDescent="0.25">
      <c r="F205" s="20"/>
      <c r="G205" s="20"/>
    </row>
    <row r="206" spans="6:7" x14ac:dyDescent="0.25">
      <c r="F206" s="20"/>
      <c r="G206" s="20"/>
    </row>
    <row r="207" spans="6:7" x14ac:dyDescent="0.25">
      <c r="F207" s="20"/>
      <c r="G207" s="20"/>
    </row>
    <row r="208" spans="6:7" x14ac:dyDescent="0.25">
      <c r="F208" s="20"/>
      <c r="G208" s="20"/>
    </row>
    <row r="209" spans="6:7" x14ac:dyDescent="0.25">
      <c r="F209" s="20"/>
      <c r="G209" s="20"/>
    </row>
    <row r="210" spans="6:7" x14ac:dyDescent="0.25">
      <c r="F210" s="20"/>
      <c r="G210" s="20"/>
    </row>
    <row r="211" spans="6:7" x14ac:dyDescent="0.25">
      <c r="F211" s="20"/>
      <c r="G211" s="20"/>
    </row>
    <row r="212" spans="6:7" x14ac:dyDescent="0.25">
      <c r="F212" s="20"/>
      <c r="G212" s="20"/>
    </row>
    <row r="213" spans="6:7" x14ac:dyDescent="0.25">
      <c r="F213" s="20"/>
      <c r="G213" s="20"/>
    </row>
    <row r="214" spans="6:7" x14ac:dyDescent="0.25">
      <c r="F214" s="20"/>
      <c r="G214" s="20"/>
    </row>
    <row r="215" spans="6:7" x14ac:dyDescent="0.25">
      <c r="F215" s="20"/>
      <c r="G215" s="20"/>
    </row>
    <row r="216" spans="6:7" x14ac:dyDescent="0.25">
      <c r="F216" s="20"/>
      <c r="G216" s="20"/>
    </row>
    <row r="217" spans="6:7" x14ac:dyDescent="0.25">
      <c r="F217" s="20"/>
      <c r="G217" s="20"/>
    </row>
    <row r="218" spans="6:7" x14ac:dyDescent="0.25">
      <c r="F218" s="20"/>
      <c r="G218" s="20"/>
    </row>
    <row r="219" spans="6:7" x14ac:dyDescent="0.25">
      <c r="F219" s="20"/>
      <c r="G219" s="20"/>
    </row>
    <row r="220" spans="6:7" x14ac:dyDescent="0.25">
      <c r="F220" s="20"/>
      <c r="G220" s="20"/>
    </row>
    <row r="221" spans="6:7" x14ac:dyDescent="0.25">
      <c r="F221" s="20"/>
      <c r="G221" s="20"/>
    </row>
    <row r="222" spans="6:7" x14ac:dyDescent="0.25">
      <c r="F222" s="20"/>
      <c r="G222" s="20"/>
    </row>
    <row r="223" spans="6:7" x14ac:dyDescent="0.25">
      <c r="F223" s="20"/>
      <c r="G223" s="20"/>
    </row>
    <row r="224" spans="6:7" x14ac:dyDescent="0.25">
      <c r="F224" s="20"/>
      <c r="G224" s="20"/>
    </row>
    <row r="225" spans="6:7" x14ac:dyDescent="0.25">
      <c r="F225" s="20"/>
      <c r="G225" s="20"/>
    </row>
    <row r="226" spans="6:7" x14ac:dyDescent="0.25">
      <c r="F226" s="20"/>
      <c r="G226" s="20"/>
    </row>
    <row r="227" spans="6:7" x14ac:dyDescent="0.25">
      <c r="F227" s="20"/>
      <c r="G227" s="20"/>
    </row>
    <row r="228" spans="6:7" x14ac:dyDescent="0.25">
      <c r="F228" s="20"/>
      <c r="G228" s="20"/>
    </row>
    <row r="229" spans="6:7" x14ac:dyDescent="0.25">
      <c r="F229" s="20"/>
      <c r="G229" s="20"/>
    </row>
    <row r="230" spans="6:7" x14ac:dyDescent="0.25">
      <c r="F230" s="20"/>
      <c r="G230" s="20"/>
    </row>
    <row r="231" spans="6:7" x14ac:dyDescent="0.25">
      <c r="F231" s="20"/>
      <c r="G231" s="20"/>
    </row>
    <row r="232" spans="6:7" x14ac:dyDescent="0.25">
      <c r="F232" s="20"/>
      <c r="G232" s="20"/>
    </row>
    <row r="233" spans="6:7" x14ac:dyDescent="0.25">
      <c r="F233" s="20"/>
      <c r="G233" s="20"/>
    </row>
    <row r="234" spans="6:7" x14ac:dyDescent="0.25">
      <c r="F234" s="20"/>
      <c r="G234" s="20"/>
    </row>
    <row r="235" spans="6:7" x14ac:dyDescent="0.25">
      <c r="F235" s="20"/>
      <c r="G235" s="20"/>
    </row>
    <row r="236" spans="6:7" x14ac:dyDescent="0.25">
      <c r="F236" s="20"/>
      <c r="G236" s="20"/>
    </row>
    <row r="237" spans="6:7" x14ac:dyDescent="0.25">
      <c r="F237" s="20"/>
      <c r="G237" s="20"/>
    </row>
    <row r="238" spans="6:7" x14ac:dyDescent="0.25">
      <c r="F238" s="20"/>
      <c r="G238" s="20"/>
    </row>
    <row r="239" spans="6:7" x14ac:dyDescent="0.25">
      <c r="F239" s="20"/>
      <c r="G239" s="20"/>
    </row>
    <row r="240" spans="6:7" x14ac:dyDescent="0.25">
      <c r="F240" s="20"/>
      <c r="G240" s="20"/>
    </row>
    <row r="241" spans="6:7" x14ac:dyDescent="0.25">
      <c r="F241" s="20"/>
      <c r="G241" s="20"/>
    </row>
    <row r="242" spans="6:7" x14ac:dyDescent="0.25">
      <c r="F242" s="20"/>
      <c r="G242" s="20"/>
    </row>
    <row r="243" spans="6:7" x14ac:dyDescent="0.25">
      <c r="F243" s="20"/>
      <c r="G243" s="20"/>
    </row>
    <row r="244" spans="6:7" x14ac:dyDescent="0.25">
      <c r="F244" s="20"/>
      <c r="G244" s="20"/>
    </row>
    <row r="245" spans="6:7" x14ac:dyDescent="0.25">
      <c r="F245" s="20"/>
      <c r="G245" s="20"/>
    </row>
    <row r="246" spans="6:7" x14ac:dyDescent="0.25">
      <c r="F246" s="20"/>
      <c r="G246" s="20"/>
    </row>
    <row r="247" spans="6:7" x14ac:dyDescent="0.25">
      <c r="F247" s="20"/>
      <c r="G247" s="20"/>
    </row>
    <row r="248" spans="6:7" x14ac:dyDescent="0.25">
      <c r="F248" s="20"/>
      <c r="G248" s="20"/>
    </row>
    <row r="249" spans="6:7" x14ac:dyDescent="0.25">
      <c r="F249" s="20"/>
      <c r="G249" s="20"/>
    </row>
    <row r="250" spans="6:7" x14ac:dyDescent="0.25">
      <c r="F250" s="20"/>
      <c r="G250" s="20"/>
    </row>
    <row r="251" spans="6:7" x14ac:dyDescent="0.25">
      <c r="F251" s="20"/>
      <c r="G251" s="20"/>
    </row>
    <row r="252" spans="6:7" x14ac:dyDescent="0.25">
      <c r="F252" s="20"/>
      <c r="G252" s="20"/>
    </row>
    <row r="253" spans="6:7" x14ac:dyDescent="0.25">
      <c r="F253" s="20"/>
      <c r="G253" s="20"/>
    </row>
    <row r="254" spans="6:7" x14ac:dyDescent="0.25">
      <c r="F254" s="20"/>
      <c r="G254" s="20"/>
    </row>
    <row r="255" spans="6:7" x14ac:dyDescent="0.25">
      <c r="F255" s="20"/>
      <c r="G255" s="20"/>
    </row>
    <row r="256" spans="6:7" x14ac:dyDescent="0.25">
      <c r="F256" s="20"/>
      <c r="G256" s="20"/>
    </row>
    <row r="257" spans="6:7" x14ac:dyDescent="0.25">
      <c r="F257" s="20"/>
      <c r="G257" s="20"/>
    </row>
    <row r="258" spans="6:7" x14ac:dyDescent="0.25">
      <c r="F258" s="20"/>
      <c r="G258" s="20"/>
    </row>
    <row r="259" spans="6:7" x14ac:dyDescent="0.25">
      <c r="F259" s="20"/>
      <c r="G259" s="20"/>
    </row>
    <row r="260" spans="6:7" x14ac:dyDescent="0.25">
      <c r="F260" s="20"/>
      <c r="G260" s="20"/>
    </row>
    <row r="261" spans="6:7" x14ac:dyDescent="0.25">
      <c r="F261" s="20"/>
      <c r="G261" s="20"/>
    </row>
    <row r="262" spans="6:7" x14ac:dyDescent="0.25">
      <c r="F262" s="20"/>
      <c r="G262" s="20"/>
    </row>
    <row r="263" spans="6:7" x14ac:dyDescent="0.25">
      <c r="F263" s="20"/>
      <c r="G263" s="20"/>
    </row>
    <row r="264" spans="6:7" x14ac:dyDescent="0.25">
      <c r="F264" s="20"/>
      <c r="G264" s="20"/>
    </row>
    <row r="265" spans="6:7" x14ac:dyDescent="0.25">
      <c r="F265" s="20"/>
      <c r="G265" s="20"/>
    </row>
    <row r="266" spans="6:7" x14ac:dyDescent="0.25">
      <c r="F266" s="20"/>
      <c r="G266" s="20"/>
    </row>
    <row r="267" spans="6:7" x14ac:dyDescent="0.25">
      <c r="F267" s="20"/>
      <c r="G267" s="20"/>
    </row>
    <row r="268" spans="6:7" x14ac:dyDescent="0.25">
      <c r="F268" s="20"/>
      <c r="G268" s="20"/>
    </row>
    <row r="269" spans="6:7" x14ac:dyDescent="0.25">
      <c r="F269" s="20"/>
      <c r="G269" s="20"/>
    </row>
    <row r="270" spans="6:7" x14ac:dyDescent="0.25">
      <c r="F270" s="20"/>
      <c r="G270" s="20"/>
    </row>
    <row r="271" spans="6:7" x14ac:dyDescent="0.25">
      <c r="F271" s="20"/>
      <c r="G271" s="20"/>
    </row>
    <row r="272" spans="6:7" x14ac:dyDescent="0.25">
      <c r="F272" s="20"/>
      <c r="G272" s="20"/>
    </row>
    <row r="273" spans="6:7" x14ac:dyDescent="0.25">
      <c r="F273" s="20"/>
      <c r="G273" s="20"/>
    </row>
    <row r="274" spans="6:7" x14ac:dyDescent="0.25">
      <c r="F274" s="20"/>
      <c r="G274" s="20"/>
    </row>
    <row r="275" spans="6:7" x14ac:dyDescent="0.25">
      <c r="F275" s="20"/>
      <c r="G275" s="20"/>
    </row>
    <row r="276" spans="6:7" x14ac:dyDescent="0.25">
      <c r="F276" s="20"/>
      <c r="G276" s="20"/>
    </row>
    <row r="277" spans="6:7" x14ac:dyDescent="0.25">
      <c r="F277" s="20"/>
      <c r="G277" s="20"/>
    </row>
    <row r="278" spans="6:7" x14ac:dyDescent="0.25">
      <c r="F278" s="20"/>
      <c r="G278" s="20"/>
    </row>
    <row r="279" spans="6:7" x14ac:dyDescent="0.25">
      <c r="F279" s="20"/>
      <c r="G279" s="20"/>
    </row>
    <row r="280" spans="6:7" x14ac:dyDescent="0.25">
      <c r="F280" s="20"/>
      <c r="G280" s="20"/>
    </row>
    <row r="281" spans="6:7" x14ac:dyDescent="0.25">
      <c r="F281" s="20"/>
      <c r="G281" s="20"/>
    </row>
    <row r="282" spans="6:7" x14ac:dyDescent="0.25">
      <c r="F282" s="20"/>
      <c r="G282" s="20"/>
    </row>
    <row r="283" spans="6:7" x14ac:dyDescent="0.25">
      <c r="F283" s="20"/>
      <c r="G283" s="20"/>
    </row>
    <row r="284" spans="6:7" x14ac:dyDescent="0.25">
      <c r="F284" s="20"/>
      <c r="G284" s="20"/>
    </row>
    <row r="285" spans="6:7" x14ac:dyDescent="0.25">
      <c r="F285" s="20"/>
      <c r="G285" s="20"/>
    </row>
    <row r="286" spans="6:7" x14ac:dyDescent="0.25">
      <c r="F286" s="20"/>
      <c r="G286" s="20"/>
    </row>
    <row r="287" spans="6:7" x14ac:dyDescent="0.25">
      <c r="F287" s="20"/>
      <c r="G287" s="20"/>
    </row>
    <row r="288" spans="6:7" x14ac:dyDescent="0.25">
      <c r="F288" s="20"/>
      <c r="G288" s="20"/>
    </row>
    <row r="289" spans="6:7" x14ac:dyDescent="0.25">
      <c r="F289" s="20"/>
      <c r="G289" s="20"/>
    </row>
    <row r="290" spans="6:7" x14ac:dyDescent="0.25">
      <c r="F290" s="20"/>
      <c r="G290" s="20"/>
    </row>
    <row r="291" spans="6:7" x14ac:dyDescent="0.25">
      <c r="F291" s="20"/>
      <c r="G291" s="20"/>
    </row>
    <row r="292" spans="6:7" x14ac:dyDescent="0.25">
      <c r="F292" s="20"/>
      <c r="G292" s="20"/>
    </row>
    <row r="293" spans="6:7" x14ac:dyDescent="0.25">
      <c r="F293" s="20"/>
      <c r="G293" s="20"/>
    </row>
    <row r="294" spans="6:7" x14ac:dyDescent="0.25">
      <c r="F294" s="20"/>
      <c r="G294" s="20"/>
    </row>
    <row r="295" spans="6:7" x14ac:dyDescent="0.25">
      <c r="F295" s="20"/>
      <c r="G295" s="20"/>
    </row>
    <row r="296" spans="6:7" x14ac:dyDescent="0.25">
      <c r="F296" s="20"/>
      <c r="G296" s="20"/>
    </row>
    <row r="297" spans="6:7" x14ac:dyDescent="0.25">
      <c r="F297" s="20"/>
      <c r="G297" s="20"/>
    </row>
    <row r="298" spans="6:7" x14ac:dyDescent="0.25">
      <c r="F298" s="20"/>
      <c r="G298" s="20"/>
    </row>
    <row r="299" spans="6:7" x14ac:dyDescent="0.25">
      <c r="F299" s="20"/>
      <c r="G299" s="20"/>
    </row>
    <row r="300" spans="6:7" x14ac:dyDescent="0.25">
      <c r="F300" s="20"/>
      <c r="G300" s="20"/>
    </row>
    <row r="301" spans="6:7" x14ac:dyDescent="0.25">
      <c r="F301" s="20"/>
      <c r="G301" s="20"/>
    </row>
    <row r="302" spans="6:7" x14ac:dyDescent="0.25">
      <c r="F302" s="20"/>
      <c r="G302" s="20"/>
    </row>
    <row r="303" spans="6:7" x14ac:dyDescent="0.25">
      <c r="F303" s="20"/>
      <c r="G303" s="20"/>
    </row>
    <row r="304" spans="6:7" x14ac:dyDescent="0.25">
      <c r="F304" s="20"/>
      <c r="G304" s="20"/>
    </row>
    <row r="305" spans="6:7" x14ac:dyDescent="0.25">
      <c r="F305" s="20"/>
      <c r="G305" s="20"/>
    </row>
    <row r="306" spans="6:7" x14ac:dyDescent="0.25">
      <c r="F306" s="20"/>
      <c r="G306" s="20"/>
    </row>
    <row r="307" spans="6:7" x14ac:dyDescent="0.25">
      <c r="F307" s="20"/>
      <c r="G307" s="20"/>
    </row>
    <row r="308" spans="6:7" x14ac:dyDescent="0.25">
      <c r="F308" s="20"/>
      <c r="G308" s="20"/>
    </row>
    <row r="309" spans="6:7" x14ac:dyDescent="0.25">
      <c r="F309" s="20"/>
      <c r="G309" s="20"/>
    </row>
    <row r="310" spans="6:7" x14ac:dyDescent="0.25">
      <c r="F310" s="20"/>
      <c r="G310" s="20"/>
    </row>
    <row r="311" spans="6:7" x14ac:dyDescent="0.25">
      <c r="F311" s="20"/>
      <c r="G311" s="20"/>
    </row>
    <row r="312" spans="6:7" x14ac:dyDescent="0.25">
      <c r="F312" s="20"/>
      <c r="G312" s="20"/>
    </row>
    <row r="313" spans="6:7" x14ac:dyDescent="0.25">
      <c r="F313" s="20"/>
      <c r="G313" s="20"/>
    </row>
    <row r="314" spans="6:7" x14ac:dyDescent="0.25">
      <c r="F314" s="20"/>
      <c r="G314" s="20"/>
    </row>
    <row r="315" spans="6:7" x14ac:dyDescent="0.25">
      <c r="F315" s="20"/>
      <c r="G315" s="20"/>
    </row>
    <row r="316" spans="6:7" x14ac:dyDescent="0.25">
      <c r="F316" s="20"/>
      <c r="G316" s="20"/>
    </row>
    <row r="317" spans="6:7" x14ac:dyDescent="0.25">
      <c r="F317" s="20"/>
      <c r="G317" s="20"/>
    </row>
    <row r="318" spans="6:7" x14ac:dyDescent="0.25">
      <c r="F318" s="20"/>
      <c r="G318" s="20"/>
    </row>
    <row r="319" spans="6:7" x14ac:dyDescent="0.25">
      <c r="F319" s="20"/>
      <c r="G319" s="20"/>
    </row>
    <row r="320" spans="6:7" x14ac:dyDescent="0.25">
      <c r="F320" s="20"/>
      <c r="G320" s="20"/>
    </row>
    <row r="321" spans="6:7" x14ac:dyDescent="0.25">
      <c r="F321" s="20"/>
      <c r="G321" s="20"/>
    </row>
    <row r="322" spans="6:7" x14ac:dyDescent="0.25">
      <c r="F322" s="20"/>
      <c r="G322" s="20"/>
    </row>
    <row r="323" spans="6:7" x14ac:dyDescent="0.25">
      <c r="F323" s="20"/>
      <c r="G323" s="20"/>
    </row>
    <row r="324" spans="6:7" x14ac:dyDescent="0.25">
      <c r="F324" s="20"/>
      <c r="G324" s="20"/>
    </row>
    <row r="325" spans="6:7" x14ac:dyDescent="0.25">
      <c r="F325" s="20"/>
      <c r="G325" s="20"/>
    </row>
    <row r="326" spans="6:7" x14ac:dyDescent="0.25">
      <c r="F326" s="20"/>
      <c r="G326" s="20"/>
    </row>
    <row r="327" spans="6:7" x14ac:dyDescent="0.25">
      <c r="F327" s="20"/>
      <c r="G327" s="20"/>
    </row>
    <row r="328" spans="6:7" x14ac:dyDescent="0.25">
      <c r="F328" s="20"/>
      <c r="G328" s="20"/>
    </row>
    <row r="329" spans="6:7" x14ac:dyDescent="0.25">
      <c r="F329" s="20"/>
      <c r="G329" s="20"/>
    </row>
    <row r="330" spans="6:7" x14ac:dyDescent="0.25">
      <c r="F330" s="20"/>
      <c r="G330" s="20"/>
    </row>
    <row r="331" spans="6:7" x14ac:dyDescent="0.25">
      <c r="F331" s="20"/>
      <c r="G331" s="20"/>
    </row>
    <row r="332" spans="6:7" x14ac:dyDescent="0.25">
      <c r="F332" s="20"/>
      <c r="G332" s="20"/>
    </row>
    <row r="333" spans="6:7" x14ac:dyDescent="0.25">
      <c r="F333" s="20"/>
      <c r="G333" s="20"/>
    </row>
    <row r="334" spans="6:7" x14ac:dyDescent="0.25">
      <c r="F334" s="20"/>
      <c r="G334" s="20"/>
    </row>
    <row r="335" spans="6:7" x14ac:dyDescent="0.25">
      <c r="F335" s="20"/>
      <c r="G335" s="20"/>
    </row>
    <row r="336" spans="6:7" x14ac:dyDescent="0.25">
      <c r="F336" s="20"/>
      <c r="G336" s="20"/>
    </row>
    <row r="337" spans="6:7" x14ac:dyDescent="0.25">
      <c r="F337" s="20"/>
      <c r="G337" s="20"/>
    </row>
    <row r="338" spans="6:7" x14ac:dyDescent="0.25">
      <c r="F338" s="20"/>
      <c r="G338" s="20"/>
    </row>
    <row r="339" spans="6:7" x14ac:dyDescent="0.25">
      <c r="F339" s="20"/>
      <c r="G339" s="20"/>
    </row>
    <row r="340" spans="6:7" x14ac:dyDescent="0.25">
      <c r="F340" s="20"/>
      <c r="G340" s="20"/>
    </row>
    <row r="341" spans="6:7" x14ac:dyDescent="0.25">
      <c r="F341" s="20"/>
      <c r="G341" s="20"/>
    </row>
    <row r="342" spans="6:7" x14ac:dyDescent="0.25">
      <c r="F342" s="20"/>
      <c r="G342" s="20"/>
    </row>
    <row r="343" spans="6:7" x14ac:dyDescent="0.25">
      <c r="F343" s="20"/>
      <c r="G343" s="20"/>
    </row>
    <row r="344" spans="6:7" x14ac:dyDescent="0.25">
      <c r="F344" s="20"/>
      <c r="G344" s="20"/>
    </row>
    <row r="345" spans="6:7" x14ac:dyDescent="0.25">
      <c r="F345" s="20"/>
      <c r="G345" s="20"/>
    </row>
    <row r="346" spans="6:7" x14ac:dyDescent="0.25">
      <c r="F346" s="20"/>
      <c r="G346" s="20"/>
    </row>
    <row r="347" spans="6:7" x14ac:dyDescent="0.25">
      <c r="F347" s="20"/>
      <c r="G347" s="20"/>
    </row>
    <row r="348" spans="6:7" x14ac:dyDescent="0.25">
      <c r="F348" s="20"/>
      <c r="G348" s="20"/>
    </row>
    <row r="349" spans="6:7" x14ac:dyDescent="0.25">
      <c r="F349" s="20"/>
      <c r="G349" s="20"/>
    </row>
    <row r="350" spans="6:7" x14ac:dyDescent="0.25">
      <c r="F350" s="20"/>
      <c r="G350" s="20"/>
    </row>
    <row r="351" spans="6:7" x14ac:dyDescent="0.25">
      <c r="F351" s="20"/>
      <c r="G351" s="20"/>
    </row>
    <row r="352" spans="6:7" x14ac:dyDescent="0.25">
      <c r="F352" s="20"/>
      <c r="G352" s="20"/>
    </row>
    <row r="353" spans="6:7" x14ac:dyDescent="0.25">
      <c r="F353" s="20"/>
      <c r="G353" s="20"/>
    </row>
    <row r="354" spans="6:7" x14ac:dyDescent="0.25">
      <c r="F354" s="20"/>
      <c r="G354" s="20"/>
    </row>
    <row r="355" spans="6:7" x14ac:dyDescent="0.25">
      <c r="F355" s="20"/>
      <c r="G355" s="20"/>
    </row>
    <row r="356" spans="6:7" x14ac:dyDescent="0.25">
      <c r="F356" s="20"/>
      <c r="G356" s="20"/>
    </row>
    <row r="357" spans="6:7" x14ac:dyDescent="0.25">
      <c r="F357" s="20"/>
      <c r="G357" s="20"/>
    </row>
    <row r="358" spans="6:7" x14ac:dyDescent="0.25">
      <c r="F358" s="20"/>
      <c r="G358" s="20"/>
    </row>
    <row r="359" spans="6:7" x14ac:dyDescent="0.25">
      <c r="F359" s="20"/>
      <c r="G359" s="20"/>
    </row>
    <row r="360" spans="6:7" x14ac:dyDescent="0.25">
      <c r="F360" s="20"/>
      <c r="G360" s="20"/>
    </row>
    <row r="361" spans="6:7" x14ac:dyDescent="0.25">
      <c r="F361" s="20"/>
      <c r="G361" s="20"/>
    </row>
    <row r="362" spans="6:7" x14ac:dyDescent="0.25">
      <c r="F362" s="20"/>
      <c r="G362" s="20"/>
    </row>
    <row r="363" spans="6:7" x14ac:dyDescent="0.25">
      <c r="F363" s="20"/>
      <c r="G363" s="20"/>
    </row>
    <row r="364" spans="6:7" x14ac:dyDescent="0.25">
      <c r="F364" s="20"/>
      <c r="G364" s="20"/>
    </row>
    <row r="365" spans="6:7" x14ac:dyDescent="0.25">
      <c r="F365" s="20"/>
      <c r="G365" s="20"/>
    </row>
    <row r="366" spans="6:7" x14ac:dyDescent="0.25">
      <c r="F366" s="20"/>
      <c r="G366" s="20"/>
    </row>
    <row r="367" spans="6:7" x14ac:dyDescent="0.25">
      <c r="F367" s="20"/>
      <c r="G367" s="20"/>
    </row>
    <row r="368" spans="6:7" x14ac:dyDescent="0.25">
      <c r="F368" s="20"/>
      <c r="G368" s="20"/>
    </row>
    <row r="369" spans="6:7" x14ac:dyDescent="0.25">
      <c r="F369" s="20"/>
      <c r="G369" s="20"/>
    </row>
    <row r="370" spans="6:7" x14ac:dyDescent="0.25">
      <c r="F370" s="20"/>
      <c r="G370" s="20"/>
    </row>
    <row r="371" spans="6:7" x14ac:dyDescent="0.25">
      <c r="F371" s="20"/>
      <c r="G371" s="20"/>
    </row>
    <row r="372" spans="6:7" x14ac:dyDescent="0.25">
      <c r="F372" s="20"/>
      <c r="G372" s="20"/>
    </row>
    <row r="373" spans="6:7" x14ac:dyDescent="0.25">
      <c r="F373" s="20"/>
      <c r="G373" s="20"/>
    </row>
    <row r="374" spans="6:7" x14ac:dyDescent="0.25">
      <c r="F374" s="20"/>
      <c r="G374" s="20"/>
    </row>
    <row r="375" spans="6:7" x14ac:dyDescent="0.25">
      <c r="F375" s="20"/>
      <c r="G375" s="20"/>
    </row>
    <row r="376" spans="6:7" x14ac:dyDescent="0.25">
      <c r="F376" s="20"/>
      <c r="G376" s="20"/>
    </row>
    <row r="377" spans="6:7" x14ac:dyDescent="0.25">
      <c r="F377" s="20"/>
      <c r="G377" s="20"/>
    </row>
    <row r="378" spans="6:7" x14ac:dyDescent="0.25">
      <c r="F378" s="20"/>
      <c r="G378" s="20"/>
    </row>
    <row r="379" spans="6:7" x14ac:dyDescent="0.25">
      <c r="F379" s="20"/>
      <c r="G379" s="20"/>
    </row>
    <row r="380" spans="6:7" x14ac:dyDescent="0.25">
      <c r="F380" s="20"/>
      <c r="G380" s="20"/>
    </row>
    <row r="381" spans="6:7" x14ac:dyDescent="0.25">
      <c r="F381" s="20"/>
      <c r="G381" s="20"/>
    </row>
    <row r="382" spans="6:7" x14ac:dyDescent="0.25">
      <c r="F382" s="20"/>
      <c r="G382" s="20"/>
    </row>
    <row r="383" spans="6:7" x14ac:dyDescent="0.25">
      <c r="F383" s="20"/>
      <c r="G383" s="20"/>
    </row>
    <row r="384" spans="6:7" x14ac:dyDescent="0.25">
      <c r="F384" s="20"/>
      <c r="G384" s="20"/>
    </row>
    <row r="385" spans="6:7" x14ac:dyDescent="0.25">
      <c r="F385" s="20"/>
      <c r="G385" s="20"/>
    </row>
    <row r="386" spans="6:7" x14ac:dyDescent="0.25">
      <c r="F386" s="20"/>
      <c r="G386" s="20"/>
    </row>
    <row r="387" spans="6:7" x14ac:dyDescent="0.25">
      <c r="F387" s="20"/>
      <c r="G387" s="20"/>
    </row>
    <row r="388" spans="6:7" x14ac:dyDescent="0.25">
      <c r="F388" s="20"/>
      <c r="G388" s="20"/>
    </row>
    <row r="389" spans="6:7" x14ac:dyDescent="0.25">
      <c r="F389" s="20"/>
      <c r="G389" s="20"/>
    </row>
    <row r="390" spans="6:7" x14ac:dyDescent="0.25">
      <c r="F390" s="20"/>
      <c r="G390" s="20"/>
    </row>
    <row r="391" spans="6:7" x14ac:dyDescent="0.25">
      <c r="F391" s="20"/>
      <c r="G391" s="20"/>
    </row>
    <row r="392" spans="6:7" x14ac:dyDescent="0.25">
      <c r="F392" s="20"/>
      <c r="G392" s="20"/>
    </row>
    <row r="393" spans="6:7" x14ac:dyDescent="0.25">
      <c r="F393" s="20"/>
      <c r="G393" s="20"/>
    </row>
    <row r="394" spans="6:7" x14ac:dyDescent="0.25">
      <c r="F394" s="20"/>
      <c r="G394" s="20"/>
    </row>
    <row r="395" spans="6:7" x14ac:dyDescent="0.25">
      <c r="F395" s="20"/>
      <c r="G395" s="20"/>
    </row>
    <row r="396" spans="6:7" x14ac:dyDescent="0.25">
      <c r="F396" s="20"/>
      <c r="G396" s="20"/>
    </row>
    <row r="397" spans="6:7" x14ac:dyDescent="0.25">
      <c r="F397" s="20"/>
      <c r="G397" s="20"/>
    </row>
    <row r="398" spans="6:7" x14ac:dyDescent="0.25">
      <c r="F398" s="20"/>
      <c r="G398" s="20"/>
    </row>
    <row r="399" spans="6:7" x14ac:dyDescent="0.25">
      <c r="F399" s="20"/>
      <c r="G399" s="20"/>
    </row>
    <row r="400" spans="6:7" x14ac:dyDescent="0.25">
      <c r="F400" s="20"/>
      <c r="G400" s="20"/>
    </row>
    <row r="401" spans="6:7" x14ac:dyDescent="0.25">
      <c r="F401" s="20"/>
      <c r="G401" s="20"/>
    </row>
    <row r="402" spans="6:7" x14ac:dyDescent="0.25">
      <c r="F402" s="20"/>
      <c r="G402" s="20"/>
    </row>
    <row r="403" spans="6:7" x14ac:dyDescent="0.25">
      <c r="F403" s="20"/>
      <c r="G403" s="20"/>
    </row>
    <row r="404" spans="6:7" x14ac:dyDescent="0.25">
      <c r="F404" s="20"/>
      <c r="G404" s="20"/>
    </row>
    <row r="405" spans="6:7" x14ac:dyDescent="0.25">
      <c r="F405" s="20"/>
      <c r="G405" s="20"/>
    </row>
    <row r="406" spans="6:7" x14ac:dyDescent="0.25">
      <c r="F406" s="20"/>
      <c r="G406" s="20"/>
    </row>
    <row r="407" spans="6:7" x14ac:dyDescent="0.25">
      <c r="F407" s="20"/>
      <c r="G407" s="20"/>
    </row>
    <row r="408" spans="6:7" x14ac:dyDescent="0.25">
      <c r="F408" s="20"/>
      <c r="G408" s="20"/>
    </row>
    <row r="409" spans="6:7" x14ac:dyDescent="0.25">
      <c r="F409" s="20"/>
      <c r="G409" s="20"/>
    </row>
    <row r="410" spans="6:7" x14ac:dyDescent="0.25">
      <c r="F410" s="20"/>
      <c r="G410" s="20"/>
    </row>
    <row r="411" spans="6:7" x14ac:dyDescent="0.25">
      <c r="F411" s="20"/>
      <c r="G411" s="20"/>
    </row>
    <row r="412" spans="6:7" x14ac:dyDescent="0.25">
      <c r="F412" s="20"/>
      <c r="G412" s="20"/>
    </row>
    <row r="413" spans="6:7" x14ac:dyDescent="0.25">
      <c r="F413" s="20"/>
      <c r="G413" s="20"/>
    </row>
    <row r="414" spans="6:7" x14ac:dyDescent="0.25">
      <c r="F414" s="20"/>
      <c r="G414" s="20"/>
    </row>
    <row r="415" spans="6:7" x14ac:dyDescent="0.25">
      <c r="F415" s="20"/>
      <c r="G415" s="20"/>
    </row>
    <row r="416" spans="6:7" x14ac:dyDescent="0.25">
      <c r="F416" s="20"/>
      <c r="G416" s="20"/>
    </row>
    <row r="417" spans="6:7" x14ac:dyDescent="0.25">
      <c r="F417" s="20"/>
      <c r="G417" s="20"/>
    </row>
    <row r="418" spans="6:7" x14ac:dyDescent="0.25">
      <c r="F418" s="20"/>
      <c r="G418" s="20"/>
    </row>
    <row r="419" spans="6:7" x14ac:dyDescent="0.25">
      <c r="F419" s="20"/>
      <c r="G419" s="20"/>
    </row>
    <row r="420" spans="6:7" x14ac:dyDescent="0.25">
      <c r="F420" s="20"/>
      <c r="G420" s="20"/>
    </row>
    <row r="421" spans="6:7" x14ac:dyDescent="0.25">
      <c r="F421" s="20"/>
      <c r="G421" s="20"/>
    </row>
    <row r="422" spans="6:7" x14ac:dyDescent="0.25">
      <c r="F422" s="20"/>
      <c r="G422" s="20"/>
    </row>
    <row r="423" spans="6:7" x14ac:dyDescent="0.25">
      <c r="F423" s="20"/>
      <c r="G423" s="20"/>
    </row>
    <row r="424" spans="6:7" x14ac:dyDescent="0.25">
      <c r="F424" s="20"/>
      <c r="G424" s="20"/>
    </row>
    <row r="425" spans="6:7" x14ac:dyDescent="0.25">
      <c r="F425" s="20"/>
      <c r="G425" s="20"/>
    </row>
    <row r="426" spans="6:7" x14ac:dyDescent="0.25">
      <c r="F426" s="20"/>
      <c r="G426" s="20"/>
    </row>
    <row r="427" spans="6:7" x14ac:dyDescent="0.25">
      <c r="F427" s="20"/>
      <c r="G427" s="20"/>
    </row>
    <row r="428" spans="6:7" x14ac:dyDescent="0.25">
      <c r="F428" s="20"/>
      <c r="G428" s="20"/>
    </row>
    <row r="429" spans="6:7" x14ac:dyDescent="0.25">
      <c r="F429" s="20"/>
      <c r="G429" s="20"/>
    </row>
    <row r="430" spans="6:7" x14ac:dyDescent="0.25">
      <c r="F430" s="20"/>
      <c r="G430" s="20"/>
    </row>
    <row r="431" spans="6:7" x14ac:dyDescent="0.25">
      <c r="F431" s="20"/>
      <c r="G431" s="20"/>
    </row>
    <row r="432" spans="6:7" x14ac:dyDescent="0.25">
      <c r="F432" s="20"/>
      <c r="G432" s="20"/>
    </row>
    <row r="433" spans="6:7" x14ac:dyDescent="0.25">
      <c r="F433" s="20"/>
      <c r="G433" s="20"/>
    </row>
    <row r="434" spans="6:7" x14ac:dyDescent="0.25">
      <c r="F434" s="20"/>
      <c r="G434" s="20"/>
    </row>
    <row r="435" spans="6:7" x14ac:dyDescent="0.25">
      <c r="F435" s="20"/>
      <c r="G435" s="20"/>
    </row>
    <row r="436" spans="6:7" x14ac:dyDescent="0.25">
      <c r="F436" s="20"/>
      <c r="G436" s="20"/>
    </row>
    <row r="437" spans="6:7" x14ac:dyDescent="0.25">
      <c r="F437" s="20"/>
      <c r="G437" s="20"/>
    </row>
    <row r="438" spans="6:7" x14ac:dyDescent="0.25">
      <c r="F438" s="20"/>
      <c r="G438" s="20"/>
    </row>
    <row r="439" spans="6:7" x14ac:dyDescent="0.25">
      <c r="F439" s="20"/>
      <c r="G439" s="20"/>
    </row>
    <row r="440" spans="6:7" x14ac:dyDescent="0.25">
      <c r="F440" s="20"/>
      <c r="G440" s="20"/>
    </row>
    <row r="441" spans="6:7" x14ac:dyDescent="0.25">
      <c r="F441" s="20"/>
      <c r="G441" s="20"/>
    </row>
    <row r="442" spans="6:7" x14ac:dyDescent="0.25">
      <c r="F442" s="20"/>
      <c r="G442" s="20"/>
    </row>
    <row r="443" spans="6:7" x14ac:dyDescent="0.25">
      <c r="F443" s="20"/>
      <c r="G443" s="20"/>
    </row>
    <row r="444" spans="6:7" x14ac:dyDescent="0.25">
      <c r="F444" s="20"/>
      <c r="G444" s="20"/>
    </row>
    <row r="445" spans="6:7" x14ac:dyDescent="0.25">
      <c r="F445" s="20"/>
      <c r="G445" s="20"/>
    </row>
    <row r="446" spans="6:7" x14ac:dyDescent="0.25">
      <c r="F446" s="20"/>
      <c r="G446" s="20"/>
    </row>
    <row r="447" spans="6:7" x14ac:dyDescent="0.25">
      <c r="F447" s="20"/>
      <c r="G447" s="20"/>
    </row>
    <row r="448" spans="6:7" x14ac:dyDescent="0.25">
      <c r="F448" s="20"/>
      <c r="G448" s="20"/>
    </row>
    <row r="449" spans="6:7" x14ac:dyDescent="0.25">
      <c r="F449" s="20"/>
      <c r="G449" s="20"/>
    </row>
    <row r="450" spans="6:7" x14ac:dyDescent="0.25">
      <c r="F450" s="20"/>
      <c r="G450" s="20"/>
    </row>
    <row r="451" spans="6:7" x14ac:dyDescent="0.25">
      <c r="F451" s="20"/>
      <c r="G451" s="20"/>
    </row>
    <row r="452" spans="6:7" x14ac:dyDescent="0.25">
      <c r="F452" s="20"/>
      <c r="G452" s="20"/>
    </row>
    <row r="453" spans="6:7" x14ac:dyDescent="0.25">
      <c r="F453" s="20"/>
      <c r="G453" s="20"/>
    </row>
    <row r="454" spans="6:7" x14ac:dyDescent="0.25">
      <c r="F454" s="20"/>
      <c r="G454" s="20"/>
    </row>
    <row r="455" spans="6:7" x14ac:dyDescent="0.25">
      <c r="F455" s="20"/>
      <c r="G455" s="20"/>
    </row>
    <row r="456" spans="6:7" x14ac:dyDescent="0.25">
      <c r="F456" s="20"/>
      <c r="G456" s="20"/>
    </row>
    <row r="457" spans="6:7" x14ac:dyDescent="0.25">
      <c r="F457" s="20"/>
      <c r="G457" s="20"/>
    </row>
    <row r="458" spans="6:7" x14ac:dyDescent="0.25">
      <c r="F458" s="20"/>
      <c r="G458" s="20"/>
    </row>
    <row r="459" spans="6:7" x14ac:dyDescent="0.25">
      <c r="F459" s="20"/>
      <c r="G459" s="20"/>
    </row>
    <row r="460" spans="6:7" x14ac:dyDescent="0.25">
      <c r="F460" s="20"/>
      <c r="G460" s="20"/>
    </row>
    <row r="461" spans="6:7" x14ac:dyDescent="0.25">
      <c r="F461" s="20"/>
      <c r="G461" s="20"/>
    </row>
    <row r="462" spans="6:7" x14ac:dyDescent="0.25">
      <c r="F462" s="20"/>
      <c r="G462" s="20"/>
    </row>
    <row r="463" spans="6:7" x14ac:dyDescent="0.25">
      <c r="F463" s="20"/>
      <c r="G463" s="20"/>
    </row>
    <row r="464" spans="6:7" x14ac:dyDescent="0.25">
      <c r="F464" s="20"/>
      <c r="G464" s="20"/>
    </row>
    <row r="465" spans="6:7" x14ac:dyDescent="0.25">
      <c r="F465" s="20"/>
      <c r="G465" s="20"/>
    </row>
    <row r="466" spans="6:7" x14ac:dyDescent="0.25">
      <c r="F466" s="20"/>
      <c r="G466" s="20"/>
    </row>
    <row r="467" spans="6:7" x14ac:dyDescent="0.25">
      <c r="F467" s="20"/>
      <c r="G467" s="20"/>
    </row>
    <row r="468" spans="6:7" x14ac:dyDescent="0.25">
      <c r="F468" s="20"/>
      <c r="G468" s="20"/>
    </row>
    <row r="469" spans="6:7" x14ac:dyDescent="0.25">
      <c r="F469" s="20"/>
      <c r="G469" s="20"/>
    </row>
    <row r="470" spans="6:7" x14ac:dyDescent="0.25">
      <c r="F470" s="20"/>
      <c r="G470" s="20"/>
    </row>
    <row r="471" spans="6:7" x14ac:dyDescent="0.25">
      <c r="F471" s="20"/>
      <c r="G471" s="20"/>
    </row>
    <row r="472" spans="6:7" x14ac:dyDescent="0.25">
      <c r="F472" s="20"/>
      <c r="G472" s="20"/>
    </row>
    <row r="473" spans="6:7" x14ac:dyDescent="0.25">
      <c r="F473" s="20"/>
      <c r="G473" s="20"/>
    </row>
    <row r="474" spans="6:7" x14ac:dyDescent="0.25">
      <c r="F474" s="20"/>
      <c r="G474" s="20"/>
    </row>
    <row r="475" spans="6:7" x14ac:dyDescent="0.25">
      <c r="F475" s="20"/>
      <c r="G475" s="20"/>
    </row>
    <row r="476" spans="6:7" x14ac:dyDescent="0.25">
      <c r="F476" s="20"/>
      <c r="G476" s="20"/>
    </row>
    <row r="477" spans="6:7" x14ac:dyDescent="0.25">
      <c r="F477" s="20"/>
      <c r="G477" s="20"/>
    </row>
    <row r="478" spans="6:7" x14ac:dyDescent="0.25">
      <c r="F478" s="20"/>
      <c r="G478" s="20"/>
    </row>
    <row r="479" spans="6:7" x14ac:dyDescent="0.25">
      <c r="F479" s="20"/>
      <c r="G479" s="20"/>
    </row>
    <row r="480" spans="6:7" x14ac:dyDescent="0.25">
      <c r="F480" s="20"/>
      <c r="G480" s="20"/>
    </row>
    <row r="481" spans="6:7" x14ac:dyDescent="0.25">
      <c r="F481" s="20"/>
      <c r="G481" s="20"/>
    </row>
    <row r="482" spans="6:7" x14ac:dyDescent="0.25">
      <c r="F482" s="20"/>
      <c r="G482" s="20"/>
    </row>
    <row r="483" spans="6:7" x14ac:dyDescent="0.25">
      <c r="F483" s="20"/>
      <c r="G483" s="20"/>
    </row>
    <row r="484" spans="6:7" x14ac:dyDescent="0.25">
      <c r="F484" s="20"/>
      <c r="G484" s="20"/>
    </row>
    <row r="485" spans="6:7" x14ac:dyDescent="0.25">
      <c r="F485" s="20"/>
      <c r="G485" s="20"/>
    </row>
    <row r="486" spans="6:7" x14ac:dyDescent="0.25">
      <c r="F486" s="20"/>
      <c r="G486" s="20"/>
    </row>
    <row r="487" spans="6:7" x14ac:dyDescent="0.25">
      <c r="F487" s="20"/>
      <c r="G487" s="20"/>
    </row>
    <row r="488" spans="6:7" x14ac:dyDescent="0.25">
      <c r="F488" s="20"/>
      <c r="G488" s="20"/>
    </row>
    <row r="489" spans="6:7" x14ac:dyDescent="0.25">
      <c r="F489" s="20"/>
      <c r="G489" s="20"/>
    </row>
    <row r="490" spans="6:7" x14ac:dyDescent="0.25">
      <c r="F490" s="20"/>
      <c r="G490" s="20"/>
    </row>
    <row r="491" spans="6:7" x14ac:dyDescent="0.25">
      <c r="F491" s="20"/>
      <c r="G491" s="20"/>
    </row>
    <row r="492" spans="6:7" x14ac:dyDescent="0.25">
      <c r="F492" s="20"/>
      <c r="G492" s="20"/>
    </row>
    <row r="493" spans="6:7" x14ac:dyDescent="0.25">
      <c r="F493" s="20"/>
      <c r="G493" s="20"/>
    </row>
    <row r="494" spans="6:7" x14ac:dyDescent="0.25">
      <c r="F494" s="20"/>
      <c r="G494" s="20"/>
    </row>
    <row r="495" spans="6:7" x14ac:dyDescent="0.25">
      <c r="F495" s="20"/>
      <c r="G495" s="20"/>
    </row>
    <row r="496" spans="6:7" x14ac:dyDescent="0.25">
      <c r="F496" s="20"/>
      <c r="G496" s="20"/>
    </row>
    <row r="497" spans="6:7" x14ac:dyDescent="0.25">
      <c r="F497" s="20"/>
      <c r="G497" s="20"/>
    </row>
    <row r="498" spans="6:7" x14ac:dyDescent="0.25">
      <c r="F498" s="20"/>
      <c r="G498" s="20"/>
    </row>
    <row r="499" spans="6:7" x14ac:dyDescent="0.25">
      <c r="F499" s="20"/>
      <c r="G499" s="20"/>
    </row>
    <row r="500" spans="6:7" x14ac:dyDescent="0.25">
      <c r="F500" s="20"/>
      <c r="G500" s="20"/>
    </row>
    <row r="501" spans="6:7" x14ac:dyDescent="0.25">
      <c r="F501" s="20"/>
      <c r="G501" s="20"/>
    </row>
    <row r="502" spans="6:7" x14ac:dyDescent="0.25">
      <c r="F502" s="20"/>
      <c r="G502" s="20"/>
    </row>
    <row r="503" spans="6:7" x14ac:dyDescent="0.25">
      <c r="F503" s="20"/>
      <c r="G503" s="20"/>
    </row>
    <row r="504" spans="6:7" x14ac:dyDescent="0.25">
      <c r="F504" s="20"/>
      <c r="G504" s="20"/>
    </row>
    <row r="505" spans="6:7" x14ac:dyDescent="0.25">
      <c r="F505" s="20"/>
      <c r="G505" s="20"/>
    </row>
    <row r="506" spans="6:7" x14ac:dyDescent="0.25">
      <c r="F506" s="20"/>
      <c r="G506" s="20"/>
    </row>
    <row r="507" spans="6:7" x14ac:dyDescent="0.25">
      <c r="F507" s="20"/>
      <c r="G507" s="20"/>
    </row>
    <row r="508" spans="6:7" x14ac:dyDescent="0.25">
      <c r="F508" s="20"/>
      <c r="G508" s="20"/>
    </row>
    <row r="509" spans="6:7" x14ac:dyDescent="0.25">
      <c r="F509" s="20"/>
      <c r="G509" s="20"/>
    </row>
    <row r="510" spans="6:7" x14ac:dyDescent="0.25">
      <c r="F510" s="20"/>
      <c r="G510" s="20"/>
    </row>
    <row r="511" spans="6:7" x14ac:dyDescent="0.25">
      <c r="F511" s="20"/>
      <c r="G511" s="20"/>
    </row>
    <row r="512" spans="6:7" x14ac:dyDescent="0.25">
      <c r="F512" s="20"/>
      <c r="G512" s="20"/>
    </row>
    <row r="513" spans="6:7" x14ac:dyDescent="0.25">
      <c r="F513" s="20"/>
      <c r="G513" s="20"/>
    </row>
    <row r="514" spans="6:7" x14ac:dyDescent="0.25">
      <c r="F514" s="20"/>
      <c r="G514" s="20"/>
    </row>
    <row r="515" spans="6:7" x14ac:dyDescent="0.25">
      <c r="F515" s="20"/>
      <c r="G515" s="20"/>
    </row>
    <row r="516" spans="6:7" x14ac:dyDescent="0.25">
      <c r="F516" s="20"/>
      <c r="G516" s="20"/>
    </row>
    <row r="517" spans="6:7" x14ac:dyDescent="0.25">
      <c r="F517" s="20"/>
      <c r="G517" s="20"/>
    </row>
    <row r="518" spans="6:7" x14ac:dyDescent="0.25">
      <c r="F518" s="20"/>
      <c r="G518" s="20"/>
    </row>
    <row r="519" spans="6:7" x14ac:dyDescent="0.25">
      <c r="F519" s="20"/>
      <c r="G519" s="20"/>
    </row>
    <row r="520" spans="6:7" x14ac:dyDescent="0.25">
      <c r="F520" s="20"/>
      <c r="G520" s="20"/>
    </row>
    <row r="521" spans="6:7" x14ac:dyDescent="0.25">
      <c r="F521" s="20"/>
      <c r="G521" s="20"/>
    </row>
    <row r="522" spans="6:7" x14ac:dyDescent="0.25">
      <c r="F522" s="20"/>
      <c r="G522" s="20"/>
    </row>
    <row r="523" spans="6:7" x14ac:dyDescent="0.25">
      <c r="F523" s="20"/>
      <c r="G523" s="20"/>
    </row>
    <row r="524" spans="6:7" x14ac:dyDescent="0.25">
      <c r="F524" s="20"/>
      <c r="G524" s="20"/>
    </row>
    <row r="525" spans="6:7" x14ac:dyDescent="0.25">
      <c r="F525" s="20"/>
      <c r="G525" s="20"/>
    </row>
    <row r="526" spans="6:7" x14ac:dyDescent="0.25">
      <c r="F526" s="20"/>
      <c r="G526" s="20"/>
    </row>
    <row r="527" spans="6:7" x14ac:dyDescent="0.25">
      <c r="F527" s="20"/>
      <c r="G527" s="20"/>
    </row>
    <row r="528" spans="6:7" x14ac:dyDescent="0.25">
      <c r="F528" s="20"/>
      <c r="G528" s="20"/>
    </row>
    <row r="529" spans="6:7" x14ac:dyDescent="0.25">
      <c r="F529" s="20"/>
      <c r="G529" s="20"/>
    </row>
    <row r="530" spans="6:7" x14ac:dyDescent="0.25">
      <c r="F530" s="20"/>
      <c r="G530" s="20"/>
    </row>
    <row r="531" spans="6:7" x14ac:dyDescent="0.25">
      <c r="F531" s="20"/>
      <c r="G531" s="20"/>
    </row>
    <row r="532" spans="6:7" x14ac:dyDescent="0.25">
      <c r="F532" s="20"/>
      <c r="G532" s="20"/>
    </row>
    <row r="533" spans="6:7" x14ac:dyDescent="0.25">
      <c r="F533" s="20"/>
      <c r="G533" s="20"/>
    </row>
    <row r="534" spans="6:7" x14ac:dyDescent="0.25">
      <c r="F534" s="20"/>
      <c r="G534" s="20"/>
    </row>
    <row r="535" spans="6:7" x14ac:dyDescent="0.25">
      <c r="F535" s="20"/>
      <c r="G535" s="20"/>
    </row>
    <row r="536" spans="6:7" x14ac:dyDescent="0.25">
      <c r="F536" s="20"/>
      <c r="G536" s="20"/>
    </row>
    <row r="537" spans="6:7" x14ac:dyDescent="0.25">
      <c r="F537" s="20"/>
      <c r="G537" s="20"/>
    </row>
    <row r="538" spans="6:7" x14ac:dyDescent="0.25">
      <c r="F538" s="20"/>
      <c r="G538" s="20"/>
    </row>
    <row r="539" spans="6:7" x14ac:dyDescent="0.25">
      <c r="F539" s="20"/>
      <c r="G539" s="20"/>
    </row>
    <row r="540" spans="6:7" x14ac:dyDescent="0.25">
      <c r="F540" s="20"/>
      <c r="G540" s="20"/>
    </row>
    <row r="541" spans="6:7" x14ac:dyDescent="0.25">
      <c r="F541" s="20"/>
      <c r="G541" s="20"/>
    </row>
    <row r="542" spans="6:7" x14ac:dyDescent="0.25">
      <c r="F542" s="20"/>
      <c r="G542" s="20"/>
    </row>
    <row r="543" spans="6:7" x14ac:dyDescent="0.25">
      <c r="F543" s="20"/>
      <c r="G543" s="20"/>
    </row>
    <row r="544" spans="6:7" x14ac:dyDescent="0.25">
      <c r="F544" s="20"/>
      <c r="G544" s="20"/>
    </row>
    <row r="545" spans="6:7" x14ac:dyDescent="0.25">
      <c r="F545" s="20"/>
      <c r="G545" s="20"/>
    </row>
    <row r="546" spans="6:7" x14ac:dyDescent="0.25">
      <c r="F546" s="20"/>
      <c r="G546" s="20"/>
    </row>
    <row r="547" spans="6:7" x14ac:dyDescent="0.25">
      <c r="F547" s="20"/>
      <c r="G547" s="20"/>
    </row>
    <row r="548" spans="6:7" x14ac:dyDescent="0.25">
      <c r="F548" s="20"/>
      <c r="G548" s="20"/>
    </row>
    <row r="549" spans="6:7" x14ac:dyDescent="0.25">
      <c r="F549" s="20"/>
      <c r="G549" s="20"/>
    </row>
    <row r="550" spans="6:7" x14ac:dyDescent="0.25">
      <c r="F550" s="20"/>
      <c r="G550" s="20"/>
    </row>
    <row r="551" spans="6:7" x14ac:dyDescent="0.25">
      <c r="F551" s="20"/>
      <c r="G551" s="20"/>
    </row>
    <row r="552" spans="6:7" x14ac:dyDescent="0.25">
      <c r="F552" s="20"/>
      <c r="G552" s="20"/>
    </row>
    <row r="553" spans="6:7" x14ac:dyDescent="0.25">
      <c r="F553" s="20"/>
      <c r="G553" s="20"/>
    </row>
    <row r="554" spans="6:7" x14ac:dyDescent="0.25">
      <c r="F554" s="20"/>
      <c r="G554" s="20"/>
    </row>
    <row r="555" spans="6:7" x14ac:dyDescent="0.25">
      <c r="F555" s="20"/>
      <c r="G555" s="20"/>
    </row>
    <row r="556" spans="6:7" x14ac:dyDescent="0.25">
      <c r="F556" s="20"/>
      <c r="G556" s="20"/>
    </row>
    <row r="557" spans="6:7" x14ac:dyDescent="0.25">
      <c r="F557" s="20"/>
      <c r="G557" s="20"/>
    </row>
    <row r="558" spans="6:7" x14ac:dyDescent="0.25">
      <c r="F558" s="20"/>
      <c r="G558" s="20"/>
    </row>
    <row r="559" spans="6:7" x14ac:dyDescent="0.25">
      <c r="F559" s="20"/>
      <c r="G559" s="20"/>
    </row>
    <row r="560" spans="6:7" x14ac:dyDescent="0.25">
      <c r="F560" s="20"/>
      <c r="G560" s="20"/>
    </row>
    <row r="561" spans="6:7" x14ac:dyDescent="0.25">
      <c r="F561" s="20"/>
      <c r="G561" s="20"/>
    </row>
    <row r="562" spans="6:7" x14ac:dyDescent="0.25">
      <c r="F562" s="20"/>
      <c r="G562" s="20"/>
    </row>
    <row r="563" spans="6:7" x14ac:dyDescent="0.25">
      <c r="F563" s="20"/>
      <c r="G563" s="20"/>
    </row>
    <row r="564" spans="6:7" x14ac:dyDescent="0.25">
      <c r="F564" s="20"/>
      <c r="G564" s="20"/>
    </row>
    <row r="565" spans="6:7" x14ac:dyDescent="0.25">
      <c r="F565" s="20"/>
      <c r="G565" s="20"/>
    </row>
    <row r="566" spans="6:7" x14ac:dyDescent="0.25">
      <c r="F566" s="20"/>
      <c r="G566" s="20"/>
    </row>
    <row r="567" spans="6:7" x14ac:dyDescent="0.25">
      <c r="F567" s="20"/>
      <c r="G567" s="20"/>
    </row>
    <row r="568" spans="6:7" x14ac:dyDescent="0.25">
      <c r="F568" s="20"/>
      <c r="G568" s="20"/>
    </row>
    <row r="569" spans="6:7" x14ac:dyDescent="0.25">
      <c r="F569" s="20"/>
      <c r="G569" s="20"/>
    </row>
    <row r="570" spans="6:7" x14ac:dyDescent="0.25">
      <c r="F570" s="20"/>
      <c r="G570" s="20"/>
    </row>
    <row r="571" spans="6:7" x14ac:dyDescent="0.25">
      <c r="F571" s="20"/>
      <c r="G571" s="20"/>
    </row>
    <row r="572" spans="6:7" x14ac:dyDescent="0.25">
      <c r="F572" s="20"/>
      <c r="G572" s="20"/>
    </row>
    <row r="573" spans="6:7" x14ac:dyDescent="0.25">
      <c r="F573" s="20"/>
      <c r="G573" s="20"/>
    </row>
    <row r="574" spans="6:7" x14ac:dyDescent="0.25">
      <c r="F574" s="20"/>
      <c r="G574" s="20"/>
    </row>
    <row r="575" spans="6:7" x14ac:dyDescent="0.25">
      <c r="F575" s="20"/>
      <c r="G575" s="20"/>
    </row>
    <row r="576" spans="6:7" x14ac:dyDescent="0.25">
      <c r="F576" s="20"/>
      <c r="G576" s="20"/>
    </row>
    <row r="577" spans="6:7" x14ac:dyDescent="0.25">
      <c r="F577" s="20"/>
      <c r="G577" s="20"/>
    </row>
    <row r="578" spans="6:7" x14ac:dyDescent="0.25">
      <c r="F578" s="20"/>
      <c r="G578" s="20"/>
    </row>
    <row r="579" spans="6:7" x14ac:dyDescent="0.25">
      <c r="F579" s="20"/>
      <c r="G579" s="20"/>
    </row>
    <row r="580" spans="6:7" x14ac:dyDescent="0.25">
      <c r="F580" s="20"/>
      <c r="G580" s="20"/>
    </row>
    <row r="581" spans="6:7" x14ac:dyDescent="0.25">
      <c r="F581" s="20"/>
      <c r="G581" s="20"/>
    </row>
    <row r="582" spans="6:7" x14ac:dyDescent="0.25">
      <c r="F582" s="20"/>
      <c r="G582" s="20"/>
    </row>
    <row r="583" spans="6:7" x14ac:dyDescent="0.25">
      <c r="F583" s="20"/>
      <c r="G583" s="20"/>
    </row>
    <row r="584" spans="6:7" x14ac:dyDescent="0.25">
      <c r="F584" s="20"/>
      <c r="G584" s="20"/>
    </row>
    <row r="585" spans="6:7" x14ac:dyDescent="0.25">
      <c r="F585" s="20"/>
      <c r="G585" s="20"/>
    </row>
    <row r="586" spans="6:7" x14ac:dyDescent="0.25">
      <c r="F586" s="20"/>
      <c r="G586" s="20"/>
    </row>
    <row r="587" spans="6:7" x14ac:dyDescent="0.25">
      <c r="F587" s="20"/>
      <c r="G587" s="20"/>
    </row>
    <row r="588" spans="6:7" x14ac:dyDescent="0.25">
      <c r="F588" s="20"/>
      <c r="G588" s="20"/>
    </row>
    <row r="589" spans="6:7" x14ac:dyDescent="0.25">
      <c r="F589" s="20"/>
      <c r="G589" s="20"/>
    </row>
    <row r="590" spans="6:7" x14ac:dyDescent="0.25">
      <c r="F590" s="20"/>
      <c r="G590" s="20"/>
    </row>
    <row r="591" spans="6:7" x14ac:dyDescent="0.25">
      <c r="F591" s="20"/>
      <c r="G591" s="20"/>
    </row>
    <row r="592" spans="6:7" x14ac:dyDescent="0.25">
      <c r="F592" s="20"/>
      <c r="G592" s="20"/>
    </row>
    <row r="593" spans="6:7" x14ac:dyDescent="0.25">
      <c r="F593" s="20"/>
      <c r="G593" s="20"/>
    </row>
    <row r="594" spans="6:7" x14ac:dyDescent="0.25">
      <c r="F594" s="20"/>
      <c r="G594" s="20"/>
    </row>
    <row r="595" spans="6:7" x14ac:dyDescent="0.25">
      <c r="F595" s="20"/>
      <c r="G595" s="20"/>
    </row>
    <row r="596" spans="6:7" x14ac:dyDescent="0.25">
      <c r="F596" s="20"/>
      <c r="G596" s="20"/>
    </row>
    <row r="597" spans="6:7" x14ac:dyDescent="0.25">
      <c r="F597" s="20"/>
      <c r="G597" s="20"/>
    </row>
    <row r="598" spans="6:7" x14ac:dyDescent="0.25">
      <c r="F598" s="20"/>
      <c r="G598" s="20"/>
    </row>
    <row r="599" spans="6:7" x14ac:dyDescent="0.25">
      <c r="F599" s="20"/>
      <c r="G599" s="20"/>
    </row>
    <row r="600" spans="6:7" x14ac:dyDescent="0.25">
      <c r="F600" s="20"/>
      <c r="G600" s="20"/>
    </row>
    <row r="601" spans="6:7" x14ac:dyDescent="0.25">
      <c r="F601" s="20"/>
      <c r="G601" s="20"/>
    </row>
    <row r="602" spans="6:7" x14ac:dyDescent="0.25">
      <c r="F602" s="20"/>
      <c r="G602" s="20"/>
    </row>
    <row r="603" spans="6:7" x14ac:dyDescent="0.25">
      <c r="F603" s="20"/>
      <c r="G603" s="20"/>
    </row>
    <row r="604" spans="6:7" x14ac:dyDescent="0.25">
      <c r="F604" s="20"/>
      <c r="G604" s="20"/>
    </row>
    <row r="605" spans="6:7" x14ac:dyDescent="0.25">
      <c r="F605" s="20"/>
      <c r="G605" s="20"/>
    </row>
    <row r="606" spans="6:7" x14ac:dyDescent="0.25">
      <c r="F606" s="20"/>
      <c r="G606" s="20"/>
    </row>
    <row r="607" spans="6:7" x14ac:dyDescent="0.25">
      <c r="F607" s="20"/>
      <c r="G607" s="20"/>
    </row>
    <row r="608" spans="6:7" x14ac:dyDescent="0.25">
      <c r="F608" s="20"/>
      <c r="G608" s="20"/>
    </row>
    <row r="609" spans="6:7" x14ac:dyDescent="0.25">
      <c r="F609" s="20"/>
      <c r="G609" s="20"/>
    </row>
    <row r="610" spans="6:7" x14ac:dyDescent="0.25">
      <c r="F610" s="20"/>
      <c r="G610" s="20"/>
    </row>
    <row r="611" spans="6:7" x14ac:dyDescent="0.25">
      <c r="F611" s="20"/>
      <c r="G611" s="20"/>
    </row>
    <row r="612" spans="6:7" x14ac:dyDescent="0.25">
      <c r="F612" s="20"/>
      <c r="G612" s="20"/>
    </row>
    <row r="613" spans="6:7" x14ac:dyDescent="0.25">
      <c r="F613" s="20"/>
      <c r="G613" s="20"/>
    </row>
    <row r="614" spans="6:7" x14ac:dyDescent="0.25">
      <c r="F614" s="20"/>
      <c r="G614" s="20"/>
    </row>
    <row r="615" spans="6:7" x14ac:dyDescent="0.25">
      <c r="F615" s="20"/>
      <c r="G615" s="20"/>
    </row>
    <row r="616" spans="6:7" x14ac:dyDescent="0.25">
      <c r="F616" s="20"/>
      <c r="G616" s="20"/>
    </row>
    <row r="617" spans="6:7" x14ac:dyDescent="0.25">
      <c r="F617" s="20"/>
      <c r="G617" s="20"/>
    </row>
    <row r="618" spans="6:7" x14ac:dyDescent="0.25">
      <c r="F618" s="20"/>
      <c r="G618" s="20"/>
    </row>
    <row r="619" spans="6:7" x14ac:dyDescent="0.25">
      <c r="F619" s="20"/>
      <c r="G619" s="20"/>
    </row>
    <row r="620" spans="6:7" x14ac:dyDescent="0.25">
      <c r="F620" s="20"/>
      <c r="G620" s="20"/>
    </row>
    <row r="621" spans="6:7" x14ac:dyDescent="0.25">
      <c r="F621" s="20"/>
      <c r="G621" s="20"/>
    </row>
    <row r="622" spans="6:7" x14ac:dyDescent="0.25">
      <c r="F622" s="20"/>
      <c r="G622" s="20"/>
    </row>
    <row r="623" spans="6:7" x14ac:dyDescent="0.25">
      <c r="F623" s="20"/>
      <c r="G623" s="20"/>
    </row>
    <row r="624" spans="6:7" x14ac:dyDescent="0.25">
      <c r="F624" s="20"/>
      <c r="G624" s="20"/>
    </row>
    <row r="625" spans="6:7" x14ac:dyDescent="0.25">
      <c r="F625" s="20"/>
      <c r="G625" s="20"/>
    </row>
    <row r="626" spans="6:7" x14ac:dyDescent="0.25">
      <c r="F626" s="20"/>
      <c r="G626" s="20"/>
    </row>
    <row r="627" spans="6:7" x14ac:dyDescent="0.25">
      <c r="F627" s="20"/>
      <c r="G627" s="20"/>
    </row>
    <row r="628" spans="6:7" x14ac:dyDescent="0.25">
      <c r="F628" s="20"/>
      <c r="G628" s="20"/>
    </row>
    <row r="629" spans="6:7" x14ac:dyDescent="0.25">
      <c r="F629" s="20"/>
      <c r="G629" s="20"/>
    </row>
    <row r="630" spans="6:7" x14ac:dyDescent="0.25">
      <c r="F630" s="20"/>
      <c r="G630" s="20"/>
    </row>
    <row r="631" spans="6:7" x14ac:dyDescent="0.25">
      <c r="F631" s="20"/>
      <c r="G631" s="20"/>
    </row>
    <row r="632" spans="6:7" x14ac:dyDescent="0.25">
      <c r="F632" s="20"/>
      <c r="G632" s="20"/>
    </row>
    <row r="633" spans="6:7" x14ac:dyDescent="0.25">
      <c r="F633" s="20"/>
      <c r="G633" s="20"/>
    </row>
    <row r="634" spans="6:7" x14ac:dyDescent="0.25">
      <c r="F634" s="20"/>
      <c r="G634" s="20"/>
    </row>
    <row r="635" spans="6:7" x14ac:dyDescent="0.25">
      <c r="F635" s="20"/>
      <c r="G635" s="20"/>
    </row>
    <row r="636" spans="6:7" x14ac:dyDescent="0.25">
      <c r="F636" s="20"/>
      <c r="G636" s="20"/>
    </row>
    <row r="637" spans="6:7" x14ac:dyDescent="0.25">
      <c r="F637" s="20"/>
      <c r="G637" s="20"/>
    </row>
    <row r="638" spans="6:7" x14ac:dyDescent="0.25">
      <c r="F638" s="20"/>
      <c r="G638" s="20"/>
    </row>
    <row r="639" spans="6:7" x14ac:dyDescent="0.25">
      <c r="F639" s="20"/>
      <c r="G639" s="20"/>
    </row>
    <row r="640" spans="6:7" x14ac:dyDescent="0.25">
      <c r="F640" s="20"/>
      <c r="G640" s="20"/>
    </row>
    <row r="641" spans="6:7" x14ac:dyDescent="0.25">
      <c r="F641" s="20"/>
      <c r="G641" s="20"/>
    </row>
    <row r="642" spans="6:7" x14ac:dyDescent="0.25">
      <c r="F642" s="20"/>
      <c r="G642" s="20"/>
    </row>
    <row r="643" spans="6:7" x14ac:dyDescent="0.25">
      <c r="F643" s="20"/>
      <c r="G643" s="20"/>
    </row>
    <row r="644" spans="6:7" x14ac:dyDescent="0.25">
      <c r="F644" s="20"/>
      <c r="G644" s="20"/>
    </row>
    <row r="645" spans="6:7" x14ac:dyDescent="0.25">
      <c r="F645" s="20"/>
      <c r="G645" s="20"/>
    </row>
    <row r="646" spans="6:7" x14ac:dyDescent="0.25">
      <c r="F646" s="20"/>
      <c r="G646" s="20"/>
    </row>
    <row r="647" spans="6:7" x14ac:dyDescent="0.25">
      <c r="F647" s="20"/>
      <c r="G647" s="20"/>
    </row>
    <row r="648" spans="6:7" x14ac:dyDescent="0.25">
      <c r="F648" s="20"/>
      <c r="G648" s="20"/>
    </row>
    <row r="649" spans="6:7" x14ac:dyDescent="0.25">
      <c r="F649" s="20"/>
      <c r="G649" s="20"/>
    </row>
    <row r="650" spans="6:7" x14ac:dyDescent="0.25">
      <c r="F650" s="20"/>
      <c r="G650" s="20"/>
    </row>
    <row r="651" spans="6:7" x14ac:dyDescent="0.25">
      <c r="F651" s="20"/>
      <c r="G651" s="20"/>
    </row>
    <row r="652" spans="6:7" x14ac:dyDescent="0.25">
      <c r="F652" s="20"/>
      <c r="G652" s="20"/>
    </row>
    <row r="653" spans="6:7" x14ac:dyDescent="0.25">
      <c r="F653" s="20"/>
      <c r="G653" s="20"/>
    </row>
    <row r="654" spans="6:7" x14ac:dyDescent="0.25">
      <c r="F654" s="20"/>
      <c r="G654" s="20"/>
    </row>
    <row r="655" spans="6:7" x14ac:dyDescent="0.25">
      <c r="F655" s="20"/>
      <c r="G655" s="20"/>
    </row>
    <row r="656" spans="6:7" x14ac:dyDescent="0.25">
      <c r="F656" s="20"/>
      <c r="G656" s="20"/>
    </row>
    <row r="657" spans="6:7" x14ac:dyDescent="0.25">
      <c r="F657" s="20"/>
      <c r="G657" s="20"/>
    </row>
    <row r="658" spans="6:7" x14ac:dyDescent="0.25">
      <c r="F658" s="20"/>
      <c r="G658" s="20"/>
    </row>
    <row r="659" spans="6:7" x14ac:dyDescent="0.25">
      <c r="F659" s="20"/>
      <c r="G659" s="20"/>
    </row>
    <row r="660" spans="6:7" x14ac:dyDescent="0.25">
      <c r="F660" s="20"/>
      <c r="G660" s="20"/>
    </row>
    <row r="661" spans="6:7" x14ac:dyDescent="0.25">
      <c r="F661" s="20"/>
      <c r="G661" s="20"/>
    </row>
    <row r="662" spans="6:7" x14ac:dyDescent="0.25">
      <c r="F662" s="20"/>
      <c r="G662" s="20"/>
    </row>
    <row r="663" spans="6:7" x14ac:dyDescent="0.25">
      <c r="F663" s="20"/>
      <c r="G663" s="20"/>
    </row>
    <row r="664" spans="6:7" x14ac:dyDescent="0.25">
      <c r="F664" s="20"/>
      <c r="G664" s="20"/>
    </row>
    <row r="665" spans="6:7" x14ac:dyDescent="0.25">
      <c r="F665" s="20"/>
      <c r="G665" s="20"/>
    </row>
    <row r="666" spans="6:7" x14ac:dyDescent="0.25">
      <c r="F666" s="20"/>
      <c r="G666" s="20"/>
    </row>
    <row r="667" spans="6:7" x14ac:dyDescent="0.25">
      <c r="F667" s="20"/>
      <c r="G667" s="20"/>
    </row>
    <row r="668" spans="6:7" x14ac:dyDescent="0.25">
      <c r="F668" s="20"/>
      <c r="G668" s="20"/>
    </row>
    <row r="669" spans="6:7" x14ac:dyDescent="0.25">
      <c r="F669" s="20"/>
      <c r="G669" s="20"/>
    </row>
    <row r="670" spans="6:7" x14ac:dyDescent="0.25">
      <c r="F670" s="20"/>
      <c r="G670" s="20"/>
    </row>
    <row r="671" spans="6:7" x14ac:dyDescent="0.25">
      <c r="F671" s="20"/>
      <c r="G671" s="20"/>
    </row>
    <row r="672" spans="6:7" x14ac:dyDescent="0.25">
      <c r="F672" s="20"/>
      <c r="G672" s="20"/>
    </row>
    <row r="673" spans="6:7" x14ac:dyDescent="0.25">
      <c r="F673" s="20"/>
      <c r="G673" s="20"/>
    </row>
    <row r="674" spans="6:7" x14ac:dyDescent="0.25">
      <c r="F674" s="20"/>
      <c r="G674" s="20"/>
    </row>
    <row r="675" spans="6:7" x14ac:dyDescent="0.25">
      <c r="F675" s="20"/>
      <c r="G675" s="20"/>
    </row>
    <row r="676" spans="6:7" x14ac:dyDescent="0.25">
      <c r="F676" s="20"/>
      <c r="G676" s="20"/>
    </row>
    <row r="677" spans="6:7" x14ac:dyDescent="0.25">
      <c r="F677" s="20"/>
      <c r="G677" s="20"/>
    </row>
    <row r="678" spans="6:7" x14ac:dyDescent="0.25">
      <c r="F678" s="20"/>
      <c r="G678" s="20"/>
    </row>
    <row r="679" spans="6:7" x14ac:dyDescent="0.25">
      <c r="F679" s="20"/>
      <c r="G679" s="20"/>
    </row>
    <row r="680" spans="6:7" x14ac:dyDescent="0.25">
      <c r="F680" s="20"/>
      <c r="G680" s="20"/>
    </row>
    <row r="681" spans="6:7" x14ac:dyDescent="0.25">
      <c r="F681" s="20"/>
      <c r="G681" s="20"/>
    </row>
    <row r="682" spans="6:7" x14ac:dyDescent="0.25">
      <c r="F682" s="20"/>
      <c r="G682" s="20"/>
    </row>
    <row r="683" spans="6:7" x14ac:dyDescent="0.25">
      <c r="F683" s="20"/>
      <c r="G683" s="20"/>
    </row>
    <row r="684" spans="6:7" x14ac:dyDescent="0.25">
      <c r="F684" s="20"/>
      <c r="G684" s="20"/>
    </row>
    <row r="685" spans="6:7" x14ac:dyDescent="0.25">
      <c r="F685" s="20"/>
      <c r="G685" s="20"/>
    </row>
    <row r="686" spans="6:7" x14ac:dyDescent="0.25">
      <c r="F686" s="20"/>
      <c r="G686" s="20"/>
    </row>
    <row r="687" spans="6:7" x14ac:dyDescent="0.25">
      <c r="F687" s="20"/>
      <c r="G687" s="20"/>
    </row>
    <row r="688" spans="6:7" x14ac:dyDescent="0.25">
      <c r="F688" s="20"/>
      <c r="G688" s="20"/>
    </row>
    <row r="689" spans="6:7" x14ac:dyDescent="0.25">
      <c r="F689" s="20"/>
      <c r="G689" s="20"/>
    </row>
    <row r="690" spans="6:7" x14ac:dyDescent="0.25">
      <c r="F690" s="20"/>
      <c r="G690" s="20"/>
    </row>
    <row r="691" spans="6:7" x14ac:dyDescent="0.25">
      <c r="F691" s="20"/>
      <c r="G691" s="20"/>
    </row>
    <row r="692" spans="6:7" x14ac:dyDescent="0.25">
      <c r="F692" s="20"/>
      <c r="G692" s="20"/>
    </row>
    <row r="693" spans="6:7" x14ac:dyDescent="0.25">
      <c r="F693" s="20"/>
      <c r="G693" s="20"/>
    </row>
    <row r="694" spans="6:7" x14ac:dyDescent="0.25">
      <c r="F694" s="20"/>
      <c r="G694" s="20"/>
    </row>
    <row r="695" spans="6:7" x14ac:dyDescent="0.25">
      <c r="F695" s="20"/>
      <c r="G695" s="20"/>
    </row>
    <row r="696" spans="6:7" x14ac:dyDescent="0.25">
      <c r="F696" s="20"/>
      <c r="G696" s="20"/>
    </row>
    <row r="697" spans="6:7" x14ac:dyDescent="0.25">
      <c r="F697" s="20"/>
      <c r="G697" s="20"/>
    </row>
    <row r="698" spans="6:7" x14ac:dyDescent="0.25">
      <c r="F698" s="20"/>
      <c r="G698" s="20"/>
    </row>
    <row r="699" spans="6:7" x14ac:dyDescent="0.25">
      <c r="F699" s="20"/>
      <c r="G699" s="20"/>
    </row>
    <row r="700" spans="6:7" x14ac:dyDescent="0.25">
      <c r="F700" s="20"/>
      <c r="G700" s="20"/>
    </row>
    <row r="701" spans="6:7" x14ac:dyDescent="0.25">
      <c r="F701" s="20"/>
      <c r="G701" s="20"/>
    </row>
    <row r="702" spans="6:7" x14ac:dyDescent="0.25">
      <c r="F702" s="20"/>
      <c r="G702" s="20"/>
    </row>
    <row r="703" spans="6:7" x14ac:dyDescent="0.25">
      <c r="F703" s="20"/>
      <c r="G703" s="20"/>
    </row>
    <row r="704" spans="6:7" x14ac:dyDescent="0.25">
      <c r="F704" s="20"/>
      <c r="G704" s="20"/>
    </row>
    <row r="705" spans="6:7" x14ac:dyDescent="0.25">
      <c r="F705" s="20"/>
      <c r="G705" s="20"/>
    </row>
    <row r="706" spans="6:7" x14ac:dyDescent="0.25">
      <c r="F706" s="20"/>
      <c r="G706" s="20"/>
    </row>
    <row r="707" spans="6:7" x14ac:dyDescent="0.25">
      <c r="F707" s="20"/>
      <c r="G707" s="20"/>
    </row>
    <row r="708" spans="6:7" x14ac:dyDescent="0.25">
      <c r="F708" s="20"/>
      <c r="G708" s="20"/>
    </row>
    <row r="709" spans="6:7" x14ac:dyDescent="0.25">
      <c r="F709" s="20"/>
      <c r="G709" s="20"/>
    </row>
    <row r="710" spans="6:7" x14ac:dyDescent="0.25">
      <c r="F710" s="20"/>
      <c r="G710" s="20"/>
    </row>
    <row r="711" spans="6:7" x14ac:dyDescent="0.25">
      <c r="F711" s="20"/>
      <c r="G711" s="20"/>
    </row>
    <row r="712" spans="6:7" x14ac:dyDescent="0.25">
      <c r="F712" s="20"/>
      <c r="G712" s="20"/>
    </row>
    <row r="713" spans="6:7" x14ac:dyDescent="0.25">
      <c r="F713" s="20"/>
      <c r="G713" s="20"/>
    </row>
    <row r="714" spans="6:7" x14ac:dyDescent="0.25">
      <c r="F714" s="20"/>
      <c r="G714" s="20"/>
    </row>
    <row r="715" spans="6:7" x14ac:dyDescent="0.25">
      <c r="F715" s="20"/>
      <c r="G715" s="20"/>
    </row>
    <row r="716" spans="6:7" x14ac:dyDescent="0.25">
      <c r="F716" s="20"/>
      <c r="G716" s="20"/>
    </row>
    <row r="717" spans="6:7" x14ac:dyDescent="0.25">
      <c r="F717" s="20"/>
      <c r="G717" s="20"/>
    </row>
    <row r="718" spans="6:7" x14ac:dyDescent="0.25">
      <c r="F718" s="20"/>
      <c r="G718" s="20"/>
    </row>
    <row r="719" spans="6:7" x14ac:dyDescent="0.25">
      <c r="F719" s="20"/>
      <c r="G719" s="20"/>
    </row>
    <row r="720" spans="6:7" x14ac:dyDescent="0.25">
      <c r="F720" s="20"/>
      <c r="G720" s="20"/>
    </row>
    <row r="721" spans="6:7" x14ac:dyDescent="0.25">
      <c r="F721" s="20"/>
      <c r="G721" s="20"/>
    </row>
    <row r="722" spans="6:7" x14ac:dyDescent="0.25">
      <c r="F722" s="20"/>
      <c r="G722" s="20"/>
    </row>
    <row r="723" spans="6:7" x14ac:dyDescent="0.25">
      <c r="F723" s="20"/>
      <c r="G723" s="20"/>
    </row>
    <row r="724" spans="6:7" x14ac:dyDescent="0.25">
      <c r="F724" s="20"/>
      <c r="G724" s="20"/>
    </row>
    <row r="725" spans="6:7" x14ac:dyDescent="0.25">
      <c r="F725" s="20"/>
      <c r="G725" s="20"/>
    </row>
    <row r="726" spans="6:7" x14ac:dyDescent="0.25">
      <c r="F726" s="20"/>
      <c r="G726" s="20"/>
    </row>
    <row r="727" spans="6:7" x14ac:dyDescent="0.25">
      <c r="F727" s="20"/>
      <c r="G727" s="20"/>
    </row>
    <row r="728" spans="6:7" x14ac:dyDescent="0.25">
      <c r="F728" s="20"/>
      <c r="G728" s="20"/>
    </row>
    <row r="729" spans="6:7" x14ac:dyDescent="0.25">
      <c r="F729" s="20"/>
      <c r="G729" s="20"/>
    </row>
    <row r="730" spans="6:7" x14ac:dyDescent="0.25">
      <c r="F730" s="20"/>
      <c r="G730" s="20"/>
    </row>
    <row r="731" spans="6:7" x14ac:dyDescent="0.25">
      <c r="F731" s="20"/>
      <c r="G731" s="20"/>
    </row>
    <row r="732" spans="6:7" x14ac:dyDescent="0.25">
      <c r="F732" s="20"/>
      <c r="G732" s="20"/>
    </row>
    <row r="733" spans="6:7" x14ac:dyDescent="0.25">
      <c r="F733" s="20"/>
      <c r="G733" s="20"/>
    </row>
    <row r="734" spans="6:7" x14ac:dyDescent="0.25">
      <c r="F734" s="20"/>
      <c r="G734" s="20"/>
    </row>
    <row r="735" spans="6:7" x14ac:dyDescent="0.25">
      <c r="F735" s="20"/>
      <c r="G735" s="20"/>
    </row>
    <row r="736" spans="6:7" x14ac:dyDescent="0.25">
      <c r="F736" s="20"/>
      <c r="G736" s="20"/>
    </row>
    <row r="737" spans="6:7" x14ac:dyDescent="0.25">
      <c r="F737" s="20"/>
      <c r="G737" s="20"/>
    </row>
    <row r="738" spans="6:7" x14ac:dyDescent="0.25">
      <c r="F738" s="20"/>
      <c r="G738" s="20"/>
    </row>
    <row r="739" spans="6:7" x14ac:dyDescent="0.25">
      <c r="F739" s="20"/>
      <c r="G739" s="20"/>
    </row>
    <row r="740" spans="6:7" x14ac:dyDescent="0.25">
      <c r="F740" s="20"/>
      <c r="G740" s="20"/>
    </row>
    <row r="741" spans="6:7" x14ac:dyDescent="0.25">
      <c r="F741" s="20"/>
      <c r="G741" s="20"/>
    </row>
    <row r="742" spans="6:7" x14ac:dyDescent="0.25">
      <c r="F742" s="20"/>
      <c r="G742" s="20"/>
    </row>
    <row r="743" spans="6:7" x14ac:dyDescent="0.25">
      <c r="F743" s="20"/>
      <c r="G743" s="20"/>
    </row>
    <row r="744" spans="6:7" x14ac:dyDescent="0.25">
      <c r="F744" s="20"/>
      <c r="G744" s="20"/>
    </row>
    <row r="745" spans="6:7" x14ac:dyDescent="0.25">
      <c r="F745" s="20"/>
      <c r="G745" s="20"/>
    </row>
    <row r="746" spans="6:7" x14ac:dyDescent="0.25">
      <c r="F746" s="20"/>
      <c r="G746" s="20"/>
    </row>
    <row r="747" spans="6:7" x14ac:dyDescent="0.25">
      <c r="F747" s="20"/>
      <c r="G747" s="20"/>
    </row>
    <row r="748" spans="6:7" x14ac:dyDescent="0.25">
      <c r="F748" s="20"/>
      <c r="G748" s="20"/>
    </row>
    <row r="749" spans="6:7" x14ac:dyDescent="0.25">
      <c r="F749" s="20"/>
      <c r="G749" s="20"/>
    </row>
    <row r="750" spans="6:7" x14ac:dyDescent="0.25">
      <c r="F750" s="20"/>
      <c r="G750" s="20"/>
    </row>
    <row r="751" spans="6:7" x14ac:dyDescent="0.25">
      <c r="F751" s="20"/>
      <c r="G751" s="20"/>
    </row>
    <row r="752" spans="6:7" x14ac:dyDescent="0.25">
      <c r="F752" s="20"/>
      <c r="G752" s="20"/>
    </row>
    <row r="753" spans="6:7" x14ac:dyDescent="0.25">
      <c r="F753" s="20"/>
      <c r="G753" s="20"/>
    </row>
    <row r="754" spans="6:7" x14ac:dyDescent="0.25">
      <c r="F754" s="20"/>
      <c r="G754" s="20"/>
    </row>
    <row r="755" spans="6:7" x14ac:dyDescent="0.25">
      <c r="F755" s="20"/>
      <c r="G755" s="20"/>
    </row>
    <row r="756" spans="6:7" x14ac:dyDescent="0.25">
      <c r="F756" s="20"/>
      <c r="G756" s="20"/>
    </row>
    <row r="757" spans="6:7" x14ac:dyDescent="0.25">
      <c r="F757" s="20"/>
      <c r="G757" s="20"/>
    </row>
    <row r="758" spans="6:7" x14ac:dyDescent="0.25">
      <c r="F758" s="20"/>
      <c r="G758" s="20"/>
    </row>
    <row r="759" spans="6:7" x14ac:dyDescent="0.25">
      <c r="F759" s="20"/>
      <c r="G759" s="20"/>
    </row>
    <row r="760" spans="6:7" x14ac:dyDescent="0.25">
      <c r="F760" s="20"/>
      <c r="G760" s="20"/>
    </row>
    <row r="761" spans="6:7" x14ac:dyDescent="0.25">
      <c r="F761" s="20"/>
      <c r="G761" s="20"/>
    </row>
    <row r="762" spans="6:7" x14ac:dyDescent="0.25">
      <c r="F762" s="20"/>
      <c r="G762" s="20"/>
    </row>
    <row r="763" spans="6:7" x14ac:dyDescent="0.25">
      <c r="F763" s="20"/>
      <c r="G763" s="20"/>
    </row>
    <row r="764" spans="6:7" x14ac:dyDescent="0.25">
      <c r="F764" s="20"/>
      <c r="G764" s="20"/>
    </row>
    <row r="765" spans="6:7" x14ac:dyDescent="0.25">
      <c r="F765" s="20"/>
      <c r="G765" s="20"/>
    </row>
    <row r="766" spans="6:7" x14ac:dyDescent="0.25">
      <c r="F766" s="20"/>
      <c r="G766" s="20"/>
    </row>
    <row r="767" spans="6:7" x14ac:dyDescent="0.25">
      <c r="F767" s="20"/>
      <c r="G767" s="20"/>
    </row>
    <row r="768" spans="6:7" x14ac:dyDescent="0.25">
      <c r="F768" s="20"/>
      <c r="G768" s="20"/>
    </row>
    <row r="769" spans="6:7" x14ac:dyDescent="0.25">
      <c r="F769" s="20"/>
      <c r="G769" s="20"/>
    </row>
    <row r="770" spans="6:7" x14ac:dyDescent="0.25">
      <c r="F770" s="20"/>
      <c r="G770" s="20"/>
    </row>
    <row r="771" spans="6:7" x14ac:dyDescent="0.25">
      <c r="F771" s="20"/>
      <c r="G771" s="20"/>
    </row>
    <row r="772" spans="6:7" x14ac:dyDescent="0.25">
      <c r="F772" s="20"/>
      <c r="G772" s="20"/>
    </row>
    <row r="773" spans="6:7" x14ac:dyDescent="0.25">
      <c r="F773" s="20"/>
      <c r="G773" s="20"/>
    </row>
    <row r="774" spans="6:7" x14ac:dyDescent="0.25">
      <c r="F774" s="20"/>
      <c r="G774" s="20"/>
    </row>
    <row r="775" spans="6:7" x14ac:dyDescent="0.25">
      <c r="F775" s="20"/>
      <c r="G775" s="20"/>
    </row>
    <row r="776" spans="6:7" x14ac:dyDescent="0.25">
      <c r="F776" s="20"/>
      <c r="G776" s="20"/>
    </row>
    <row r="777" spans="6:7" x14ac:dyDescent="0.25">
      <c r="F777" s="20"/>
      <c r="G777" s="20"/>
    </row>
    <row r="778" spans="6:7" x14ac:dyDescent="0.25">
      <c r="F778" s="20"/>
      <c r="G778" s="20"/>
    </row>
    <row r="779" spans="6:7" x14ac:dyDescent="0.25">
      <c r="F779" s="20"/>
      <c r="G779" s="20"/>
    </row>
    <row r="780" spans="6:7" x14ac:dyDescent="0.25">
      <c r="F780" s="20"/>
      <c r="G780" s="20"/>
    </row>
    <row r="781" spans="6:7" x14ac:dyDescent="0.25">
      <c r="F781" s="20"/>
      <c r="G781" s="20"/>
    </row>
    <row r="782" spans="6:7" x14ac:dyDescent="0.25">
      <c r="F782" s="20"/>
      <c r="G782" s="20"/>
    </row>
    <row r="783" spans="6:7" x14ac:dyDescent="0.25">
      <c r="F783" s="20"/>
      <c r="G783" s="20"/>
    </row>
    <row r="784" spans="6:7" x14ac:dyDescent="0.25">
      <c r="F784" s="20"/>
      <c r="G784" s="20"/>
    </row>
    <row r="785" spans="6:7" x14ac:dyDescent="0.25">
      <c r="F785" s="20"/>
      <c r="G785" s="20"/>
    </row>
    <row r="786" spans="6:7" x14ac:dyDescent="0.25">
      <c r="F786" s="20"/>
      <c r="G786" s="20"/>
    </row>
    <row r="787" spans="6:7" x14ac:dyDescent="0.25">
      <c r="F787" s="20"/>
      <c r="G787" s="20"/>
    </row>
    <row r="788" spans="6:7" x14ac:dyDescent="0.25">
      <c r="F788" s="20"/>
      <c r="G788" s="20"/>
    </row>
    <row r="789" spans="6:7" x14ac:dyDescent="0.25">
      <c r="F789" s="20"/>
      <c r="G789" s="20"/>
    </row>
    <row r="790" spans="6:7" x14ac:dyDescent="0.25">
      <c r="F790" s="20"/>
      <c r="G790" s="20"/>
    </row>
    <row r="791" spans="6:7" x14ac:dyDescent="0.25">
      <c r="F791" s="20"/>
      <c r="G791" s="20"/>
    </row>
    <row r="792" spans="6:7" x14ac:dyDescent="0.25">
      <c r="F792" s="20"/>
      <c r="G792" s="20"/>
    </row>
    <row r="793" spans="6:7" x14ac:dyDescent="0.25">
      <c r="F793" s="20"/>
      <c r="G793" s="20"/>
    </row>
    <row r="794" spans="6:7" x14ac:dyDescent="0.25">
      <c r="F794" s="20"/>
      <c r="G794" s="20"/>
    </row>
    <row r="795" spans="6:7" x14ac:dyDescent="0.25">
      <c r="F795" s="20"/>
      <c r="G795" s="20"/>
    </row>
    <row r="796" spans="6:7" x14ac:dyDescent="0.25">
      <c r="F796" s="20"/>
      <c r="G796" s="20"/>
    </row>
    <row r="797" spans="6:7" x14ac:dyDescent="0.25">
      <c r="F797" s="20"/>
      <c r="G797" s="20"/>
    </row>
    <row r="798" spans="6:7" x14ac:dyDescent="0.25">
      <c r="F798" s="20"/>
      <c r="G798" s="20"/>
    </row>
    <row r="799" spans="6:7" x14ac:dyDescent="0.25">
      <c r="F799" s="20"/>
      <c r="G799" s="20"/>
    </row>
    <row r="800" spans="6:7" x14ac:dyDescent="0.25">
      <c r="F800" s="20"/>
      <c r="G800" s="20"/>
    </row>
    <row r="801" spans="6:7" x14ac:dyDescent="0.25">
      <c r="F801" s="20"/>
      <c r="G801" s="20"/>
    </row>
    <row r="802" spans="6:7" x14ac:dyDescent="0.25">
      <c r="F802" s="20"/>
      <c r="G802" s="20"/>
    </row>
    <row r="803" spans="6:7" x14ac:dyDescent="0.25">
      <c r="F803" s="20"/>
      <c r="G803" s="20"/>
    </row>
    <row r="804" spans="6:7" x14ac:dyDescent="0.25">
      <c r="F804" s="20"/>
      <c r="G804" s="20"/>
    </row>
    <row r="805" spans="6:7" x14ac:dyDescent="0.25">
      <c r="F805" s="20"/>
      <c r="G805" s="20"/>
    </row>
    <row r="806" spans="6:7" x14ac:dyDescent="0.25">
      <c r="F806" s="20"/>
      <c r="G806" s="20"/>
    </row>
    <row r="807" spans="6:7" x14ac:dyDescent="0.25">
      <c r="F807" s="20"/>
      <c r="G807" s="20"/>
    </row>
    <row r="808" spans="6:7" x14ac:dyDescent="0.25">
      <c r="F808" s="20"/>
      <c r="G808" s="20"/>
    </row>
    <row r="809" spans="6:7" x14ac:dyDescent="0.25">
      <c r="F809" s="20"/>
      <c r="G809" s="20"/>
    </row>
    <row r="810" spans="6:7" x14ac:dyDescent="0.25">
      <c r="F810" s="20"/>
      <c r="G810" s="20"/>
    </row>
    <row r="811" spans="6:7" x14ac:dyDescent="0.25">
      <c r="F811" s="20"/>
      <c r="G811" s="20"/>
    </row>
    <row r="812" spans="6:7" x14ac:dyDescent="0.25">
      <c r="F812" s="20"/>
      <c r="G812" s="20"/>
    </row>
    <row r="813" spans="6:7" x14ac:dyDescent="0.25">
      <c r="F813" s="20"/>
      <c r="G813" s="20"/>
    </row>
    <row r="814" spans="6:7" x14ac:dyDescent="0.25">
      <c r="F814" s="20"/>
      <c r="G814" s="20"/>
    </row>
    <row r="815" spans="6:7" x14ac:dyDescent="0.25">
      <c r="F815" s="20"/>
      <c r="G815" s="20"/>
    </row>
    <row r="816" spans="6:7" x14ac:dyDescent="0.25">
      <c r="F816" s="20"/>
      <c r="G816" s="20"/>
    </row>
    <row r="817" spans="6:7" x14ac:dyDescent="0.25">
      <c r="F817" s="20"/>
      <c r="G817" s="20"/>
    </row>
    <row r="818" spans="6:7" x14ac:dyDescent="0.25">
      <c r="F818" s="20"/>
      <c r="G818" s="20"/>
    </row>
    <row r="819" spans="6:7" x14ac:dyDescent="0.25">
      <c r="F819" s="20"/>
      <c r="G819" s="20"/>
    </row>
    <row r="820" spans="6:7" x14ac:dyDescent="0.25">
      <c r="F820" s="20"/>
      <c r="G820" s="20"/>
    </row>
    <row r="821" spans="6:7" x14ac:dyDescent="0.25">
      <c r="F821" s="20"/>
      <c r="G821" s="20"/>
    </row>
    <row r="822" spans="6:7" x14ac:dyDescent="0.25">
      <c r="F822" s="20"/>
      <c r="G822" s="20"/>
    </row>
    <row r="823" spans="6:7" x14ac:dyDescent="0.25">
      <c r="F823" s="20"/>
      <c r="G823" s="20"/>
    </row>
    <row r="824" spans="6:7" x14ac:dyDescent="0.25">
      <c r="F824" s="20"/>
      <c r="G824" s="20"/>
    </row>
    <row r="825" spans="6:7" x14ac:dyDescent="0.25">
      <c r="F825" s="20"/>
      <c r="G825" s="20"/>
    </row>
    <row r="826" spans="6:7" x14ac:dyDescent="0.25">
      <c r="F826" s="20"/>
      <c r="G826" s="20"/>
    </row>
    <row r="827" spans="6:7" x14ac:dyDescent="0.25">
      <c r="F827" s="20"/>
      <c r="G827" s="20"/>
    </row>
    <row r="828" spans="6:7" x14ac:dyDescent="0.25">
      <c r="F828" s="20"/>
      <c r="G828" s="20"/>
    </row>
    <row r="829" spans="6:7" x14ac:dyDescent="0.25">
      <c r="F829" s="20"/>
      <c r="G829" s="20"/>
    </row>
    <row r="830" spans="6:7" x14ac:dyDescent="0.25">
      <c r="F830" s="20"/>
      <c r="G830" s="20"/>
    </row>
    <row r="831" spans="6:7" x14ac:dyDescent="0.25">
      <c r="F831" s="20"/>
      <c r="G831" s="20"/>
    </row>
    <row r="832" spans="6:7" x14ac:dyDescent="0.25">
      <c r="F832" s="20"/>
      <c r="G832" s="20"/>
    </row>
    <row r="833" spans="6:7" x14ac:dyDescent="0.25">
      <c r="F833" s="20"/>
      <c r="G833" s="20"/>
    </row>
    <row r="834" spans="6:7" x14ac:dyDescent="0.25">
      <c r="F834" s="20"/>
      <c r="G834" s="20"/>
    </row>
    <row r="835" spans="6:7" x14ac:dyDescent="0.25">
      <c r="F835" s="20"/>
      <c r="G835" s="20"/>
    </row>
    <row r="836" spans="6:7" x14ac:dyDescent="0.25">
      <c r="F836" s="20"/>
      <c r="G836" s="20"/>
    </row>
    <row r="837" spans="6:7" x14ac:dyDescent="0.25">
      <c r="F837" s="20"/>
      <c r="G837" s="20"/>
    </row>
    <row r="838" spans="6:7" x14ac:dyDescent="0.25">
      <c r="F838" s="20"/>
      <c r="G838" s="20"/>
    </row>
    <row r="839" spans="6:7" x14ac:dyDescent="0.25">
      <c r="F839" s="20"/>
      <c r="G839" s="20"/>
    </row>
    <row r="840" spans="6:7" x14ac:dyDescent="0.25">
      <c r="F840" s="20"/>
      <c r="G840" s="20"/>
    </row>
    <row r="841" spans="6:7" x14ac:dyDescent="0.25">
      <c r="F841" s="20"/>
      <c r="G841" s="20"/>
    </row>
    <row r="842" spans="6:7" x14ac:dyDescent="0.25">
      <c r="F842" s="20"/>
      <c r="G842" s="20"/>
    </row>
    <row r="843" spans="6:7" x14ac:dyDescent="0.25">
      <c r="F843" s="20"/>
      <c r="G843" s="20"/>
    </row>
    <row r="844" spans="6:7" x14ac:dyDescent="0.25">
      <c r="F844" s="20"/>
      <c r="G844" s="20"/>
    </row>
    <row r="845" spans="6:7" x14ac:dyDescent="0.25">
      <c r="F845" s="20"/>
      <c r="G845" s="20"/>
    </row>
    <row r="846" spans="6:7" x14ac:dyDescent="0.25">
      <c r="F846" s="20"/>
      <c r="G846" s="20"/>
    </row>
    <row r="847" spans="6:7" x14ac:dyDescent="0.25">
      <c r="F847" s="20"/>
      <c r="G847" s="20"/>
    </row>
    <row r="848" spans="6:7" x14ac:dyDescent="0.25">
      <c r="F848" s="20"/>
      <c r="G848" s="20"/>
    </row>
    <row r="849" spans="6:7" x14ac:dyDescent="0.25">
      <c r="F849" s="20"/>
      <c r="G849" s="20"/>
    </row>
    <row r="850" spans="6:7" x14ac:dyDescent="0.25">
      <c r="F850" s="20"/>
      <c r="G850" s="20"/>
    </row>
    <row r="851" spans="6:7" x14ac:dyDescent="0.25">
      <c r="F851" s="20"/>
      <c r="G851" s="20"/>
    </row>
    <row r="852" spans="6:7" x14ac:dyDescent="0.25">
      <c r="F852" s="20"/>
      <c r="G852" s="20"/>
    </row>
    <row r="853" spans="6:7" x14ac:dyDescent="0.25">
      <c r="F853" s="20"/>
      <c r="G853" s="20"/>
    </row>
    <row r="854" spans="6:7" x14ac:dyDescent="0.25">
      <c r="F854" s="20"/>
      <c r="G854" s="20"/>
    </row>
    <row r="855" spans="6:7" x14ac:dyDescent="0.25">
      <c r="F855" s="20"/>
      <c r="G855" s="20"/>
    </row>
    <row r="856" spans="6:7" x14ac:dyDescent="0.25">
      <c r="F856" s="20"/>
      <c r="G856" s="20"/>
    </row>
    <row r="857" spans="6:7" x14ac:dyDescent="0.25">
      <c r="F857" s="20"/>
      <c r="G857" s="20"/>
    </row>
    <row r="858" spans="6:7" x14ac:dyDescent="0.25">
      <c r="F858" s="20"/>
      <c r="G858" s="20"/>
    </row>
    <row r="859" spans="6:7" x14ac:dyDescent="0.25">
      <c r="F859" s="20"/>
      <c r="G859" s="20"/>
    </row>
    <row r="860" spans="6:7" x14ac:dyDescent="0.25">
      <c r="F860" s="20"/>
      <c r="G860" s="20"/>
    </row>
    <row r="861" spans="6:7" x14ac:dyDescent="0.25">
      <c r="F861" s="20"/>
      <c r="G861" s="20"/>
    </row>
    <row r="862" spans="6:7" x14ac:dyDescent="0.25">
      <c r="F862" s="20"/>
      <c r="G862" s="20"/>
    </row>
    <row r="863" spans="6:7" x14ac:dyDescent="0.25">
      <c r="F863" s="20"/>
      <c r="G863" s="20"/>
    </row>
    <row r="864" spans="6:7" x14ac:dyDescent="0.25">
      <c r="F864" s="20"/>
      <c r="G864" s="20"/>
    </row>
    <row r="865" spans="6:7" x14ac:dyDescent="0.25">
      <c r="F865" s="20"/>
      <c r="G865" s="20"/>
    </row>
    <row r="866" spans="6:7" x14ac:dyDescent="0.25">
      <c r="F866" s="20"/>
      <c r="G866" s="20"/>
    </row>
    <row r="867" spans="6:7" x14ac:dyDescent="0.25">
      <c r="F867" s="20"/>
      <c r="G867" s="20"/>
    </row>
    <row r="868" spans="6:7" x14ac:dyDescent="0.25">
      <c r="F868" s="20"/>
      <c r="G868" s="20"/>
    </row>
    <row r="869" spans="6:7" x14ac:dyDescent="0.25">
      <c r="F869" s="20"/>
      <c r="G869" s="20"/>
    </row>
    <row r="870" spans="6:7" x14ac:dyDescent="0.25">
      <c r="F870" s="20"/>
      <c r="G870" s="20"/>
    </row>
    <row r="871" spans="6:7" x14ac:dyDescent="0.25">
      <c r="F871" s="20"/>
      <c r="G871" s="20"/>
    </row>
    <row r="872" spans="6:7" x14ac:dyDescent="0.25">
      <c r="F872" s="20"/>
      <c r="G872" s="20"/>
    </row>
    <row r="873" spans="6:7" x14ac:dyDescent="0.25">
      <c r="F873" s="20"/>
      <c r="G873" s="20"/>
    </row>
    <row r="874" spans="6:7" x14ac:dyDescent="0.25">
      <c r="F874" s="20"/>
      <c r="G874" s="20"/>
    </row>
    <row r="875" spans="6:7" x14ac:dyDescent="0.25">
      <c r="F875" s="20"/>
      <c r="G875" s="20"/>
    </row>
    <row r="876" spans="6:7" x14ac:dyDescent="0.25">
      <c r="F876" s="20"/>
      <c r="G876" s="20"/>
    </row>
    <row r="877" spans="6:7" x14ac:dyDescent="0.25">
      <c r="F877" s="20"/>
      <c r="G877" s="20"/>
    </row>
    <row r="878" spans="6:7" x14ac:dyDescent="0.25">
      <c r="F878" s="20"/>
      <c r="G878" s="20"/>
    </row>
    <row r="879" spans="6:7" x14ac:dyDescent="0.25">
      <c r="F879" s="20"/>
      <c r="G879" s="20"/>
    </row>
    <row r="880" spans="6:7" x14ac:dyDescent="0.25">
      <c r="F880" s="20"/>
      <c r="G880" s="20"/>
    </row>
    <row r="881" spans="6:7" x14ac:dyDescent="0.25">
      <c r="F881" s="20"/>
      <c r="G881" s="20"/>
    </row>
    <row r="882" spans="6:7" x14ac:dyDescent="0.25">
      <c r="F882" s="20"/>
      <c r="G882" s="20"/>
    </row>
    <row r="883" spans="6:7" x14ac:dyDescent="0.25">
      <c r="F883" s="20"/>
      <c r="G883" s="20"/>
    </row>
    <row r="884" spans="6:7" x14ac:dyDescent="0.25">
      <c r="F884" s="20"/>
      <c r="G884" s="20"/>
    </row>
    <row r="885" spans="6:7" x14ac:dyDescent="0.25">
      <c r="F885" s="20"/>
      <c r="G885" s="20"/>
    </row>
    <row r="886" spans="6:7" x14ac:dyDescent="0.25">
      <c r="F886" s="20"/>
      <c r="G886" s="20"/>
    </row>
    <row r="887" spans="6:7" x14ac:dyDescent="0.25">
      <c r="F887" s="20"/>
      <c r="G887" s="20"/>
    </row>
    <row r="888" spans="6:7" x14ac:dyDescent="0.25">
      <c r="F888" s="20"/>
      <c r="G888" s="20"/>
    </row>
    <row r="889" spans="6:7" x14ac:dyDescent="0.25">
      <c r="F889" s="20"/>
      <c r="G889" s="20"/>
    </row>
    <row r="890" spans="6:7" x14ac:dyDescent="0.25">
      <c r="F890" s="20"/>
      <c r="G890" s="20"/>
    </row>
    <row r="891" spans="6:7" x14ac:dyDescent="0.25">
      <c r="F891" s="20"/>
      <c r="G891" s="20"/>
    </row>
    <row r="892" spans="6:7" x14ac:dyDescent="0.25">
      <c r="F892" s="20"/>
      <c r="G892" s="20"/>
    </row>
    <row r="893" spans="6:7" x14ac:dyDescent="0.25">
      <c r="F893" s="20"/>
      <c r="G893" s="20"/>
    </row>
    <row r="894" spans="6:7" x14ac:dyDescent="0.25">
      <c r="F894" s="20"/>
      <c r="G894" s="20"/>
    </row>
    <row r="895" spans="6:7" x14ac:dyDescent="0.25">
      <c r="F895" s="20"/>
      <c r="G895" s="20"/>
    </row>
    <row r="896" spans="6:7" x14ac:dyDescent="0.25">
      <c r="F896" s="20"/>
      <c r="G896" s="20"/>
    </row>
    <row r="897" spans="6:7" x14ac:dyDescent="0.25">
      <c r="F897" s="20"/>
      <c r="G897" s="20"/>
    </row>
    <row r="898" spans="6:7" x14ac:dyDescent="0.25">
      <c r="F898" s="20"/>
      <c r="G898" s="20"/>
    </row>
    <row r="899" spans="6:7" x14ac:dyDescent="0.25">
      <c r="F899" s="20"/>
      <c r="G899" s="20"/>
    </row>
    <row r="900" spans="6:7" x14ac:dyDescent="0.25">
      <c r="F900" s="20"/>
      <c r="G900" s="20"/>
    </row>
    <row r="901" spans="6:7" x14ac:dyDescent="0.25">
      <c r="F901" s="20"/>
      <c r="G901" s="20"/>
    </row>
    <row r="902" spans="6:7" x14ac:dyDescent="0.25">
      <c r="F902" s="20"/>
      <c r="G902" s="20"/>
    </row>
    <row r="903" spans="6:7" x14ac:dyDescent="0.25">
      <c r="F903" s="20"/>
      <c r="G903" s="20"/>
    </row>
    <row r="904" spans="6:7" x14ac:dyDescent="0.25">
      <c r="F904" s="20"/>
      <c r="G904" s="20"/>
    </row>
    <row r="905" spans="6:7" x14ac:dyDescent="0.25">
      <c r="F905" s="20"/>
      <c r="G905" s="20"/>
    </row>
    <row r="906" spans="6:7" x14ac:dyDescent="0.25">
      <c r="F906" s="20"/>
      <c r="G906" s="20"/>
    </row>
    <row r="907" spans="6:7" x14ac:dyDescent="0.25">
      <c r="F907" s="20"/>
      <c r="G907" s="20"/>
    </row>
    <row r="908" spans="6:7" x14ac:dyDescent="0.25">
      <c r="F908" s="20"/>
      <c r="G908" s="20"/>
    </row>
    <row r="909" spans="6:7" x14ac:dyDescent="0.25">
      <c r="F909" s="20"/>
      <c r="G909" s="20"/>
    </row>
    <row r="910" spans="6:7" x14ac:dyDescent="0.25">
      <c r="F910" s="20"/>
      <c r="G910" s="20"/>
    </row>
    <row r="911" spans="6:7" x14ac:dyDescent="0.25">
      <c r="F911" s="20"/>
      <c r="G911" s="20"/>
    </row>
    <row r="912" spans="6:7" x14ac:dyDescent="0.25">
      <c r="F912" s="20"/>
      <c r="G912" s="20"/>
    </row>
    <row r="913" spans="6:7" x14ac:dyDescent="0.25">
      <c r="F913" s="20"/>
      <c r="G913" s="20"/>
    </row>
    <row r="914" spans="6:7" x14ac:dyDescent="0.25">
      <c r="F914" s="20"/>
      <c r="G914" s="20"/>
    </row>
    <row r="915" spans="6:7" x14ac:dyDescent="0.25">
      <c r="F915" s="20"/>
      <c r="G915" s="20"/>
    </row>
    <row r="916" spans="6:7" x14ac:dyDescent="0.25">
      <c r="F916" s="20"/>
      <c r="G916" s="20"/>
    </row>
    <row r="917" spans="6:7" x14ac:dyDescent="0.25">
      <c r="F917" s="20"/>
      <c r="G917" s="20"/>
    </row>
    <row r="918" spans="6:7" x14ac:dyDescent="0.25">
      <c r="F918" s="20"/>
      <c r="G918" s="20"/>
    </row>
    <row r="919" spans="6:7" x14ac:dyDescent="0.25">
      <c r="F919" s="20"/>
      <c r="G919" s="20"/>
    </row>
    <row r="920" spans="6:7" x14ac:dyDescent="0.25">
      <c r="F920" s="20"/>
      <c r="G920" s="20"/>
    </row>
    <row r="921" spans="6:7" x14ac:dyDescent="0.25">
      <c r="F921" s="20"/>
      <c r="G921" s="20"/>
    </row>
    <row r="922" spans="6:7" x14ac:dyDescent="0.25">
      <c r="F922" s="20"/>
      <c r="G922" s="20"/>
    </row>
    <row r="923" spans="6:7" x14ac:dyDescent="0.25">
      <c r="F923" s="20"/>
      <c r="G923" s="20"/>
    </row>
    <row r="924" spans="6:7" x14ac:dyDescent="0.25">
      <c r="F924" s="20"/>
      <c r="G924" s="20"/>
    </row>
    <row r="925" spans="6:7" x14ac:dyDescent="0.25">
      <c r="F925" s="20"/>
      <c r="G925" s="20"/>
    </row>
    <row r="926" spans="6:7" x14ac:dyDescent="0.25">
      <c r="F926" s="20"/>
      <c r="G926" s="20"/>
    </row>
    <row r="927" spans="6:7" x14ac:dyDescent="0.25">
      <c r="F927" s="20"/>
      <c r="G927" s="20"/>
    </row>
    <row r="928" spans="6:7" x14ac:dyDescent="0.25">
      <c r="F928" s="20"/>
      <c r="G928" s="20"/>
    </row>
    <row r="929" spans="6:7" x14ac:dyDescent="0.25">
      <c r="F929" s="20"/>
      <c r="G929" s="20"/>
    </row>
    <row r="930" spans="6:7" x14ac:dyDescent="0.25">
      <c r="F930" s="20"/>
      <c r="G930" s="20"/>
    </row>
    <row r="931" spans="6:7" x14ac:dyDescent="0.25">
      <c r="F931" s="20"/>
      <c r="G931" s="20"/>
    </row>
    <row r="932" spans="6:7" x14ac:dyDescent="0.25">
      <c r="F932" s="20"/>
      <c r="G932" s="20"/>
    </row>
    <row r="933" spans="6:7" x14ac:dyDescent="0.25">
      <c r="F933" s="20"/>
      <c r="G933" s="20"/>
    </row>
    <row r="934" spans="6:7" x14ac:dyDescent="0.25">
      <c r="F934" s="20"/>
      <c r="G934" s="20"/>
    </row>
    <row r="935" spans="6:7" x14ac:dyDescent="0.25">
      <c r="F935" s="20"/>
      <c r="G935" s="20"/>
    </row>
    <row r="936" spans="6:7" x14ac:dyDescent="0.25">
      <c r="F936" s="20"/>
      <c r="G936" s="20"/>
    </row>
    <row r="937" spans="6:7" x14ac:dyDescent="0.25">
      <c r="F937" s="20"/>
      <c r="G937" s="20"/>
    </row>
    <row r="938" spans="6:7" x14ac:dyDescent="0.25">
      <c r="F938" s="20"/>
      <c r="G938" s="20"/>
    </row>
    <row r="939" spans="6:7" x14ac:dyDescent="0.25">
      <c r="F939" s="20"/>
      <c r="G939" s="20"/>
    </row>
    <row r="940" spans="6:7" x14ac:dyDescent="0.25">
      <c r="F940" s="20"/>
      <c r="G940" s="20"/>
    </row>
    <row r="941" spans="6:7" x14ac:dyDescent="0.25">
      <c r="F941" s="20"/>
      <c r="G941" s="20"/>
    </row>
    <row r="942" spans="6:7" x14ac:dyDescent="0.25">
      <c r="F942" s="20"/>
      <c r="G942" s="20"/>
    </row>
    <row r="943" spans="6:7" x14ac:dyDescent="0.25">
      <c r="F943" s="20"/>
      <c r="G943" s="20"/>
    </row>
    <row r="944" spans="6:7" x14ac:dyDescent="0.25">
      <c r="F944" s="20"/>
      <c r="G944" s="20"/>
    </row>
    <row r="945" spans="6:7" x14ac:dyDescent="0.25">
      <c r="F945" s="20"/>
      <c r="G945" s="20"/>
    </row>
    <row r="946" spans="6:7" x14ac:dyDescent="0.25">
      <c r="F946" s="20"/>
      <c r="G946" s="20"/>
    </row>
    <row r="947" spans="6:7" x14ac:dyDescent="0.25">
      <c r="F947" s="20"/>
      <c r="G947" s="20"/>
    </row>
    <row r="948" spans="6:7" x14ac:dyDescent="0.25">
      <c r="F948" s="20"/>
      <c r="G948" s="20"/>
    </row>
    <row r="949" spans="6:7" x14ac:dyDescent="0.25">
      <c r="F949" s="20"/>
      <c r="G949" s="20"/>
    </row>
    <row r="950" spans="6:7" x14ac:dyDescent="0.25">
      <c r="F950" s="20"/>
      <c r="G950" s="20"/>
    </row>
    <row r="951" spans="6:7" x14ac:dyDescent="0.25">
      <c r="F951" s="20"/>
      <c r="G951" s="20"/>
    </row>
    <row r="952" spans="6:7" x14ac:dyDescent="0.25">
      <c r="F952" s="20"/>
      <c r="G952" s="20"/>
    </row>
    <row r="953" spans="6:7" x14ac:dyDescent="0.25">
      <c r="F953" s="20"/>
      <c r="G953" s="20"/>
    </row>
    <row r="954" spans="6:7" x14ac:dyDescent="0.25">
      <c r="F954" s="20"/>
      <c r="G954" s="20"/>
    </row>
    <row r="955" spans="6:7" x14ac:dyDescent="0.25">
      <c r="F955" s="20"/>
      <c r="G955" s="20"/>
    </row>
    <row r="956" spans="6:7" x14ac:dyDescent="0.25">
      <c r="F956" s="20"/>
      <c r="G956" s="20"/>
    </row>
    <row r="957" spans="6:7" x14ac:dyDescent="0.25">
      <c r="F957" s="20"/>
      <c r="G957" s="20"/>
    </row>
    <row r="958" spans="6:7" x14ac:dyDescent="0.25">
      <c r="F958" s="20"/>
      <c r="G958" s="20"/>
    </row>
    <row r="959" spans="6:7" x14ac:dyDescent="0.25">
      <c r="F959" s="20"/>
      <c r="G959" s="20"/>
    </row>
    <row r="960" spans="6:7" x14ac:dyDescent="0.25">
      <c r="F960" s="20"/>
      <c r="G960" s="20"/>
    </row>
    <row r="961" spans="6:7" x14ac:dyDescent="0.25">
      <c r="F961" s="20"/>
      <c r="G961" s="20"/>
    </row>
    <row r="962" spans="6:7" x14ac:dyDescent="0.25">
      <c r="F962" s="20"/>
      <c r="G962" s="20"/>
    </row>
    <row r="963" spans="6:7" x14ac:dyDescent="0.25">
      <c r="F963" s="20"/>
      <c r="G963" s="20"/>
    </row>
    <row r="964" spans="6:7" x14ac:dyDescent="0.25">
      <c r="F964" s="20"/>
      <c r="G964" s="20"/>
    </row>
    <row r="965" spans="6:7" x14ac:dyDescent="0.25">
      <c r="F965" s="20"/>
      <c r="G965" s="20"/>
    </row>
    <row r="966" spans="6:7" x14ac:dyDescent="0.25">
      <c r="F966" s="20"/>
      <c r="G966" s="20"/>
    </row>
    <row r="967" spans="6:7" x14ac:dyDescent="0.25">
      <c r="F967" s="20"/>
      <c r="G967" s="20"/>
    </row>
    <row r="968" spans="6:7" x14ac:dyDescent="0.25">
      <c r="F968" s="20"/>
      <c r="G968" s="20"/>
    </row>
    <row r="969" spans="6:7" x14ac:dyDescent="0.25">
      <c r="F969" s="20"/>
      <c r="G969" s="20"/>
    </row>
    <row r="970" spans="6:7" x14ac:dyDescent="0.25">
      <c r="F970" s="20"/>
      <c r="G970" s="20"/>
    </row>
    <row r="971" spans="6:7" x14ac:dyDescent="0.25">
      <c r="F971" s="20"/>
      <c r="G971" s="20"/>
    </row>
    <row r="972" spans="6:7" x14ac:dyDescent="0.25">
      <c r="F972" s="20"/>
      <c r="G972" s="20"/>
    </row>
    <row r="973" spans="6:7" x14ac:dyDescent="0.25">
      <c r="F973" s="20"/>
      <c r="G973" s="20"/>
    </row>
    <row r="974" spans="6:7" x14ac:dyDescent="0.25">
      <c r="F974" s="20"/>
      <c r="G974" s="20"/>
    </row>
    <row r="975" spans="6:7" x14ac:dyDescent="0.25">
      <c r="F975" s="20"/>
      <c r="G975" s="20"/>
    </row>
    <row r="976" spans="6:7" x14ac:dyDescent="0.25">
      <c r="F976" s="20"/>
      <c r="G976" s="20"/>
    </row>
    <row r="977" spans="6:7" x14ac:dyDescent="0.25">
      <c r="F977" s="20"/>
      <c r="G977" s="20"/>
    </row>
    <row r="978" spans="6:7" x14ac:dyDescent="0.25">
      <c r="F978" s="20"/>
      <c r="G978" s="20"/>
    </row>
    <row r="979" spans="6:7" x14ac:dyDescent="0.25">
      <c r="F979" s="20"/>
      <c r="G979" s="20"/>
    </row>
    <row r="980" spans="6:7" x14ac:dyDescent="0.25">
      <c r="F980" s="20"/>
      <c r="G980" s="20"/>
    </row>
    <row r="981" spans="6:7" x14ac:dyDescent="0.25">
      <c r="F981" s="20"/>
      <c r="G981" s="20"/>
    </row>
    <row r="982" spans="6:7" x14ac:dyDescent="0.25">
      <c r="F982" s="20"/>
      <c r="G982" s="20"/>
    </row>
    <row r="983" spans="6:7" x14ac:dyDescent="0.25">
      <c r="F983" s="20"/>
      <c r="G983" s="20"/>
    </row>
    <row r="984" spans="6:7" x14ac:dyDescent="0.25">
      <c r="F984" s="20"/>
      <c r="G984" s="20"/>
    </row>
    <row r="985" spans="6:7" x14ac:dyDescent="0.25">
      <c r="F985" s="20"/>
      <c r="G985" s="20"/>
    </row>
    <row r="986" spans="6:7" x14ac:dyDescent="0.25">
      <c r="F986" s="20"/>
      <c r="G986" s="20"/>
    </row>
    <row r="987" spans="6:7" x14ac:dyDescent="0.25">
      <c r="F987" s="20"/>
      <c r="G987" s="20"/>
    </row>
    <row r="988" spans="6:7" x14ac:dyDescent="0.25">
      <c r="F988" s="20"/>
      <c r="G988" s="20"/>
    </row>
    <row r="989" spans="6:7" x14ac:dyDescent="0.25">
      <c r="F989" s="20"/>
      <c r="G989" s="20"/>
    </row>
    <row r="990" spans="6:7" x14ac:dyDescent="0.25">
      <c r="F990" s="20"/>
      <c r="G990" s="20"/>
    </row>
    <row r="991" spans="6:7" x14ac:dyDescent="0.25">
      <c r="F991" s="20"/>
      <c r="G991" s="20"/>
    </row>
    <row r="992" spans="6:7" x14ac:dyDescent="0.25">
      <c r="F992" s="20"/>
      <c r="G992" s="20"/>
    </row>
    <row r="993" spans="6:7" x14ac:dyDescent="0.25">
      <c r="F993" s="20"/>
      <c r="G993" s="20"/>
    </row>
    <row r="994" spans="6:7" x14ac:dyDescent="0.25">
      <c r="F994" s="20"/>
      <c r="G994" s="20"/>
    </row>
    <row r="995" spans="6:7" x14ac:dyDescent="0.25">
      <c r="F995" s="20"/>
      <c r="G995" s="20"/>
    </row>
    <row r="996" spans="6:7" x14ac:dyDescent="0.25">
      <c r="F996" s="20"/>
      <c r="G996" s="20"/>
    </row>
    <row r="997" spans="6:7" x14ac:dyDescent="0.25">
      <c r="F997" s="20"/>
      <c r="G997" s="20"/>
    </row>
    <row r="998" spans="6:7" x14ac:dyDescent="0.25">
      <c r="F998" s="20"/>
      <c r="G998" s="20"/>
    </row>
    <row r="999" spans="6:7" x14ac:dyDescent="0.25">
      <c r="F999" s="20"/>
      <c r="G999" s="20"/>
    </row>
    <row r="1000" spans="6:7" x14ac:dyDescent="0.25">
      <c r="F1000" s="20"/>
      <c r="G1000" s="20"/>
    </row>
    <row r="1001" spans="6:7" x14ac:dyDescent="0.25">
      <c r="F1001" s="20"/>
      <c r="G1001" s="20"/>
    </row>
    <row r="1002" spans="6:7" x14ac:dyDescent="0.25">
      <c r="F1002" s="20"/>
      <c r="G1002" s="20"/>
    </row>
    <row r="1003" spans="6:7" x14ac:dyDescent="0.25">
      <c r="F1003" s="20"/>
      <c r="G1003" s="20"/>
    </row>
    <row r="1004" spans="6:7" x14ac:dyDescent="0.25">
      <c r="F1004" s="20"/>
      <c r="G1004" s="20"/>
    </row>
    <row r="1005" spans="6:7" x14ac:dyDescent="0.25">
      <c r="F1005" s="20"/>
      <c r="G1005" s="20"/>
    </row>
    <row r="1006" spans="6:7" x14ac:dyDescent="0.25">
      <c r="F1006" s="20"/>
      <c r="G1006" s="20"/>
    </row>
    <row r="1007" spans="6:7" x14ac:dyDescent="0.25">
      <c r="F1007" s="20"/>
      <c r="G1007" s="20"/>
    </row>
    <row r="1008" spans="6:7" x14ac:dyDescent="0.25">
      <c r="F1008" s="20"/>
      <c r="G1008" s="20"/>
    </row>
    <row r="1009" spans="6:7" x14ac:dyDescent="0.25">
      <c r="F1009" s="20"/>
      <c r="G1009" s="20"/>
    </row>
    <row r="1010" spans="6:7" x14ac:dyDescent="0.25">
      <c r="F1010" s="20"/>
      <c r="G1010" s="20"/>
    </row>
    <row r="1011" spans="6:7" x14ac:dyDescent="0.25">
      <c r="F1011" s="20"/>
      <c r="G1011" s="20"/>
    </row>
    <row r="1012" spans="6:7" x14ac:dyDescent="0.25">
      <c r="F1012" s="20"/>
      <c r="G1012" s="20"/>
    </row>
    <row r="1013" spans="6:7" x14ac:dyDescent="0.25">
      <c r="F1013" s="20"/>
      <c r="G1013" s="20"/>
    </row>
    <row r="1014" spans="6:7" x14ac:dyDescent="0.25">
      <c r="F1014" s="20"/>
      <c r="G1014" s="20"/>
    </row>
    <row r="1015" spans="6:7" x14ac:dyDescent="0.25">
      <c r="F1015" s="20"/>
      <c r="G1015" s="20"/>
    </row>
    <row r="1016" spans="6:7" x14ac:dyDescent="0.25">
      <c r="F1016" s="20"/>
      <c r="G1016" s="20"/>
    </row>
    <row r="1017" spans="6:7" x14ac:dyDescent="0.25">
      <c r="F1017" s="20"/>
      <c r="G1017" s="20"/>
    </row>
    <row r="1018" spans="6:7" x14ac:dyDescent="0.25">
      <c r="F1018" s="20"/>
      <c r="G1018" s="20"/>
    </row>
    <row r="1019" spans="6:7" x14ac:dyDescent="0.25">
      <c r="F1019" s="20"/>
      <c r="G1019" s="20"/>
    </row>
    <row r="1020" spans="6:7" x14ac:dyDescent="0.25">
      <c r="F1020" s="20"/>
      <c r="G1020" s="20"/>
    </row>
    <row r="1021" spans="6:7" x14ac:dyDescent="0.25">
      <c r="F1021" s="20"/>
      <c r="G1021" s="20"/>
    </row>
    <row r="1022" spans="6:7" x14ac:dyDescent="0.25">
      <c r="F1022" s="20"/>
      <c r="G1022" s="20"/>
    </row>
    <row r="1023" spans="6:7" x14ac:dyDescent="0.25">
      <c r="F1023" s="20"/>
      <c r="G1023" s="20"/>
    </row>
    <row r="1024" spans="6:7" x14ac:dyDescent="0.25">
      <c r="F1024" s="20"/>
      <c r="G1024" s="20"/>
    </row>
    <row r="1025" spans="6:7" x14ac:dyDescent="0.25">
      <c r="F1025" s="20"/>
      <c r="G1025" s="20"/>
    </row>
    <row r="1026" spans="6:7" x14ac:dyDescent="0.25">
      <c r="F1026" s="20"/>
      <c r="G1026" s="20"/>
    </row>
    <row r="1027" spans="6:7" x14ac:dyDescent="0.25">
      <c r="F1027" s="20"/>
      <c r="G1027" s="20"/>
    </row>
    <row r="1028" spans="6:7" x14ac:dyDescent="0.25">
      <c r="F1028" s="20"/>
      <c r="G1028" s="20"/>
    </row>
    <row r="1029" spans="6:7" x14ac:dyDescent="0.25">
      <c r="F1029" s="20"/>
      <c r="G1029" s="20"/>
    </row>
    <row r="1030" spans="6:7" x14ac:dyDescent="0.25">
      <c r="F1030" s="20"/>
      <c r="G1030" s="20"/>
    </row>
    <row r="1031" spans="6:7" x14ac:dyDescent="0.25">
      <c r="F1031" s="20"/>
      <c r="G1031" s="20"/>
    </row>
    <row r="1032" spans="6:7" x14ac:dyDescent="0.25">
      <c r="F1032" s="20"/>
      <c r="G1032" s="20"/>
    </row>
    <row r="1033" spans="6:7" x14ac:dyDescent="0.25">
      <c r="F1033" s="20"/>
      <c r="G1033" s="20"/>
    </row>
    <row r="1034" spans="6:7" x14ac:dyDescent="0.25">
      <c r="F1034" s="20"/>
      <c r="G1034" s="20"/>
    </row>
    <row r="1035" spans="6:7" x14ac:dyDescent="0.25">
      <c r="F1035" s="20"/>
      <c r="G1035" s="20"/>
    </row>
    <row r="1036" spans="6:7" x14ac:dyDescent="0.25">
      <c r="F1036" s="20"/>
      <c r="G1036" s="20"/>
    </row>
    <row r="1037" spans="6:7" x14ac:dyDescent="0.25">
      <c r="F1037" s="20"/>
      <c r="G1037" s="20"/>
    </row>
    <row r="1038" spans="6:7" x14ac:dyDescent="0.25">
      <c r="F1038" s="20"/>
      <c r="G1038" s="20"/>
    </row>
    <row r="1039" spans="6:7" x14ac:dyDescent="0.25">
      <c r="F1039" s="20"/>
      <c r="G1039" s="20"/>
    </row>
    <row r="1040" spans="6:7" x14ac:dyDescent="0.25">
      <c r="F1040" s="20"/>
      <c r="G1040" s="20"/>
    </row>
    <row r="1041" spans="6:7" x14ac:dyDescent="0.25">
      <c r="F1041" s="20"/>
      <c r="G1041" s="20"/>
    </row>
    <row r="1042" spans="6:7" x14ac:dyDescent="0.25">
      <c r="F1042" s="20"/>
      <c r="G1042" s="20"/>
    </row>
    <row r="1043" spans="6:7" x14ac:dyDescent="0.25">
      <c r="F1043" s="20"/>
      <c r="G1043" s="20"/>
    </row>
    <row r="1044" spans="6:7" x14ac:dyDescent="0.25">
      <c r="F1044" s="20"/>
      <c r="G1044" s="20"/>
    </row>
    <row r="1045" spans="6:7" x14ac:dyDescent="0.25">
      <c r="F1045" s="20"/>
      <c r="G1045" s="20"/>
    </row>
    <row r="1046" spans="6:7" x14ac:dyDescent="0.25">
      <c r="F1046" s="20"/>
      <c r="G1046" s="20"/>
    </row>
    <row r="1047" spans="6:7" x14ac:dyDescent="0.25">
      <c r="F1047" s="20"/>
      <c r="G1047" s="20"/>
    </row>
    <row r="1048" spans="6:7" x14ac:dyDescent="0.25">
      <c r="F1048" s="20"/>
      <c r="G1048" s="20"/>
    </row>
    <row r="1049" spans="6:7" x14ac:dyDescent="0.25">
      <c r="F1049" s="20"/>
      <c r="G1049" s="20"/>
    </row>
    <row r="1050" spans="6:7" x14ac:dyDescent="0.25">
      <c r="F1050" s="20"/>
      <c r="G1050" s="20"/>
    </row>
    <row r="1051" spans="6:7" x14ac:dyDescent="0.25">
      <c r="F1051" s="20"/>
      <c r="G1051" s="20"/>
    </row>
    <row r="1052" spans="6:7" x14ac:dyDescent="0.25">
      <c r="F1052" s="20"/>
      <c r="G1052" s="20"/>
    </row>
    <row r="1053" spans="6:7" x14ac:dyDescent="0.25">
      <c r="F1053" s="20"/>
      <c r="G1053" s="20"/>
    </row>
    <row r="1054" spans="6:7" x14ac:dyDescent="0.25">
      <c r="F1054" s="20"/>
      <c r="G1054" s="20"/>
    </row>
    <row r="1055" spans="6:7" x14ac:dyDescent="0.25">
      <c r="F1055" s="20"/>
      <c r="G1055" s="20"/>
    </row>
    <row r="1056" spans="6:7" x14ac:dyDescent="0.25">
      <c r="F1056" s="20"/>
      <c r="G1056" s="20"/>
    </row>
    <row r="1057" spans="6:7" x14ac:dyDescent="0.25">
      <c r="F1057" s="20"/>
      <c r="G1057" s="20"/>
    </row>
    <row r="1058" spans="6:7" x14ac:dyDescent="0.25">
      <c r="F1058" s="20"/>
      <c r="G1058" s="20"/>
    </row>
    <row r="1059" spans="6:7" x14ac:dyDescent="0.25">
      <c r="F1059" s="20"/>
      <c r="G1059" s="20"/>
    </row>
    <row r="1060" spans="6:7" x14ac:dyDescent="0.25">
      <c r="F1060" s="20"/>
      <c r="G1060" s="20"/>
    </row>
    <row r="1061" spans="6:7" x14ac:dyDescent="0.25">
      <c r="F1061" s="20"/>
      <c r="G1061" s="20"/>
    </row>
    <row r="1062" spans="6:7" x14ac:dyDescent="0.25">
      <c r="F1062" s="20"/>
      <c r="G1062" s="20"/>
    </row>
    <row r="1063" spans="6:7" x14ac:dyDescent="0.25">
      <c r="F1063" s="20"/>
      <c r="G1063" s="20"/>
    </row>
    <row r="1064" spans="6:7" x14ac:dyDescent="0.25">
      <c r="F1064" s="20"/>
      <c r="G1064" s="20"/>
    </row>
    <row r="1065" spans="6:7" x14ac:dyDescent="0.25">
      <c r="F1065" s="20"/>
      <c r="G1065" s="20"/>
    </row>
    <row r="1066" spans="6:7" x14ac:dyDescent="0.25">
      <c r="F1066" s="20"/>
      <c r="G1066" s="20"/>
    </row>
    <row r="1067" spans="6:7" x14ac:dyDescent="0.25">
      <c r="F1067" s="20"/>
      <c r="G1067" s="20"/>
    </row>
    <row r="1068" spans="6:7" x14ac:dyDescent="0.25">
      <c r="F1068" s="20"/>
      <c r="G1068" s="20"/>
    </row>
    <row r="1069" spans="6:7" x14ac:dyDescent="0.25">
      <c r="F1069" s="20"/>
      <c r="G1069" s="20"/>
    </row>
    <row r="1070" spans="6:7" x14ac:dyDescent="0.25">
      <c r="F1070" s="20"/>
      <c r="G1070" s="20"/>
    </row>
    <row r="1071" spans="6:7" x14ac:dyDescent="0.25">
      <c r="F1071" s="20"/>
      <c r="G1071" s="20"/>
    </row>
    <row r="1072" spans="6:7" x14ac:dyDescent="0.25">
      <c r="F1072" s="20"/>
      <c r="G1072" s="20"/>
    </row>
    <row r="1073" spans="6:7" x14ac:dyDescent="0.25">
      <c r="F1073" s="20"/>
      <c r="G1073" s="20"/>
    </row>
    <row r="1074" spans="6:7" x14ac:dyDescent="0.25">
      <c r="F1074" s="20"/>
      <c r="G1074" s="20"/>
    </row>
    <row r="1075" spans="6:7" x14ac:dyDescent="0.25">
      <c r="F1075" s="20"/>
      <c r="G1075" s="20"/>
    </row>
    <row r="1076" spans="6:7" x14ac:dyDescent="0.25">
      <c r="F1076" s="20"/>
      <c r="G1076" s="20"/>
    </row>
    <row r="1077" spans="6:7" x14ac:dyDescent="0.25">
      <c r="F1077" s="20"/>
      <c r="G1077" s="20"/>
    </row>
    <row r="1078" spans="6:7" x14ac:dyDescent="0.25">
      <c r="F1078" s="20"/>
      <c r="G1078" s="20"/>
    </row>
    <row r="1079" spans="6:7" x14ac:dyDescent="0.25">
      <c r="F1079" s="20"/>
      <c r="G1079" s="20"/>
    </row>
    <row r="1080" spans="6:7" x14ac:dyDescent="0.25">
      <c r="F1080" s="20"/>
      <c r="G1080" s="20"/>
    </row>
    <row r="1081" spans="6:7" x14ac:dyDescent="0.25">
      <c r="F1081" s="20"/>
      <c r="G1081" s="20"/>
    </row>
    <row r="1082" spans="6:7" x14ac:dyDescent="0.25">
      <c r="F1082" s="20"/>
      <c r="G1082" s="20"/>
    </row>
    <row r="1083" spans="6:7" x14ac:dyDescent="0.25">
      <c r="F1083" s="20"/>
      <c r="G1083" s="20"/>
    </row>
    <row r="1084" spans="6:7" x14ac:dyDescent="0.25">
      <c r="F1084" s="20"/>
      <c r="G1084" s="20"/>
    </row>
    <row r="1085" spans="6:7" x14ac:dyDescent="0.25">
      <c r="F1085" s="20"/>
      <c r="G1085" s="20"/>
    </row>
    <row r="1086" spans="6:7" x14ac:dyDescent="0.25">
      <c r="F1086" s="20"/>
      <c r="G1086" s="20"/>
    </row>
    <row r="1087" spans="6:7" x14ac:dyDescent="0.25">
      <c r="F1087" s="20"/>
      <c r="G1087" s="20"/>
    </row>
    <row r="1088" spans="6:7" x14ac:dyDescent="0.25">
      <c r="F1088" s="20"/>
      <c r="G1088" s="20"/>
    </row>
    <row r="1089" spans="6:7" x14ac:dyDescent="0.25">
      <c r="F1089" s="20"/>
      <c r="G1089" s="20"/>
    </row>
    <row r="1090" spans="6:7" x14ac:dyDescent="0.25">
      <c r="F1090" s="20"/>
      <c r="G1090" s="20"/>
    </row>
    <row r="1091" spans="6:7" x14ac:dyDescent="0.25">
      <c r="F1091" s="20"/>
      <c r="G1091" s="20"/>
    </row>
    <row r="1092" spans="6:7" x14ac:dyDescent="0.25">
      <c r="F1092" s="20"/>
      <c r="G1092" s="20"/>
    </row>
    <row r="1093" spans="6:7" x14ac:dyDescent="0.25">
      <c r="F1093" s="20"/>
      <c r="G1093" s="20"/>
    </row>
    <row r="1094" spans="6:7" x14ac:dyDescent="0.25">
      <c r="F1094" s="20"/>
      <c r="G1094" s="20"/>
    </row>
    <row r="1095" spans="6:7" x14ac:dyDescent="0.25">
      <c r="F1095" s="20"/>
      <c r="G1095" s="20"/>
    </row>
    <row r="1096" spans="6:7" x14ac:dyDescent="0.25">
      <c r="F1096" s="20"/>
      <c r="G1096" s="20"/>
    </row>
    <row r="1097" spans="6:7" x14ac:dyDescent="0.25">
      <c r="F1097" s="20"/>
      <c r="G1097" s="20"/>
    </row>
    <row r="1098" spans="6:7" x14ac:dyDescent="0.25">
      <c r="F1098" s="20"/>
      <c r="G1098" s="20"/>
    </row>
    <row r="1099" spans="6:7" x14ac:dyDescent="0.25">
      <c r="F1099" s="20"/>
      <c r="G1099" s="20"/>
    </row>
    <row r="1100" spans="6:7" x14ac:dyDescent="0.25">
      <c r="F1100" s="20"/>
      <c r="G1100" s="20"/>
    </row>
    <row r="1101" spans="6:7" x14ac:dyDescent="0.25">
      <c r="F1101" s="20"/>
      <c r="G1101" s="20"/>
    </row>
    <row r="1102" spans="6:7" x14ac:dyDescent="0.25">
      <c r="F1102" s="20"/>
      <c r="G1102" s="20"/>
    </row>
    <row r="1103" spans="6:7" x14ac:dyDescent="0.25">
      <c r="F1103" s="20"/>
      <c r="G1103" s="20"/>
    </row>
    <row r="1104" spans="6:7" x14ac:dyDescent="0.25">
      <c r="F1104" s="20"/>
      <c r="G1104" s="20"/>
    </row>
    <row r="1105" spans="6:7" x14ac:dyDescent="0.25">
      <c r="F1105" s="20"/>
      <c r="G1105" s="20"/>
    </row>
    <row r="1106" spans="6:7" x14ac:dyDescent="0.25">
      <c r="F1106" s="20"/>
      <c r="G1106" s="20"/>
    </row>
    <row r="1107" spans="6:7" x14ac:dyDescent="0.25">
      <c r="F1107" s="20"/>
      <c r="G1107" s="20"/>
    </row>
    <row r="1108" spans="6:7" x14ac:dyDescent="0.25">
      <c r="F1108" s="20"/>
      <c r="G1108" s="20"/>
    </row>
    <row r="1109" spans="6:7" x14ac:dyDescent="0.25">
      <c r="F1109" s="20"/>
      <c r="G1109" s="20"/>
    </row>
    <row r="1110" spans="6:7" x14ac:dyDescent="0.25">
      <c r="F1110" s="20"/>
      <c r="G1110" s="20"/>
    </row>
    <row r="1111" spans="6:7" x14ac:dyDescent="0.25">
      <c r="F1111" s="20"/>
      <c r="G1111" s="20"/>
    </row>
    <row r="1112" spans="6:7" x14ac:dyDescent="0.25">
      <c r="F1112" s="20"/>
      <c r="G1112" s="20"/>
    </row>
    <row r="1113" spans="6:7" x14ac:dyDescent="0.25">
      <c r="F1113" s="20"/>
      <c r="G1113" s="20"/>
    </row>
    <row r="1114" spans="6:7" x14ac:dyDescent="0.25">
      <c r="F1114" s="20"/>
      <c r="G1114" s="20"/>
    </row>
    <row r="1115" spans="6:7" x14ac:dyDescent="0.25">
      <c r="F1115" s="20"/>
      <c r="G1115" s="20"/>
    </row>
    <row r="1116" spans="6:7" x14ac:dyDescent="0.25">
      <c r="F1116" s="20"/>
      <c r="G1116" s="20"/>
    </row>
    <row r="1117" spans="6:7" x14ac:dyDescent="0.25">
      <c r="F1117" s="20"/>
      <c r="G1117" s="20"/>
    </row>
    <row r="1118" spans="6:7" x14ac:dyDescent="0.25">
      <c r="F1118" s="20"/>
      <c r="G1118" s="20"/>
    </row>
    <row r="1119" spans="6:7" x14ac:dyDescent="0.25">
      <c r="F1119" s="20"/>
      <c r="G1119" s="20"/>
    </row>
    <row r="1120" spans="6:7" x14ac:dyDescent="0.25">
      <c r="F1120" s="20"/>
      <c r="G1120" s="20"/>
    </row>
    <row r="1121" spans="6:7" x14ac:dyDescent="0.25">
      <c r="F1121" s="20"/>
      <c r="G1121" s="20"/>
    </row>
    <row r="1122" spans="6:7" x14ac:dyDescent="0.25">
      <c r="F1122" s="20"/>
      <c r="G1122" s="20"/>
    </row>
    <row r="1123" spans="6:7" x14ac:dyDescent="0.25">
      <c r="F1123" s="20"/>
      <c r="G1123" s="20"/>
    </row>
    <row r="1124" spans="6:7" x14ac:dyDescent="0.25">
      <c r="F1124" s="20"/>
      <c r="G1124" s="20"/>
    </row>
    <row r="1125" spans="6:7" x14ac:dyDescent="0.25">
      <c r="F1125" s="20"/>
      <c r="G1125" s="20"/>
    </row>
    <row r="1126" spans="6:7" x14ac:dyDescent="0.25">
      <c r="F1126" s="20"/>
      <c r="G1126" s="20"/>
    </row>
    <row r="1127" spans="6:7" x14ac:dyDescent="0.25">
      <c r="F1127" s="20"/>
      <c r="G1127" s="20"/>
    </row>
    <row r="1128" spans="6:7" x14ac:dyDescent="0.25">
      <c r="F1128" s="20"/>
      <c r="G1128" s="20"/>
    </row>
    <row r="1129" spans="6:7" x14ac:dyDescent="0.25">
      <c r="F1129" s="20"/>
      <c r="G1129" s="20"/>
    </row>
    <row r="1130" spans="6:7" x14ac:dyDescent="0.25">
      <c r="F1130" s="20"/>
      <c r="G1130" s="20"/>
    </row>
    <row r="1131" spans="6:7" x14ac:dyDescent="0.25">
      <c r="F1131" s="20"/>
      <c r="G1131" s="20"/>
    </row>
    <row r="1132" spans="6:7" x14ac:dyDescent="0.25">
      <c r="F1132" s="20"/>
      <c r="G1132" s="20"/>
    </row>
    <row r="1133" spans="6:7" x14ac:dyDescent="0.25">
      <c r="F1133" s="20"/>
      <c r="G1133" s="20"/>
    </row>
    <row r="1134" spans="6:7" x14ac:dyDescent="0.25">
      <c r="F1134" s="20"/>
      <c r="G1134" s="20"/>
    </row>
    <row r="1135" spans="6:7" x14ac:dyDescent="0.25">
      <c r="F1135" s="20"/>
      <c r="G1135" s="20"/>
    </row>
    <row r="1136" spans="6:7" x14ac:dyDescent="0.25">
      <c r="F1136" s="20"/>
      <c r="G1136" s="20"/>
    </row>
    <row r="1137" spans="6:7" x14ac:dyDescent="0.25">
      <c r="F1137" s="20"/>
      <c r="G1137" s="20"/>
    </row>
    <row r="1138" spans="6:7" x14ac:dyDescent="0.25">
      <c r="F1138" s="20"/>
      <c r="G1138" s="20"/>
    </row>
    <row r="1139" spans="6:7" x14ac:dyDescent="0.25">
      <c r="F1139" s="20"/>
      <c r="G1139" s="20"/>
    </row>
    <row r="1140" spans="6:7" x14ac:dyDescent="0.25">
      <c r="F1140" s="20"/>
      <c r="G1140" s="20"/>
    </row>
    <row r="1141" spans="6:7" x14ac:dyDescent="0.25">
      <c r="F1141" s="20"/>
      <c r="G1141" s="20"/>
    </row>
    <row r="1142" spans="6:7" x14ac:dyDescent="0.25">
      <c r="F1142" s="20"/>
      <c r="G1142" s="20"/>
    </row>
    <row r="1143" spans="6:7" x14ac:dyDescent="0.25">
      <c r="F1143" s="20"/>
      <c r="G1143" s="20"/>
    </row>
    <row r="1144" spans="6:7" x14ac:dyDescent="0.25">
      <c r="F1144" s="20"/>
      <c r="G1144" s="20"/>
    </row>
    <row r="1145" spans="6:7" x14ac:dyDescent="0.25">
      <c r="F1145" s="20"/>
      <c r="G1145" s="20"/>
    </row>
    <row r="1146" spans="6:7" x14ac:dyDescent="0.25">
      <c r="F1146" s="20"/>
      <c r="G1146" s="20"/>
    </row>
    <row r="1147" spans="6:7" x14ac:dyDescent="0.25">
      <c r="F1147" s="20"/>
      <c r="G1147" s="20"/>
    </row>
    <row r="1148" spans="6:7" x14ac:dyDescent="0.25">
      <c r="F1148" s="20"/>
      <c r="G1148" s="20"/>
    </row>
    <row r="1149" spans="6:7" x14ac:dyDescent="0.25">
      <c r="F1149" s="20"/>
      <c r="G1149" s="20"/>
    </row>
    <row r="1150" spans="6:7" x14ac:dyDescent="0.25">
      <c r="F1150" s="20"/>
      <c r="G1150" s="20"/>
    </row>
    <row r="1151" spans="6:7" x14ac:dyDescent="0.25">
      <c r="F1151" s="20"/>
      <c r="G1151" s="20"/>
    </row>
    <row r="1152" spans="6:7" x14ac:dyDescent="0.25">
      <c r="F1152" s="20"/>
      <c r="G1152" s="20"/>
    </row>
    <row r="1153" spans="6:7" x14ac:dyDescent="0.25">
      <c r="F1153" s="20"/>
      <c r="G1153" s="20"/>
    </row>
    <row r="1154" spans="6:7" x14ac:dyDescent="0.25">
      <c r="F1154" s="20"/>
      <c r="G1154" s="20"/>
    </row>
    <row r="1155" spans="6:7" x14ac:dyDescent="0.25">
      <c r="F1155" s="20"/>
      <c r="G1155" s="20"/>
    </row>
    <row r="1156" spans="6:7" x14ac:dyDescent="0.25">
      <c r="F1156" s="20"/>
      <c r="G1156" s="20"/>
    </row>
    <row r="1157" spans="6:7" x14ac:dyDescent="0.25">
      <c r="F1157" s="20"/>
      <c r="G1157" s="20"/>
    </row>
    <row r="1158" spans="6:7" x14ac:dyDescent="0.25">
      <c r="F1158" s="20"/>
      <c r="G1158" s="20"/>
    </row>
    <row r="1159" spans="6:7" x14ac:dyDescent="0.25">
      <c r="F1159" s="20"/>
      <c r="G1159" s="20"/>
    </row>
    <row r="1160" spans="6:7" x14ac:dyDescent="0.25">
      <c r="F1160" s="20"/>
      <c r="G1160" s="20"/>
    </row>
    <row r="1161" spans="6:7" x14ac:dyDescent="0.25">
      <c r="F1161" s="20"/>
      <c r="G1161" s="20"/>
    </row>
    <row r="1162" spans="6:7" x14ac:dyDescent="0.25">
      <c r="F1162" s="20"/>
      <c r="G1162" s="20"/>
    </row>
    <row r="1163" spans="6:7" x14ac:dyDescent="0.25">
      <c r="F1163" s="20"/>
      <c r="G1163" s="20"/>
    </row>
    <row r="1164" spans="6:7" x14ac:dyDescent="0.25">
      <c r="F1164" s="20"/>
      <c r="G1164" s="20"/>
    </row>
    <row r="1165" spans="6:7" x14ac:dyDescent="0.25">
      <c r="F1165" s="20"/>
      <c r="G1165" s="20"/>
    </row>
    <row r="1166" spans="6:7" x14ac:dyDescent="0.25">
      <c r="F1166" s="20"/>
      <c r="G1166" s="20"/>
    </row>
    <row r="1167" spans="6:7" x14ac:dyDescent="0.25">
      <c r="F1167" s="20"/>
      <c r="G1167" s="20"/>
    </row>
    <row r="1168" spans="6:7" x14ac:dyDescent="0.25">
      <c r="F1168" s="20"/>
      <c r="G1168" s="20"/>
    </row>
    <row r="1169" spans="6:7" x14ac:dyDescent="0.25">
      <c r="F1169" s="20"/>
      <c r="G1169" s="20"/>
    </row>
    <row r="1170" spans="6:7" x14ac:dyDescent="0.25">
      <c r="F1170" s="20"/>
      <c r="G1170" s="20"/>
    </row>
    <row r="1171" spans="6:7" x14ac:dyDescent="0.25">
      <c r="F1171" s="20"/>
      <c r="G1171" s="20"/>
    </row>
    <row r="1172" spans="6:7" x14ac:dyDescent="0.25">
      <c r="F1172" s="20"/>
      <c r="G1172" s="20"/>
    </row>
    <row r="1173" spans="6:7" x14ac:dyDescent="0.25">
      <c r="F1173" s="20"/>
      <c r="G1173" s="20"/>
    </row>
    <row r="1174" spans="6:7" x14ac:dyDescent="0.25">
      <c r="F1174" s="20"/>
      <c r="G1174" s="20"/>
    </row>
    <row r="1175" spans="6:7" x14ac:dyDescent="0.25">
      <c r="F1175" s="20"/>
      <c r="G1175" s="20"/>
    </row>
    <row r="1176" spans="6:7" x14ac:dyDescent="0.25">
      <c r="F1176" s="20"/>
      <c r="G1176" s="20"/>
    </row>
    <row r="1177" spans="6:7" x14ac:dyDescent="0.25">
      <c r="F1177" s="20"/>
      <c r="G1177" s="20"/>
    </row>
    <row r="1178" spans="6:7" x14ac:dyDescent="0.25">
      <c r="F1178" s="20"/>
      <c r="G1178" s="20"/>
    </row>
    <row r="1179" spans="6:7" x14ac:dyDescent="0.25">
      <c r="F1179" s="20"/>
      <c r="G1179" s="20"/>
    </row>
    <row r="1180" spans="6:7" x14ac:dyDescent="0.25">
      <c r="F1180" s="20"/>
      <c r="G1180" s="20"/>
    </row>
    <row r="1181" spans="6:7" x14ac:dyDescent="0.25">
      <c r="F1181" s="20"/>
      <c r="G1181" s="20"/>
    </row>
    <row r="1182" spans="6:7" x14ac:dyDescent="0.25">
      <c r="F1182" s="20"/>
      <c r="G1182" s="20"/>
    </row>
    <row r="1183" spans="6:7" x14ac:dyDescent="0.25">
      <c r="F1183" s="20"/>
      <c r="G1183" s="20"/>
    </row>
    <row r="1184" spans="6:7" x14ac:dyDescent="0.25">
      <c r="F1184" s="20"/>
      <c r="G1184" s="20"/>
    </row>
    <row r="1185" spans="6:7" x14ac:dyDescent="0.25">
      <c r="F1185" s="20"/>
      <c r="G1185" s="20"/>
    </row>
    <row r="1186" spans="6:7" x14ac:dyDescent="0.25">
      <c r="F1186" s="20"/>
      <c r="G1186" s="20"/>
    </row>
    <row r="1187" spans="6:7" x14ac:dyDescent="0.25">
      <c r="F1187" s="20"/>
      <c r="G1187" s="20"/>
    </row>
    <row r="1188" spans="6:7" x14ac:dyDescent="0.25">
      <c r="F1188" s="20"/>
      <c r="G1188" s="20"/>
    </row>
    <row r="1189" spans="6:7" x14ac:dyDescent="0.25">
      <c r="F1189" s="20"/>
      <c r="G1189" s="20"/>
    </row>
    <row r="1190" spans="6:7" x14ac:dyDescent="0.25">
      <c r="F1190" s="20"/>
      <c r="G1190" s="20"/>
    </row>
    <row r="1191" spans="6:7" x14ac:dyDescent="0.25">
      <c r="F1191" s="20"/>
      <c r="G1191" s="20"/>
    </row>
    <row r="1192" spans="6:7" x14ac:dyDescent="0.25">
      <c r="F1192" s="20"/>
      <c r="G1192" s="20"/>
    </row>
    <row r="1193" spans="6:7" x14ac:dyDescent="0.25">
      <c r="F1193" s="20"/>
      <c r="G1193" s="20"/>
    </row>
    <row r="1194" spans="6:7" x14ac:dyDescent="0.25">
      <c r="F1194" s="20"/>
      <c r="G1194" s="20"/>
    </row>
    <row r="1195" spans="6:7" x14ac:dyDescent="0.25">
      <c r="F1195" s="20"/>
      <c r="G1195" s="20"/>
    </row>
    <row r="1196" spans="6:7" x14ac:dyDescent="0.25">
      <c r="F1196" s="20"/>
      <c r="G1196" s="20"/>
    </row>
    <row r="1197" spans="6:7" x14ac:dyDescent="0.25">
      <c r="F1197" s="20"/>
      <c r="G1197" s="20"/>
    </row>
    <row r="1198" spans="6:7" x14ac:dyDescent="0.25">
      <c r="F1198" s="20"/>
      <c r="G1198" s="20"/>
    </row>
    <row r="1199" spans="6:7" x14ac:dyDescent="0.25">
      <c r="F1199" s="20"/>
      <c r="G1199" s="20"/>
    </row>
    <row r="1200" spans="6:7" x14ac:dyDescent="0.25">
      <c r="F1200" s="20"/>
      <c r="G1200" s="20"/>
    </row>
    <row r="1201" spans="6:7" x14ac:dyDescent="0.25">
      <c r="F1201" s="20"/>
      <c r="G1201" s="20"/>
    </row>
    <row r="1202" spans="6:7" x14ac:dyDescent="0.25">
      <c r="F1202" s="20"/>
      <c r="G1202" s="20"/>
    </row>
    <row r="1203" spans="6:7" x14ac:dyDescent="0.25">
      <c r="F1203" s="20"/>
      <c r="G1203" s="20"/>
    </row>
    <row r="1204" spans="6:7" x14ac:dyDescent="0.25">
      <c r="F1204" s="20"/>
      <c r="G1204" s="20"/>
    </row>
    <row r="1205" spans="6:7" x14ac:dyDescent="0.25">
      <c r="F1205" s="20"/>
      <c r="G1205" s="20"/>
    </row>
    <row r="1206" spans="6:7" x14ac:dyDescent="0.25">
      <c r="F1206" s="20"/>
      <c r="G1206" s="20"/>
    </row>
    <row r="1207" spans="6:7" x14ac:dyDescent="0.25">
      <c r="F1207" s="20"/>
      <c r="G1207" s="20"/>
    </row>
    <row r="1208" spans="6:7" x14ac:dyDescent="0.25">
      <c r="F1208" s="20"/>
      <c r="G1208" s="20"/>
    </row>
    <row r="1209" spans="6:7" x14ac:dyDescent="0.25">
      <c r="F1209" s="20"/>
      <c r="G1209" s="20"/>
    </row>
    <row r="1210" spans="6:7" x14ac:dyDescent="0.25">
      <c r="F1210" s="20"/>
      <c r="G1210" s="20"/>
    </row>
    <row r="1211" spans="6:7" x14ac:dyDescent="0.25">
      <c r="F1211" s="20"/>
      <c r="G1211" s="20"/>
    </row>
    <row r="1212" spans="6:7" x14ac:dyDescent="0.25">
      <c r="F1212" s="20"/>
      <c r="G1212" s="20"/>
    </row>
    <row r="1213" spans="6:7" x14ac:dyDescent="0.25">
      <c r="F1213" s="20"/>
      <c r="G1213" s="20"/>
    </row>
    <row r="1214" spans="6:7" x14ac:dyDescent="0.25">
      <c r="F1214" s="20"/>
      <c r="G1214" s="20"/>
    </row>
    <row r="1215" spans="6:7" x14ac:dyDescent="0.25">
      <c r="F1215" s="20"/>
      <c r="G1215" s="20"/>
    </row>
    <row r="1216" spans="6:7" x14ac:dyDescent="0.25">
      <c r="F1216" s="20"/>
      <c r="G1216" s="20"/>
    </row>
    <row r="1217" spans="6:7" x14ac:dyDescent="0.25">
      <c r="F1217" s="20"/>
      <c r="G1217" s="20"/>
    </row>
    <row r="1218" spans="6:7" x14ac:dyDescent="0.25">
      <c r="F1218" s="20"/>
      <c r="G1218" s="20"/>
    </row>
    <row r="1219" spans="6:7" x14ac:dyDescent="0.25">
      <c r="F1219" s="20"/>
      <c r="G1219" s="20"/>
    </row>
    <row r="1220" spans="6:7" x14ac:dyDescent="0.25">
      <c r="F1220" s="20"/>
      <c r="G1220" s="20"/>
    </row>
    <row r="1221" spans="6:7" x14ac:dyDescent="0.25">
      <c r="F1221" s="20"/>
      <c r="G1221" s="20"/>
    </row>
    <row r="1222" spans="6:7" x14ac:dyDescent="0.25">
      <c r="F1222" s="20"/>
      <c r="G1222" s="20"/>
    </row>
    <row r="1223" spans="6:7" x14ac:dyDescent="0.25">
      <c r="F1223" s="20"/>
      <c r="G1223" s="20"/>
    </row>
    <row r="1224" spans="6:7" x14ac:dyDescent="0.25">
      <c r="F1224" s="20"/>
      <c r="G1224" s="20"/>
    </row>
    <row r="1225" spans="6:7" x14ac:dyDescent="0.25">
      <c r="F1225" s="20"/>
      <c r="G1225" s="20"/>
    </row>
    <row r="1226" spans="6:7" x14ac:dyDescent="0.25">
      <c r="F1226" s="20"/>
      <c r="G1226" s="20"/>
    </row>
    <row r="1227" spans="6:7" x14ac:dyDescent="0.25">
      <c r="F1227" s="20"/>
      <c r="G1227" s="20"/>
    </row>
    <row r="1228" spans="6:7" x14ac:dyDescent="0.25">
      <c r="F1228" s="20"/>
      <c r="G1228" s="20"/>
    </row>
    <row r="1229" spans="6:7" x14ac:dyDescent="0.25">
      <c r="F1229" s="20"/>
      <c r="G1229" s="20"/>
    </row>
    <row r="1230" spans="6:7" x14ac:dyDescent="0.25">
      <c r="F1230" s="20"/>
      <c r="G1230" s="20"/>
    </row>
    <row r="1231" spans="6:7" x14ac:dyDescent="0.25">
      <c r="F1231" s="20"/>
      <c r="G1231" s="20"/>
    </row>
    <row r="1232" spans="6:7" x14ac:dyDescent="0.25">
      <c r="F1232" s="20"/>
      <c r="G1232" s="20"/>
    </row>
    <row r="1233" spans="6:7" x14ac:dyDescent="0.25">
      <c r="F1233" s="20"/>
      <c r="G1233" s="20"/>
    </row>
    <row r="1234" spans="6:7" x14ac:dyDescent="0.25">
      <c r="F1234" s="20"/>
      <c r="G1234" s="20"/>
    </row>
    <row r="1235" spans="6:7" x14ac:dyDescent="0.25">
      <c r="F1235" s="20"/>
      <c r="G1235" s="20"/>
    </row>
    <row r="1236" spans="6:7" x14ac:dyDescent="0.25">
      <c r="F1236" s="20"/>
      <c r="G1236" s="20"/>
    </row>
    <row r="1237" spans="6:7" x14ac:dyDescent="0.25">
      <c r="F1237" s="20"/>
      <c r="G1237" s="20"/>
    </row>
    <row r="1238" spans="6:7" x14ac:dyDescent="0.25">
      <c r="F1238" s="20"/>
      <c r="G1238" s="20"/>
    </row>
    <row r="1239" spans="6:7" x14ac:dyDescent="0.25">
      <c r="F1239" s="20"/>
      <c r="G1239" s="20"/>
    </row>
    <row r="1240" spans="6:7" x14ac:dyDescent="0.25">
      <c r="F1240" s="20"/>
      <c r="G1240" s="20"/>
    </row>
    <row r="1241" spans="6:7" x14ac:dyDescent="0.25">
      <c r="F1241" s="20"/>
      <c r="G1241" s="20"/>
    </row>
    <row r="1242" spans="6:7" x14ac:dyDescent="0.25">
      <c r="F1242" s="20"/>
      <c r="G1242" s="20"/>
    </row>
    <row r="1243" spans="6:7" x14ac:dyDescent="0.25">
      <c r="F1243" s="20"/>
      <c r="G1243" s="20"/>
    </row>
    <row r="1244" spans="6:7" x14ac:dyDescent="0.25">
      <c r="F1244" s="20"/>
      <c r="G1244" s="20"/>
    </row>
    <row r="1245" spans="6:7" x14ac:dyDescent="0.25">
      <c r="F1245" s="20"/>
      <c r="G1245" s="20"/>
    </row>
    <row r="1246" spans="6:7" x14ac:dyDescent="0.25">
      <c r="F1246" s="20"/>
      <c r="G1246" s="20"/>
    </row>
    <row r="1247" spans="6:7" x14ac:dyDescent="0.25">
      <c r="F1247" s="20"/>
      <c r="G1247" s="20"/>
    </row>
    <row r="1248" spans="6:7" x14ac:dyDescent="0.25">
      <c r="F1248" s="20"/>
      <c r="G1248" s="20"/>
    </row>
    <row r="1249" spans="6:7" x14ac:dyDescent="0.25">
      <c r="F1249" s="20"/>
      <c r="G1249" s="20"/>
    </row>
    <row r="1250" spans="6:7" x14ac:dyDescent="0.25">
      <c r="F1250" s="20"/>
      <c r="G1250" s="20"/>
    </row>
    <row r="1251" spans="6:7" x14ac:dyDescent="0.25">
      <c r="F1251" s="20"/>
      <c r="G1251" s="20"/>
    </row>
    <row r="1252" spans="6:7" x14ac:dyDescent="0.25">
      <c r="F1252" s="20"/>
      <c r="G1252" s="20"/>
    </row>
    <row r="1253" spans="6:7" x14ac:dyDescent="0.25">
      <c r="F1253" s="20"/>
      <c r="G1253" s="20"/>
    </row>
    <row r="1254" spans="6:7" x14ac:dyDescent="0.25">
      <c r="F1254" s="20"/>
      <c r="G1254" s="20"/>
    </row>
    <row r="1255" spans="6:7" x14ac:dyDescent="0.25">
      <c r="F1255" s="20"/>
      <c r="G1255" s="20"/>
    </row>
    <row r="1256" spans="6:7" x14ac:dyDescent="0.25">
      <c r="F1256" s="20"/>
      <c r="G1256" s="20"/>
    </row>
    <row r="1257" spans="6:7" x14ac:dyDescent="0.25">
      <c r="F1257" s="20"/>
      <c r="G1257" s="20"/>
    </row>
    <row r="1258" spans="6:7" x14ac:dyDescent="0.25">
      <c r="F1258" s="20"/>
      <c r="G1258" s="20"/>
    </row>
    <row r="1259" spans="6:7" x14ac:dyDescent="0.25">
      <c r="F1259" s="20"/>
      <c r="G1259" s="20"/>
    </row>
    <row r="1260" spans="6:7" x14ac:dyDescent="0.25">
      <c r="F1260" s="20"/>
      <c r="G1260" s="20"/>
    </row>
    <row r="1261" spans="6:7" x14ac:dyDescent="0.25">
      <c r="F1261" s="20"/>
      <c r="G1261" s="20"/>
    </row>
    <row r="1262" spans="6:7" x14ac:dyDescent="0.25">
      <c r="F1262" s="20"/>
      <c r="G1262" s="20"/>
    </row>
    <row r="1263" spans="6:7" x14ac:dyDescent="0.25">
      <c r="F1263" s="20"/>
      <c r="G1263" s="20"/>
    </row>
    <row r="1264" spans="6:7" x14ac:dyDescent="0.25">
      <c r="F1264" s="20"/>
      <c r="G1264" s="20"/>
    </row>
    <row r="1265" spans="6:7" x14ac:dyDescent="0.25">
      <c r="F1265" s="20"/>
      <c r="G1265" s="20"/>
    </row>
    <row r="1266" spans="6:7" x14ac:dyDescent="0.25">
      <c r="F1266" s="20"/>
      <c r="G1266" s="20"/>
    </row>
    <row r="1267" spans="6:7" x14ac:dyDescent="0.25">
      <c r="F1267" s="20"/>
      <c r="G1267" s="20"/>
    </row>
    <row r="1268" spans="6:7" x14ac:dyDescent="0.25">
      <c r="F1268" s="20"/>
      <c r="G1268" s="20"/>
    </row>
    <row r="1269" spans="6:7" x14ac:dyDescent="0.25">
      <c r="F1269" s="20"/>
      <c r="G1269" s="20"/>
    </row>
    <row r="1270" spans="6:7" x14ac:dyDescent="0.25">
      <c r="F1270" s="20"/>
      <c r="G1270" s="20"/>
    </row>
    <row r="1271" spans="6:7" x14ac:dyDescent="0.25">
      <c r="F1271" s="20"/>
      <c r="G1271" s="20"/>
    </row>
    <row r="1272" spans="6:7" x14ac:dyDescent="0.25">
      <c r="F1272" s="20"/>
      <c r="G1272" s="20"/>
    </row>
    <row r="1273" spans="6:7" x14ac:dyDescent="0.25">
      <c r="F1273" s="20"/>
      <c r="G1273" s="20"/>
    </row>
    <row r="1274" spans="6:7" x14ac:dyDescent="0.25">
      <c r="F1274" s="20"/>
      <c r="G1274" s="20"/>
    </row>
    <row r="1275" spans="6:7" x14ac:dyDescent="0.25">
      <c r="F1275" s="20"/>
      <c r="G1275" s="20"/>
    </row>
    <row r="1276" spans="6:7" x14ac:dyDescent="0.25">
      <c r="F1276" s="20"/>
      <c r="G1276" s="20"/>
    </row>
    <row r="1277" spans="6:7" x14ac:dyDescent="0.25">
      <c r="F1277" s="20"/>
      <c r="G1277" s="20"/>
    </row>
    <row r="1278" spans="6:7" x14ac:dyDescent="0.25">
      <c r="F1278" s="20"/>
      <c r="G1278" s="20"/>
    </row>
    <row r="1279" spans="6:7" x14ac:dyDescent="0.25">
      <c r="F1279" s="20"/>
      <c r="G1279" s="20"/>
    </row>
    <row r="1280" spans="6:7" x14ac:dyDescent="0.25">
      <c r="F1280" s="20"/>
      <c r="G1280" s="20"/>
    </row>
    <row r="1281" spans="6:7" x14ac:dyDescent="0.25">
      <c r="F1281" s="20"/>
      <c r="G1281" s="20"/>
    </row>
    <row r="1282" spans="6:7" x14ac:dyDescent="0.25">
      <c r="F1282" s="20"/>
      <c r="G1282" s="20"/>
    </row>
    <row r="1283" spans="6:7" x14ac:dyDescent="0.25">
      <c r="F1283" s="20"/>
      <c r="G1283" s="20"/>
    </row>
    <row r="1284" spans="6:7" x14ac:dyDescent="0.25">
      <c r="F1284" s="20"/>
      <c r="G1284" s="20"/>
    </row>
    <row r="1285" spans="6:7" x14ac:dyDescent="0.25">
      <c r="F1285" s="20"/>
      <c r="G1285" s="20"/>
    </row>
    <row r="1286" spans="6:7" x14ac:dyDescent="0.25">
      <c r="F1286" s="20"/>
      <c r="G1286" s="20"/>
    </row>
    <row r="1287" spans="6:7" x14ac:dyDescent="0.25">
      <c r="F1287" s="20"/>
      <c r="G1287" s="20"/>
    </row>
    <row r="1288" spans="6:7" x14ac:dyDescent="0.25">
      <c r="F1288" s="20"/>
      <c r="G1288" s="20"/>
    </row>
    <row r="1289" spans="6:7" x14ac:dyDescent="0.25">
      <c r="F1289" s="20"/>
      <c r="G1289" s="20"/>
    </row>
    <row r="1290" spans="6:7" x14ac:dyDescent="0.25">
      <c r="F1290" s="20"/>
      <c r="G1290" s="20"/>
    </row>
    <row r="1291" spans="6:7" x14ac:dyDescent="0.25">
      <c r="F1291" s="20"/>
      <c r="G1291" s="20"/>
    </row>
    <row r="1292" spans="6:7" x14ac:dyDescent="0.25">
      <c r="F1292" s="20"/>
      <c r="G1292" s="20"/>
    </row>
    <row r="1293" spans="6:7" x14ac:dyDescent="0.25">
      <c r="F1293" s="20"/>
      <c r="G1293" s="20"/>
    </row>
    <row r="1294" spans="6:7" x14ac:dyDescent="0.25">
      <c r="F1294" s="20"/>
      <c r="G1294" s="20"/>
    </row>
    <row r="1295" spans="6:7" x14ac:dyDescent="0.25">
      <c r="F1295" s="20"/>
      <c r="G1295" s="20"/>
    </row>
    <row r="1296" spans="6:7" x14ac:dyDescent="0.25">
      <c r="F1296" s="20"/>
      <c r="G1296" s="20"/>
    </row>
    <row r="1297" spans="6:7" x14ac:dyDescent="0.25">
      <c r="F1297" s="20"/>
      <c r="G1297" s="20"/>
    </row>
    <row r="1298" spans="6:7" x14ac:dyDescent="0.25">
      <c r="F1298" s="20"/>
      <c r="G1298" s="20"/>
    </row>
    <row r="1299" spans="6:7" x14ac:dyDescent="0.25">
      <c r="F1299" s="20"/>
      <c r="G1299" s="20"/>
    </row>
    <row r="1300" spans="6:7" x14ac:dyDescent="0.25">
      <c r="F1300" s="20"/>
      <c r="G1300" s="20"/>
    </row>
    <row r="1301" spans="6:7" x14ac:dyDescent="0.25">
      <c r="F1301" s="20"/>
      <c r="G1301" s="20"/>
    </row>
    <row r="1302" spans="6:7" x14ac:dyDescent="0.25">
      <c r="F1302" s="20"/>
      <c r="G1302" s="20"/>
    </row>
    <row r="1303" spans="6:7" x14ac:dyDescent="0.25">
      <c r="F1303" s="20"/>
      <c r="G1303" s="20"/>
    </row>
    <row r="1304" spans="6:7" x14ac:dyDescent="0.25">
      <c r="F1304" s="20"/>
      <c r="G1304" s="20"/>
    </row>
    <row r="1305" spans="6:7" x14ac:dyDescent="0.25">
      <c r="F1305" s="20"/>
      <c r="G1305" s="20"/>
    </row>
    <row r="1306" spans="6:7" x14ac:dyDescent="0.25">
      <c r="F1306" s="20"/>
      <c r="G1306" s="20"/>
    </row>
    <row r="1307" spans="6:7" x14ac:dyDescent="0.25">
      <c r="F1307" s="20"/>
      <c r="G1307" s="20"/>
    </row>
    <row r="1308" spans="6:7" x14ac:dyDescent="0.25">
      <c r="F1308" s="20"/>
      <c r="G1308" s="20"/>
    </row>
    <row r="1309" spans="6:7" x14ac:dyDescent="0.25">
      <c r="F1309" s="20"/>
      <c r="G1309" s="20"/>
    </row>
    <row r="1310" spans="6:7" x14ac:dyDescent="0.25">
      <c r="F1310" s="20"/>
      <c r="G1310" s="20"/>
    </row>
    <row r="1311" spans="6:7" x14ac:dyDescent="0.25">
      <c r="F1311" s="20"/>
      <c r="G1311" s="20"/>
    </row>
    <row r="1312" spans="6:7" x14ac:dyDescent="0.25">
      <c r="F1312" s="20"/>
      <c r="G1312" s="20"/>
    </row>
    <row r="1313" spans="6:7" x14ac:dyDescent="0.25">
      <c r="F1313" s="20"/>
      <c r="G1313" s="20"/>
    </row>
    <row r="1314" spans="6:7" x14ac:dyDescent="0.25">
      <c r="F1314" s="20"/>
      <c r="G1314" s="20"/>
    </row>
    <row r="1315" spans="6:7" x14ac:dyDescent="0.25">
      <c r="F1315" s="20"/>
      <c r="G1315" s="20"/>
    </row>
    <row r="1316" spans="6:7" x14ac:dyDescent="0.25">
      <c r="F1316" s="20"/>
      <c r="G1316" s="20"/>
    </row>
    <row r="1317" spans="6:7" x14ac:dyDescent="0.25">
      <c r="F1317" s="20"/>
      <c r="G1317" s="20"/>
    </row>
    <row r="1318" spans="6:7" x14ac:dyDescent="0.25">
      <c r="F1318" s="20"/>
      <c r="G1318" s="20"/>
    </row>
    <row r="1319" spans="6:7" x14ac:dyDescent="0.25">
      <c r="F1319" s="20"/>
      <c r="G1319" s="20"/>
    </row>
    <row r="1320" spans="6:7" x14ac:dyDescent="0.25">
      <c r="F1320" s="20"/>
      <c r="G1320" s="20"/>
    </row>
    <row r="1321" spans="6:7" x14ac:dyDescent="0.25">
      <c r="F1321" s="20"/>
      <c r="G1321" s="20"/>
    </row>
    <row r="1322" spans="6:7" x14ac:dyDescent="0.25">
      <c r="F1322" s="20"/>
      <c r="G1322" s="20"/>
    </row>
    <row r="1323" spans="6:7" x14ac:dyDescent="0.25">
      <c r="F1323" s="20"/>
      <c r="G1323" s="20"/>
    </row>
    <row r="1324" spans="6:7" x14ac:dyDescent="0.25">
      <c r="F1324" s="20"/>
      <c r="G1324" s="20"/>
    </row>
    <row r="1325" spans="6:7" x14ac:dyDescent="0.25">
      <c r="F1325" s="20"/>
      <c r="G1325" s="20"/>
    </row>
    <row r="1326" spans="6:7" x14ac:dyDescent="0.25">
      <c r="F1326" s="20"/>
      <c r="G1326" s="20"/>
    </row>
    <row r="1327" spans="6:7" x14ac:dyDescent="0.25">
      <c r="F1327" s="20"/>
      <c r="G1327" s="20"/>
    </row>
    <row r="1328" spans="6:7" x14ac:dyDescent="0.25">
      <c r="F1328" s="20"/>
      <c r="G1328" s="20"/>
    </row>
    <row r="1329" spans="6:7" x14ac:dyDescent="0.25">
      <c r="F1329" s="20"/>
      <c r="G1329" s="20"/>
    </row>
    <row r="1330" spans="6:7" x14ac:dyDescent="0.25">
      <c r="F1330" s="20"/>
      <c r="G1330" s="20"/>
    </row>
    <row r="1331" spans="6:7" x14ac:dyDescent="0.25">
      <c r="F1331" s="20"/>
      <c r="G1331" s="20"/>
    </row>
    <row r="1332" spans="6:7" x14ac:dyDescent="0.25">
      <c r="F1332" s="20"/>
      <c r="G1332" s="20"/>
    </row>
    <row r="1333" spans="6:7" x14ac:dyDescent="0.25">
      <c r="F1333" s="20"/>
      <c r="G1333" s="20"/>
    </row>
    <row r="1334" spans="6:7" x14ac:dyDescent="0.25">
      <c r="F1334" s="20"/>
      <c r="G1334" s="20"/>
    </row>
    <row r="1335" spans="6:7" x14ac:dyDescent="0.25">
      <c r="F1335" s="20"/>
      <c r="G1335" s="20"/>
    </row>
    <row r="1336" spans="6:7" x14ac:dyDescent="0.25">
      <c r="F1336" s="20"/>
      <c r="G1336" s="20"/>
    </row>
    <row r="1337" spans="6:7" x14ac:dyDescent="0.25">
      <c r="F1337" s="20"/>
      <c r="G1337" s="20"/>
    </row>
    <row r="1338" spans="6:7" x14ac:dyDescent="0.25">
      <c r="F1338" s="20"/>
      <c r="G1338" s="20"/>
    </row>
    <row r="1339" spans="6:7" x14ac:dyDescent="0.25">
      <c r="F1339" s="20"/>
      <c r="G1339" s="20"/>
    </row>
    <row r="1340" spans="6:7" x14ac:dyDescent="0.25">
      <c r="F1340" s="20"/>
      <c r="G1340" s="20"/>
    </row>
    <row r="1341" spans="6:7" x14ac:dyDescent="0.25">
      <c r="F1341" s="20"/>
      <c r="G1341" s="20"/>
    </row>
    <row r="1342" spans="6:7" x14ac:dyDescent="0.25">
      <c r="F1342" s="20"/>
      <c r="G1342" s="20"/>
    </row>
    <row r="1343" spans="6:7" x14ac:dyDescent="0.25">
      <c r="F1343" s="20"/>
      <c r="G1343" s="20"/>
    </row>
    <row r="1344" spans="6:7" x14ac:dyDescent="0.25">
      <c r="F1344" s="20"/>
      <c r="G1344" s="20"/>
    </row>
    <row r="1345" spans="6:7" x14ac:dyDescent="0.25">
      <c r="F1345" s="20"/>
      <c r="G1345" s="20"/>
    </row>
    <row r="1346" spans="6:7" x14ac:dyDescent="0.25">
      <c r="F1346" s="20"/>
      <c r="G1346" s="20"/>
    </row>
    <row r="1347" spans="6:7" x14ac:dyDescent="0.25">
      <c r="F1347" s="20"/>
      <c r="G1347" s="20"/>
    </row>
    <row r="1348" spans="6:7" x14ac:dyDescent="0.25">
      <c r="F1348" s="20"/>
      <c r="G1348" s="20"/>
    </row>
    <row r="1349" spans="6:7" x14ac:dyDescent="0.25">
      <c r="F1349" s="20"/>
      <c r="G1349" s="20"/>
    </row>
    <row r="1350" spans="6:7" x14ac:dyDescent="0.25">
      <c r="F1350" s="20"/>
      <c r="G1350" s="20"/>
    </row>
    <row r="1351" spans="6:7" x14ac:dyDescent="0.25">
      <c r="F1351" s="20"/>
      <c r="G1351" s="20"/>
    </row>
    <row r="1352" spans="6:7" x14ac:dyDescent="0.25">
      <c r="F1352" s="20"/>
      <c r="G1352" s="20"/>
    </row>
    <row r="1353" spans="6:7" x14ac:dyDescent="0.25">
      <c r="F1353" s="20"/>
      <c r="G1353" s="20"/>
    </row>
    <row r="1354" spans="6:7" x14ac:dyDescent="0.25">
      <c r="F1354" s="20"/>
      <c r="G1354" s="20"/>
    </row>
    <row r="1355" spans="6:7" x14ac:dyDescent="0.25">
      <c r="F1355" s="20"/>
      <c r="G1355" s="20"/>
    </row>
    <row r="1356" spans="6:7" x14ac:dyDescent="0.25">
      <c r="F1356" s="20"/>
      <c r="G1356" s="20"/>
    </row>
    <row r="1357" spans="6:7" x14ac:dyDescent="0.25">
      <c r="F1357" s="20"/>
      <c r="G1357" s="20"/>
    </row>
    <row r="1358" spans="6:7" x14ac:dyDescent="0.25">
      <c r="F1358" s="20"/>
      <c r="G1358" s="20"/>
    </row>
    <row r="1359" spans="6:7" x14ac:dyDescent="0.25">
      <c r="F1359" s="20"/>
      <c r="G1359" s="20"/>
    </row>
    <row r="1360" spans="6:7" x14ac:dyDescent="0.25">
      <c r="F1360" s="20"/>
      <c r="G1360" s="20"/>
    </row>
    <row r="1361" spans="6:7" x14ac:dyDescent="0.25">
      <c r="F1361" s="20"/>
      <c r="G1361" s="20"/>
    </row>
    <row r="1362" spans="6:7" x14ac:dyDescent="0.25">
      <c r="F1362" s="20"/>
      <c r="G1362" s="20"/>
    </row>
    <row r="1363" spans="6:7" x14ac:dyDescent="0.25">
      <c r="F1363" s="20"/>
      <c r="G1363" s="20"/>
    </row>
    <row r="1364" spans="6:7" x14ac:dyDescent="0.25">
      <c r="F1364" s="20"/>
      <c r="G1364" s="20"/>
    </row>
    <row r="1365" spans="6:7" x14ac:dyDescent="0.25">
      <c r="F1365" s="20"/>
      <c r="G1365" s="20"/>
    </row>
    <row r="1366" spans="6:7" x14ac:dyDescent="0.25">
      <c r="F1366" s="20"/>
      <c r="G1366" s="20"/>
    </row>
    <row r="1367" spans="6:7" x14ac:dyDescent="0.25">
      <c r="F1367" s="20"/>
      <c r="G1367" s="20"/>
    </row>
    <row r="1368" spans="6:7" x14ac:dyDescent="0.25">
      <c r="F1368" s="20"/>
      <c r="G1368" s="20"/>
    </row>
    <row r="1369" spans="6:7" x14ac:dyDescent="0.25">
      <c r="F1369" s="20"/>
      <c r="G1369" s="20"/>
    </row>
    <row r="1370" spans="6:7" x14ac:dyDescent="0.25">
      <c r="F1370" s="20"/>
      <c r="G1370" s="20"/>
    </row>
    <row r="1371" spans="6:7" x14ac:dyDescent="0.25">
      <c r="F1371" s="20"/>
      <c r="G1371" s="20"/>
    </row>
    <row r="1372" spans="6:7" x14ac:dyDescent="0.25">
      <c r="F1372" s="20"/>
      <c r="G1372" s="20"/>
    </row>
    <row r="1373" spans="6:7" x14ac:dyDescent="0.25">
      <c r="F1373" s="20"/>
      <c r="G1373" s="20"/>
    </row>
    <row r="1374" spans="6:7" x14ac:dyDescent="0.25">
      <c r="F1374" s="20"/>
      <c r="G1374" s="20"/>
    </row>
    <row r="1375" spans="6:7" x14ac:dyDescent="0.25">
      <c r="F1375" s="20"/>
      <c r="G1375" s="20"/>
    </row>
    <row r="1376" spans="6:7" x14ac:dyDescent="0.25">
      <c r="F1376" s="20"/>
      <c r="G1376" s="20"/>
    </row>
    <row r="1377" spans="6:7" x14ac:dyDescent="0.25">
      <c r="F1377" s="20"/>
      <c r="G1377" s="20"/>
    </row>
    <row r="1378" spans="6:7" x14ac:dyDescent="0.25">
      <c r="F1378" s="20"/>
      <c r="G1378" s="20"/>
    </row>
    <row r="1379" spans="6:7" x14ac:dyDescent="0.25">
      <c r="F1379" s="20"/>
      <c r="G1379" s="20"/>
    </row>
    <row r="1380" spans="6:7" x14ac:dyDescent="0.25">
      <c r="F1380" s="20"/>
      <c r="G1380" s="20"/>
    </row>
    <row r="1381" spans="6:7" x14ac:dyDescent="0.25">
      <c r="F1381" s="20"/>
      <c r="G1381" s="20"/>
    </row>
    <row r="1382" spans="6:7" x14ac:dyDescent="0.25">
      <c r="F1382" s="20"/>
      <c r="G1382" s="20"/>
    </row>
    <row r="1383" spans="6:7" x14ac:dyDescent="0.25">
      <c r="F1383" s="20"/>
      <c r="G1383" s="20"/>
    </row>
    <row r="1384" spans="6:7" x14ac:dyDescent="0.25">
      <c r="F1384" s="20"/>
      <c r="G1384" s="20"/>
    </row>
    <row r="1385" spans="6:7" x14ac:dyDescent="0.25">
      <c r="F1385" s="20"/>
      <c r="G1385" s="20"/>
    </row>
    <row r="1386" spans="6:7" x14ac:dyDescent="0.25">
      <c r="F1386" s="20"/>
      <c r="G1386" s="20"/>
    </row>
    <row r="1387" spans="6:7" x14ac:dyDescent="0.25">
      <c r="F1387" s="20"/>
      <c r="G1387" s="20"/>
    </row>
    <row r="1388" spans="6:7" x14ac:dyDescent="0.25">
      <c r="F1388" s="20"/>
      <c r="G1388" s="20"/>
    </row>
    <row r="1389" spans="6:7" x14ac:dyDescent="0.25">
      <c r="F1389" s="20"/>
      <c r="G1389" s="20"/>
    </row>
    <row r="1390" spans="6:7" x14ac:dyDescent="0.25">
      <c r="F1390" s="20"/>
      <c r="G1390" s="20"/>
    </row>
    <row r="1391" spans="6:7" x14ac:dyDescent="0.25">
      <c r="F1391" s="20"/>
      <c r="G1391" s="20"/>
    </row>
    <row r="1392" spans="6:7" x14ac:dyDescent="0.25">
      <c r="F1392" s="20"/>
      <c r="G1392" s="20"/>
    </row>
    <row r="1393" spans="6:7" x14ac:dyDescent="0.25">
      <c r="F1393" s="20"/>
      <c r="G1393" s="20"/>
    </row>
    <row r="1394" spans="6:7" x14ac:dyDescent="0.25">
      <c r="F1394" s="20"/>
      <c r="G1394" s="20"/>
    </row>
    <row r="1395" spans="6:7" x14ac:dyDescent="0.25">
      <c r="F1395" s="20"/>
      <c r="G1395" s="20"/>
    </row>
    <row r="1396" spans="6:7" x14ac:dyDescent="0.25">
      <c r="F1396" s="20"/>
      <c r="G1396" s="20"/>
    </row>
    <row r="1397" spans="6:7" x14ac:dyDescent="0.25">
      <c r="F1397" s="20"/>
      <c r="G1397" s="20"/>
    </row>
    <row r="1398" spans="6:7" x14ac:dyDescent="0.25">
      <c r="F1398" s="20"/>
      <c r="G1398" s="20"/>
    </row>
    <row r="1399" spans="6:7" x14ac:dyDescent="0.25">
      <c r="F1399" s="20"/>
      <c r="G1399" s="20"/>
    </row>
    <row r="1400" spans="6:7" x14ac:dyDescent="0.25">
      <c r="F1400" s="20"/>
      <c r="G1400" s="20"/>
    </row>
    <row r="1401" spans="6:7" x14ac:dyDescent="0.25">
      <c r="F1401" s="20"/>
      <c r="G1401" s="20"/>
    </row>
    <row r="1402" spans="6:7" x14ac:dyDescent="0.25">
      <c r="F1402" s="20"/>
      <c r="G1402" s="20"/>
    </row>
    <row r="1403" spans="6:7" x14ac:dyDescent="0.25">
      <c r="F1403" s="20"/>
      <c r="G1403" s="20"/>
    </row>
    <row r="1404" spans="6:7" x14ac:dyDescent="0.25">
      <c r="F1404" s="20"/>
      <c r="G1404" s="20"/>
    </row>
    <row r="1405" spans="6:7" x14ac:dyDescent="0.25">
      <c r="F1405" s="20"/>
      <c r="G1405" s="20"/>
    </row>
    <row r="1406" spans="6:7" x14ac:dyDescent="0.25">
      <c r="F1406" s="20"/>
      <c r="G1406" s="20"/>
    </row>
    <row r="1407" spans="6:7" x14ac:dyDescent="0.25">
      <c r="F1407" s="20"/>
      <c r="G1407" s="20"/>
    </row>
    <row r="1408" spans="6:7" x14ac:dyDescent="0.25">
      <c r="F1408" s="20"/>
      <c r="G1408" s="20"/>
    </row>
    <row r="1409" spans="6:7" x14ac:dyDescent="0.25">
      <c r="F1409" s="20"/>
      <c r="G1409" s="20"/>
    </row>
    <row r="1410" spans="6:7" x14ac:dyDescent="0.25">
      <c r="F1410" s="20"/>
      <c r="G1410" s="20"/>
    </row>
    <row r="1411" spans="6:7" x14ac:dyDescent="0.25">
      <c r="F1411" s="20"/>
      <c r="G1411" s="20"/>
    </row>
    <row r="1412" spans="6:7" x14ac:dyDescent="0.25">
      <c r="F1412" s="20"/>
      <c r="G1412" s="20"/>
    </row>
    <row r="1413" spans="6:7" x14ac:dyDescent="0.25">
      <c r="F1413" s="20"/>
      <c r="G1413" s="20"/>
    </row>
    <row r="1414" spans="6:7" x14ac:dyDescent="0.25">
      <c r="F1414" s="20"/>
      <c r="G1414" s="20"/>
    </row>
    <row r="1415" spans="6:7" x14ac:dyDescent="0.25">
      <c r="F1415" s="20"/>
      <c r="G1415" s="20"/>
    </row>
    <row r="1416" spans="6:7" x14ac:dyDescent="0.25">
      <c r="F1416" s="20"/>
      <c r="G1416" s="20"/>
    </row>
    <row r="1417" spans="6:7" x14ac:dyDescent="0.25">
      <c r="F1417" s="20"/>
      <c r="G1417" s="20"/>
    </row>
    <row r="1418" spans="6:7" x14ac:dyDescent="0.25">
      <c r="F1418" s="20"/>
      <c r="G1418" s="20"/>
    </row>
    <row r="1419" spans="6:7" x14ac:dyDescent="0.25">
      <c r="F1419" s="20"/>
      <c r="G1419" s="20"/>
    </row>
    <row r="1420" spans="6:7" x14ac:dyDescent="0.25">
      <c r="F1420" s="20"/>
      <c r="G1420" s="20"/>
    </row>
    <row r="1421" spans="6:7" x14ac:dyDescent="0.25">
      <c r="F1421" s="20"/>
      <c r="G1421" s="20"/>
    </row>
    <row r="1422" spans="6:7" x14ac:dyDescent="0.25">
      <c r="F1422" s="20"/>
      <c r="G1422" s="20"/>
    </row>
    <row r="1423" spans="6:7" x14ac:dyDescent="0.25">
      <c r="F1423" s="20"/>
      <c r="G1423" s="20"/>
    </row>
    <row r="1424" spans="6:7" x14ac:dyDescent="0.25">
      <c r="F1424" s="20"/>
      <c r="G1424" s="20"/>
    </row>
    <row r="1425" spans="6:7" x14ac:dyDescent="0.25">
      <c r="F1425" s="20"/>
      <c r="G1425" s="20"/>
    </row>
    <row r="1426" spans="6:7" x14ac:dyDescent="0.25">
      <c r="F1426" s="20"/>
      <c r="G1426" s="20"/>
    </row>
    <row r="1427" spans="6:7" x14ac:dyDescent="0.25">
      <c r="F1427" s="20"/>
      <c r="G1427" s="20"/>
    </row>
    <row r="1428" spans="6:7" x14ac:dyDescent="0.25">
      <c r="F1428" s="20"/>
      <c r="G1428" s="20"/>
    </row>
    <row r="1429" spans="6:7" x14ac:dyDescent="0.25">
      <c r="F1429" s="20"/>
      <c r="G1429" s="20"/>
    </row>
    <row r="1430" spans="6:7" x14ac:dyDescent="0.25">
      <c r="F1430" s="20"/>
      <c r="G1430" s="20"/>
    </row>
    <row r="1431" spans="6:7" x14ac:dyDescent="0.25">
      <c r="F1431" s="20"/>
      <c r="G1431" s="20"/>
    </row>
    <row r="1432" spans="6:7" x14ac:dyDescent="0.25">
      <c r="F1432" s="20"/>
      <c r="G1432" s="20"/>
    </row>
    <row r="1433" spans="6:7" x14ac:dyDescent="0.25">
      <c r="F1433" s="20"/>
      <c r="G1433" s="20"/>
    </row>
    <row r="1434" spans="6:7" x14ac:dyDescent="0.25">
      <c r="F1434" s="20"/>
      <c r="G1434" s="20"/>
    </row>
    <row r="1435" spans="6:7" x14ac:dyDescent="0.25">
      <c r="F1435" s="20"/>
      <c r="G1435" s="20"/>
    </row>
    <row r="1436" spans="6:7" x14ac:dyDescent="0.25">
      <c r="F1436" s="20"/>
      <c r="G1436" s="20"/>
    </row>
    <row r="1437" spans="6:7" x14ac:dyDescent="0.25">
      <c r="F1437" s="20"/>
      <c r="G1437" s="20"/>
    </row>
    <row r="1438" spans="6:7" x14ac:dyDescent="0.25">
      <c r="F1438" s="20"/>
      <c r="G1438" s="20"/>
    </row>
    <row r="1439" spans="6:7" x14ac:dyDescent="0.25">
      <c r="F1439" s="20"/>
      <c r="G1439" s="20"/>
    </row>
    <row r="1440" spans="6:7" x14ac:dyDescent="0.25">
      <c r="F1440" s="20"/>
      <c r="G1440" s="20"/>
    </row>
    <row r="1441" spans="6:7" x14ac:dyDescent="0.25">
      <c r="F1441" s="20"/>
      <c r="G1441" s="20"/>
    </row>
    <row r="1442" spans="6:7" x14ac:dyDescent="0.25">
      <c r="F1442" s="20"/>
      <c r="G1442" s="20"/>
    </row>
    <row r="1443" spans="6:7" x14ac:dyDescent="0.25">
      <c r="F1443" s="20"/>
      <c r="G1443" s="20"/>
    </row>
    <row r="1444" spans="6:7" x14ac:dyDescent="0.25">
      <c r="F1444" s="20"/>
      <c r="G1444" s="20"/>
    </row>
    <row r="1445" spans="6:7" x14ac:dyDescent="0.25">
      <c r="F1445" s="20"/>
      <c r="G1445" s="20"/>
    </row>
    <row r="1446" spans="6:7" x14ac:dyDescent="0.25">
      <c r="F1446" s="20"/>
      <c r="G1446" s="20"/>
    </row>
    <row r="1447" spans="6:7" x14ac:dyDescent="0.25">
      <c r="F1447" s="20"/>
      <c r="G1447" s="20"/>
    </row>
    <row r="1448" spans="6:7" x14ac:dyDescent="0.25">
      <c r="F1448" s="20"/>
      <c r="G1448" s="20"/>
    </row>
    <row r="1449" spans="6:7" x14ac:dyDescent="0.25">
      <c r="F1449" s="20"/>
      <c r="G1449" s="20"/>
    </row>
    <row r="1450" spans="6:7" x14ac:dyDescent="0.25">
      <c r="F1450" s="20"/>
      <c r="G1450" s="20"/>
    </row>
    <row r="1451" spans="6:7" x14ac:dyDescent="0.25">
      <c r="F1451" s="20"/>
      <c r="G1451" s="20"/>
    </row>
    <row r="1452" spans="6:7" x14ac:dyDescent="0.25">
      <c r="F1452" s="20"/>
      <c r="G1452" s="20"/>
    </row>
    <row r="1453" spans="6:7" x14ac:dyDescent="0.25">
      <c r="F1453" s="20"/>
      <c r="G1453" s="20"/>
    </row>
    <row r="1454" spans="6:7" x14ac:dyDescent="0.25">
      <c r="F1454" s="20"/>
      <c r="G1454" s="20"/>
    </row>
    <row r="1455" spans="6:7" x14ac:dyDescent="0.25">
      <c r="F1455" s="20"/>
      <c r="G1455" s="20"/>
    </row>
    <row r="1456" spans="6:7" x14ac:dyDescent="0.25">
      <c r="F1456" s="20"/>
      <c r="G1456" s="20"/>
    </row>
    <row r="1457" spans="6:7" x14ac:dyDescent="0.25">
      <c r="F1457" s="20"/>
      <c r="G1457" s="20"/>
    </row>
    <row r="1458" spans="6:7" x14ac:dyDescent="0.25">
      <c r="F1458" s="20"/>
      <c r="G1458" s="20"/>
    </row>
    <row r="1459" spans="6:7" x14ac:dyDescent="0.25">
      <c r="F1459" s="20"/>
      <c r="G1459" s="20"/>
    </row>
    <row r="1460" spans="6:7" x14ac:dyDescent="0.25">
      <c r="F1460" s="20"/>
      <c r="G1460" s="20"/>
    </row>
    <row r="1461" spans="6:7" x14ac:dyDescent="0.25">
      <c r="F1461" s="20"/>
      <c r="G1461" s="20"/>
    </row>
    <row r="1462" spans="6:7" x14ac:dyDescent="0.25">
      <c r="F1462" s="20"/>
      <c r="G1462" s="20"/>
    </row>
    <row r="1463" spans="6:7" x14ac:dyDescent="0.25">
      <c r="F1463" s="20"/>
      <c r="G1463" s="20"/>
    </row>
    <row r="1464" spans="6:7" x14ac:dyDescent="0.25">
      <c r="F1464" s="20"/>
      <c r="G1464" s="20"/>
    </row>
    <row r="1465" spans="6:7" x14ac:dyDescent="0.25">
      <c r="F1465" s="20"/>
      <c r="G1465" s="20"/>
    </row>
    <row r="1466" spans="6:7" x14ac:dyDescent="0.25">
      <c r="F1466" s="20"/>
      <c r="G1466" s="20"/>
    </row>
    <row r="1467" spans="6:7" x14ac:dyDescent="0.25">
      <c r="F1467" s="20"/>
      <c r="G1467" s="20"/>
    </row>
    <row r="1468" spans="6:7" x14ac:dyDescent="0.25">
      <c r="F1468" s="20"/>
      <c r="G1468" s="20"/>
    </row>
    <row r="1469" spans="6:7" x14ac:dyDescent="0.25">
      <c r="F1469" s="20"/>
      <c r="G1469" s="20"/>
    </row>
    <row r="1470" spans="6:7" x14ac:dyDescent="0.25">
      <c r="F1470" s="20"/>
      <c r="G1470" s="20"/>
    </row>
    <row r="1471" spans="6:7" x14ac:dyDescent="0.25">
      <c r="F1471" s="20"/>
      <c r="G1471" s="20"/>
    </row>
    <row r="1472" spans="6:7" x14ac:dyDescent="0.25">
      <c r="F1472" s="20"/>
      <c r="G1472" s="20"/>
    </row>
    <row r="1473" spans="6:7" x14ac:dyDescent="0.25">
      <c r="F1473" s="20"/>
      <c r="G1473" s="20"/>
    </row>
    <row r="1474" spans="6:7" x14ac:dyDescent="0.25">
      <c r="F1474" s="20"/>
      <c r="G1474" s="20"/>
    </row>
    <row r="1475" spans="6:7" x14ac:dyDescent="0.25">
      <c r="F1475" s="20"/>
      <c r="G1475" s="20"/>
    </row>
    <row r="1476" spans="6:7" x14ac:dyDescent="0.25">
      <c r="F1476" s="20"/>
      <c r="G1476" s="20"/>
    </row>
    <row r="1477" spans="6:7" x14ac:dyDescent="0.25">
      <c r="F1477" s="20"/>
      <c r="G1477" s="20"/>
    </row>
    <row r="1478" spans="6:7" x14ac:dyDescent="0.25">
      <c r="F1478" s="20"/>
      <c r="G1478" s="20"/>
    </row>
    <row r="1479" spans="6:7" x14ac:dyDescent="0.25">
      <c r="F1479" s="20"/>
      <c r="G1479" s="20"/>
    </row>
    <row r="1480" spans="6:7" x14ac:dyDescent="0.25">
      <c r="F1480" s="20"/>
      <c r="G1480" s="20"/>
    </row>
    <row r="1481" spans="6:7" x14ac:dyDescent="0.25">
      <c r="F1481" s="20"/>
      <c r="G1481" s="20"/>
    </row>
    <row r="1482" spans="6:7" x14ac:dyDescent="0.25">
      <c r="F1482" s="20"/>
      <c r="G1482" s="20"/>
    </row>
    <row r="1483" spans="6:7" x14ac:dyDescent="0.25">
      <c r="F1483" s="20"/>
      <c r="G1483" s="20"/>
    </row>
    <row r="1484" spans="6:7" x14ac:dyDescent="0.25">
      <c r="F1484" s="20"/>
      <c r="G1484" s="20"/>
    </row>
    <row r="1485" spans="6:7" x14ac:dyDescent="0.25">
      <c r="F1485" s="20"/>
      <c r="G1485" s="20"/>
    </row>
    <row r="1486" spans="6:7" x14ac:dyDescent="0.25">
      <c r="F1486" s="20"/>
      <c r="G1486" s="20"/>
    </row>
    <row r="1487" spans="6:7" x14ac:dyDescent="0.25">
      <c r="F1487" s="20"/>
      <c r="G1487" s="20"/>
    </row>
    <row r="1488" spans="6:7" x14ac:dyDescent="0.25">
      <c r="F1488" s="20"/>
      <c r="G1488" s="20"/>
    </row>
    <row r="1489" spans="6:7" x14ac:dyDescent="0.25">
      <c r="F1489" s="20"/>
      <c r="G1489" s="20"/>
    </row>
    <row r="1490" spans="6:7" x14ac:dyDescent="0.25">
      <c r="F1490" s="20"/>
      <c r="G1490" s="20"/>
    </row>
    <row r="1491" spans="6:7" x14ac:dyDescent="0.25">
      <c r="F1491" s="20"/>
      <c r="G1491" s="20"/>
    </row>
    <row r="1492" spans="6:7" x14ac:dyDescent="0.25">
      <c r="F1492" s="20"/>
      <c r="G1492" s="20"/>
    </row>
    <row r="1493" spans="6:7" x14ac:dyDescent="0.25">
      <c r="F1493" s="20"/>
      <c r="G1493" s="20"/>
    </row>
    <row r="1494" spans="6:7" x14ac:dyDescent="0.25">
      <c r="F1494" s="20"/>
      <c r="G1494" s="20"/>
    </row>
    <row r="1495" spans="6:7" x14ac:dyDescent="0.25">
      <c r="F1495" s="20"/>
      <c r="G1495" s="20"/>
    </row>
    <row r="1496" spans="6:7" x14ac:dyDescent="0.25">
      <c r="F1496" s="20"/>
      <c r="G1496" s="20"/>
    </row>
    <row r="1497" spans="6:7" x14ac:dyDescent="0.25">
      <c r="F1497" s="20"/>
      <c r="G1497" s="20"/>
    </row>
    <row r="1498" spans="6:7" x14ac:dyDescent="0.25">
      <c r="F1498" s="20"/>
      <c r="G1498" s="20"/>
    </row>
    <row r="1499" spans="6:7" x14ac:dyDescent="0.25">
      <c r="F1499" s="20"/>
      <c r="G1499" s="20"/>
    </row>
    <row r="1500" spans="6:7" x14ac:dyDescent="0.25">
      <c r="F1500" s="20"/>
      <c r="G1500" s="20"/>
    </row>
    <row r="1501" spans="6:7" x14ac:dyDescent="0.25">
      <c r="F1501" s="20"/>
      <c r="G1501" s="20"/>
    </row>
    <row r="1502" spans="6:7" x14ac:dyDescent="0.25">
      <c r="F1502" s="20"/>
      <c r="G1502" s="20"/>
    </row>
    <row r="1503" spans="6:7" x14ac:dyDescent="0.25">
      <c r="F1503" s="20"/>
      <c r="G1503" s="20"/>
    </row>
    <row r="1504" spans="6:7" x14ac:dyDescent="0.25">
      <c r="F1504" s="20"/>
      <c r="G1504" s="20"/>
    </row>
    <row r="1505" spans="6:7" x14ac:dyDescent="0.25">
      <c r="F1505" s="20"/>
      <c r="G1505" s="20"/>
    </row>
    <row r="1506" spans="6:7" x14ac:dyDescent="0.25">
      <c r="F1506" s="20"/>
      <c r="G1506" s="20"/>
    </row>
    <row r="1507" spans="6:7" x14ac:dyDescent="0.25">
      <c r="F1507" s="20"/>
      <c r="G1507" s="20"/>
    </row>
    <row r="1508" spans="6:7" x14ac:dyDescent="0.25">
      <c r="F1508" s="20"/>
      <c r="G1508" s="20"/>
    </row>
    <row r="1509" spans="6:7" x14ac:dyDescent="0.25">
      <c r="F1509" s="20"/>
      <c r="G1509" s="20"/>
    </row>
    <row r="1510" spans="6:7" x14ac:dyDescent="0.25">
      <c r="F1510" s="20"/>
      <c r="G1510" s="20"/>
    </row>
    <row r="1511" spans="6:7" x14ac:dyDescent="0.25">
      <c r="F1511" s="20"/>
      <c r="G1511" s="20"/>
    </row>
    <row r="1512" spans="6:7" x14ac:dyDescent="0.25">
      <c r="F1512" s="20"/>
      <c r="G1512" s="20"/>
    </row>
    <row r="1513" spans="6:7" x14ac:dyDescent="0.25">
      <c r="F1513" s="20"/>
      <c r="G1513" s="20"/>
    </row>
    <row r="1514" spans="6:7" x14ac:dyDescent="0.25">
      <c r="F1514" s="20"/>
      <c r="G1514" s="20"/>
    </row>
    <row r="1515" spans="6:7" x14ac:dyDescent="0.25">
      <c r="F1515" s="20"/>
      <c r="G1515" s="20"/>
    </row>
    <row r="1516" spans="6:7" x14ac:dyDescent="0.25">
      <c r="F1516" s="20"/>
      <c r="G1516" s="20"/>
    </row>
    <row r="1517" spans="6:7" x14ac:dyDescent="0.25">
      <c r="F1517" s="20"/>
      <c r="G1517" s="20"/>
    </row>
    <row r="1518" spans="6:7" x14ac:dyDescent="0.25">
      <c r="F1518" s="20"/>
      <c r="G1518" s="20"/>
    </row>
    <row r="1519" spans="6:7" x14ac:dyDescent="0.25">
      <c r="F1519" s="20"/>
      <c r="G1519" s="20"/>
    </row>
    <row r="1520" spans="6:7" x14ac:dyDescent="0.25">
      <c r="F1520" s="20"/>
      <c r="G1520" s="20"/>
    </row>
    <row r="1521" spans="6:7" x14ac:dyDescent="0.25">
      <c r="F1521" s="20"/>
      <c r="G1521" s="20"/>
    </row>
    <row r="1522" spans="6:7" x14ac:dyDescent="0.25">
      <c r="F1522" s="20"/>
      <c r="G1522" s="20"/>
    </row>
    <row r="1523" spans="6:7" x14ac:dyDescent="0.25">
      <c r="F1523" s="20"/>
      <c r="G1523" s="20"/>
    </row>
    <row r="1524" spans="6:7" x14ac:dyDescent="0.25">
      <c r="F1524" s="20"/>
      <c r="G1524" s="20"/>
    </row>
    <row r="1525" spans="6:7" x14ac:dyDescent="0.25">
      <c r="F1525" s="20"/>
      <c r="G1525" s="20"/>
    </row>
    <row r="1526" spans="6:7" x14ac:dyDescent="0.25">
      <c r="F1526" s="20"/>
      <c r="G1526" s="20"/>
    </row>
    <row r="1527" spans="6:7" x14ac:dyDescent="0.25">
      <c r="F1527" s="20"/>
      <c r="G1527" s="20"/>
    </row>
    <row r="1528" spans="6:7" x14ac:dyDescent="0.25">
      <c r="F1528" s="20"/>
      <c r="G1528" s="20"/>
    </row>
    <row r="1529" spans="6:7" x14ac:dyDescent="0.25">
      <c r="F1529" s="20"/>
      <c r="G1529" s="20"/>
    </row>
    <row r="1530" spans="6:7" x14ac:dyDescent="0.25">
      <c r="F1530" s="20"/>
      <c r="G1530" s="20"/>
    </row>
    <row r="1531" spans="6:7" x14ac:dyDescent="0.25">
      <c r="F1531" s="20"/>
      <c r="G1531" s="20"/>
    </row>
    <row r="1532" spans="6:7" x14ac:dyDescent="0.25">
      <c r="F1532" s="20"/>
      <c r="G1532" s="20"/>
    </row>
    <row r="1533" spans="6:7" x14ac:dyDescent="0.25">
      <c r="F1533" s="20"/>
      <c r="G1533" s="20"/>
    </row>
    <row r="1534" spans="6:7" x14ac:dyDescent="0.25">
      <c r="F1534" s="20"/>
      <c r="G1534" s="20"/>
    </row>
    <row r="1535" spans="6:7" x14ac:dyDescent="0.25">
      <c r="F1535" s="20"/>
      <c r="G1535" s="20"/>
    </row>
    <row r="1536" spans="6:7" x14ac:dyDescent="0.25">
      <c r="F1536" s="20"/>
      <c r="G1536" s="20"/>
    </row>
    <row r="1537" spans="6:7" x14ac:dyDescent="0.25">
      <c r="F1537" s="20"/>
      <c r="G1537" s="20"/>
    </row>
    <row r="1538" spans="6:7" x14ac:dyDescent="0.25">
      <c r="F1538" s="20"/>
      <c r="G1538" s="20"/>
    </row>
    <row r="1539" spans="6:7" x14ac:dyDescent="0.25">
      <c r="F1539" s="20"/>
      <c r="G1539" s="20"/>
    </row>
    <row r="1540" spans="6:7" x14ac:dyDescent="0.25">
      <c r="F1540" s="20"/>
      <c r="G1540" s="20"/>
    </row>
    <row r="1541" spans="6:7" x14ac:dyDescent="0.25">
      <c r="F1541" s="20"/>
      <c r="G1541" s="20"/>
    </row>
    <row r="1542" spans="6:7" x14ac:dyDescent="0.25">
      <c r="F1542" s="20"/>
      <c r="G1542" s="20"/>
    </row>
    <row r="1543" spans="6:7" x14ac:dyDescent="0.25">
      <c r="F1543" s="20"/>
      <c r="G1543" s="20"/>
    </row>
    <row r="1544" spans="6:7" x14ac:dyDescent="0.25">
      <c r="F1544" s="20"/>
      <c r="G1544" s="20"/>
    </row>
    <row r="1545" spans="6:7" x14ac:dyDescent="0.25">
      <c r="F1545" s="20"/>
      <c r="G1545" s="20"/>
    </row>
    <row r="1546" spans="6:7" x14ac:dyDescent="0.25">
      <c r="F1546" s="20"/>
      <c r="G1546" s="20"/>
    </row>
    <row r="1547" spans="6:7" x14ac:dyDescent="0.25">
      <c r="F1547" s="20"/>
      <c r="G1547" s="20"/>
    </row>
    <row r="1548" spans="6:7" x14ac:dyDescent="0.25">
      <c r="F1548" s="20"/>
      <c r="G1548" s="20"/>
    </row>
    <row r="1549" spans="6:7" x14ac:dyDescent="0.25">
      <c r="F1549" s="20"/>
      <c r="G1549" s="20"/>
    </row>
    <row r="1550" spans="6:7" x14ac:dyDescent="0.25">
      <c r="F1550" s="20"/>
      <c r="G1550" s="20"/>
    </row>
    <row r="1551" spans="6:7" x14ac:dyDescent="0.25">
      <c r="F1551" s="20"/>
      <c r="G1551" s="20"/>
    </row>
    <row r="1552" spans="6:7" x14ac:dyDescent="0.25">
      <c r="F1552" s="20"/>
      <c r="G1552" s="20"/>
    </row>
    <row r="1553" spans="6:7" x14ac:dyDescent="0.25">
      <c r="F1553" s="20"/>
      <c r="G1553" s="20"/>
    </row>
    <row r="1554" spans="6:7" x14ac:dyDescent="0.25">
      <c r="F1554" s="20"/>
      <c r="G1554" s="20"/>
    </row>
    <row r="1555" spans="6:7" x14ac:dyDescent="0.25">
      <c r="F1555" s="20"/>
      <c r="G1555" s="20"/>
    </row>
    <row r="1556" spans="6:7" x14ac:dyDescent="0.25">
      <c r="F1556" s="20"/>
      <c r="G1556" s="20"/>
    </row>
    <row r="1557" spans="6:7" x14ac:dyDescent="0.25">
      <c r="F1557" s="20"/>
      <c r="G1557" s="20"/>
    </row>
    <row r="1558" spans="6:7" x14ac:dyDescent="0.25">
      <c r="F1558" s="20"/>
      <c r="G1558" s="20"/>
    </row>
    <row r="1559" spans="6:7" x14ac:dyDescent="0.25">
      <c r="F1559" s="20"/>
      <c r="G1559" s="20"/>
    </row>
    <row r="1560" spans="6:7" x14ac:dyDescent="0.25">
      <c r="F1560" s="20"/>
      <c r="G1560" s="20"/>
    </row>
    <row r="1561" spans="6:7" x14ac:dyDescent="0.25">
      <c r="F1561" s="20"/>
      <c r="G1561" s="20"/>
    </row>
    <row r="1562" spans="6:7" x14ac:dyDescent="0.25">
      <c r="F1562" s="20"/>
      <c r="G1562" s="20"/>
    </row>
    <row r="1563" spans="6:7" x14ac:dyDescent="0.25">
      <c r="F1563" s="20"/>
      <c r="G1563" s="20"/>
    </row>
    <row r="1564" spans="6:7" x14ac:dyDescent="0.25">
      <c r="F1564" s="20"/>
      <c r="G1564" s="20"/>
    </row>
    <row r="1565" spans="6:7" x14ac:dyDescent="0.25">
      <c r="F1565" s="20"/>
      <c r="G1565" s="20"/>
    </row>
    <row r="1566" spans="6:7" x14ac:dyDescent="0.25">
      <c r="F1566" s="20"/>
      <c r="G1566" s="20"/>
    </row>
    <row r="1567" spans="6:7" x14ac:dyDescent="0.25">
      <c r="F1567" s="20"/>
      <c r="G1567" s="20"/>
    </row>
    <row r="1568" spans="6:7" x14ac:dyDescent="0.25">
      <c r="F1568" s="20"/>
      <c r="G1568" s="20"/>
    </row>
    <row r="1569" spans="6:7" x14ac:dyDescent="0.25">
      <c r="F1569" s="20"/>
      <c r="G1569" s="20"/>
    </row>
    <row r="1570" spans="6:7" x14ac:dyDescent="0.25">
      <c r="F1570" s="20"/>
      <c r="G1570" s="20"/>
    </row>
    <row r="1571" spans="6:7" x14ac:dyDescent="0.25">
      <c r="F1571" s="20"/>
      <c r="G1571" s="20"/>
    </row>
    <row r="1572" spans="6:7" x14ac:dyDescent="0.25">
      <c r="F1572" s="20"/>
      <c r="G1572" s="20"/>
    </row>
    <row r="1573" spans="6:7" x14ac:dyDescent="0.25">
      <c r="F1573" s="20"/>
      <c r="G1573" s="20"/>
    </row>
    <row r="1574" spans="6:7" x14ac:dyDescent="0.25">
      <c r="F1574" s="20"/>
      <c r="G1574" s="20"/>
    </row>
    <row r="1575" spans="6:7" x14ac:dyDescent="0.25">
      <c r="F1575" s="20"/>
      <c r="G1575" s="20"/>
    </row>
    <row r="1576" spans="6:7" x14ac:dyDescent="0.25">
      <c r="F1576" s="20"/>
      <c r="G1576" s="20"/>
    </row>
    <row r="1577" spans="6:7" x14ac:dyDescent="0.25">
      <c r="F1577" s="20"/>
      <c r="G1577" s="20"/>
    </row>
    <row r="1578" spans="6:7" x14ac:dyDescent="0.25">
      <c r="F1578" s="20"/>
      <c r="G1578" s="20"/>
    </row>
    <row r="1579" spans="6:7" x14ac:dyDescent="0.25">
      <c r="F1579" s="20"/>
      <c r="G1579" s="20"/>
    </row>
    <row r="1580" spans="6:7" x14ac:dyDescent="0.25">
      <c r="F1580" s="20"/>
      <c r="G1580" s="20"/>
    </row>
    <row r="1581" spans="6:7" x14ac:dyDescent="0.25">
      <c r="F1581" s="20"/>
      <c r="G1581" s="20"/>
    </row>
    <row r="1582" spans="6:7" x14ac:dyDescent="0.25">
      <c r="F1582" s="20"/>
      <c r="G1582" s="20"/>
    </row>
    <row r="1583" spans="6:7" x14ac:dyDescent="0.25">
      <c r="F1583" s="20"/>
      <c r="G1583" s="20"/>
    </row>
    <row r="1584" spans="6:7" x14ac:dyDescent="0.25">
      <c r="F1584" s="20"/>
      <c r="G1584" s="20"/>
    </row>
    <row r="1585" spans="6:7" x14ac:dyDescent="0.25">
      <c r="F1585" s="20"/>
      <c r="G1585" s="20"/>
    </row>
    <row r="1586" spans="6:7" x14ac:dyDescent="0.25">
      <c r="F1586" s="20"/>
      <c r="G1586" s="20"/>
    </row>
    <row r="1587" spans="6:7" x14ac:dyDescent="0.25">
      <c r="F1587" s="20"/>
      <c r="G1587" s="20"/>
    </row>
    <row r="1588" spans="6:7" x14ac:dyDescent="0.25">
      <c r="F1588" s="20"/>
      <c r="G1588" s="20"/>
    </row>
    <row r="1589" spans="6:7" x14ac:dyDescent="0.25">
      <c r="F1589" s="20"/>
      <c r="G1589" s="20"/>
    </row>
    <row r="1590" spans="6:7" x14ac:dyDescent="0.25">
      <c r="F1590" s="20"/>
      <c r="G1590" s="20"/>
    </row>
    <row r="1591" spans="6:7" x14ac:dyDescent="0.25">
      <c r="F1591" s="20"/>
      <c r="G1591" s="20"/>
    </row>
    <row r="1592" spans="6:7" x14ac:dyDescent="0.25">
      <c r="F1592" s="20"/>
      <c r="G1592" s="20"/>
    </row>
    <row r="1593" spans="6:7" x14ac:dyDescent="0.25">
      <c r="F1593" s="20"/>
      <c r="G1593" s="20"/>
    </row>
    <row r="1594" spans="6:7" x14ac:dyDescent="0.25">
      <c r="F1594" s="20"/>
      <c r="G1594" s="20"/>
    </row>
    <row r="1595" spans="6:7" x14ac:dyDescent="0.25">
      <c r="F1595" s="20"/>
      <c r="G1595" s="20"/>
    </row>
    <row r="1596" spans="6:7" x14ac:dyDescent="0.25">
      <c r="F1596" s="20"/>
      <c r="G1596" s="20"/>
    </row>
    <row r="1597" spans="6:7" x14ac:dyDescent="0.25">
      <c r="F1597" s="20"/>
      <c r="G1597" s="20"/>
    </row>
    <row r="1598" spans="6:7" x14ac:dyDescent="0.25">
      <c r="F1598" s="20"/>
      <c r="G1598" s="20"/>
    </row>
    <row r="1599" spans="6:7" x14ac:dyDescent="0.25">
      <c r="F1599" s="20"/>
      <c r="G1599" s="20"/>
    </row>
    <row r="1600" spans="6:7" x14ac:dyDescent="0.25">
      <c r="F1600" s="20"/>
      <c r="G1600" s="20"/>
    </row>
    <row r="1601" spans="6:7" x14ac:dyDescent="0.25">
      <c r="F1601" s="20"/>
      <c r="G1601" s="20"/>
    </row>
    <row r="1602" spans="6:7" x14ac:dyDescent="0.25">
      <c r="F1602" s="20"/>
      <c r="G1602" s="20"/>
    </row>
    <row r="1603" spans="6:7" x14ac:dyDescent="0.25">
      <c r="F1603" s="20"/>
      <c r="G1603" s="20"/>
    </row>
    <row r="1604" spans="6:7" x14ac:dyDescent="0.25">
      <c r="F1604" s="20"/>
      <c r="G1604" s="20"/>
    </row>
    <row r="1605" spans="6:7" x14ac:dyDescent="0.25">
      <c r="F1605" s="20"/>
      <c r="G1605" s="20"/>
    </row>
    <row r="1606" spans="6:7" x14ac:dyDescent="0.25">
      <c r="F1606" s="20"/>
      <c r="G1606" s="20"/>
    </row>
    <row r="1607" spans="6:7" x14ac:dyDescent="0.25">
      <c r="F1607" s="20"/>
      <c r="G1607" s="20"/>
    </row>
    <row r="1608" spans="6:7" x14ac:dyDescent="0.25">
      <c r="F1608" s="20"/>
      <c r="G1608" s="20"/>
    </row>
    <row r="1609" spans="6:7" x14ac:dyDescent="0.25">
      <c r="F1609" s="20"/>
      <c r="G1609" s="20"/>
    </row>
    <row r="1610" spans="6:7" x14ac:dyDescent="0.25">
      <c r="F1610" s="20"/>
      <c r="G1610" s="20"/>
    </row>
    <row r="1611" spans="6:7" x14ac:dyDescent="0.25">
      <c r="F1611" s="20"/>
      <c r="G1611" s="20"/>
    </row>
    <row r="1612" spans="6:7" x14ac:dyDescent="0.25">
      <c r="F1612" s="20"/>
      <c r="G1612" s="20"/>
    </row>
    <row r="1613" spans="6:7" x14ac:dyDescent="0.25">
      <c r="F1613" s="20"/>
      <c r="G1613" s="20"/>
    </row>
    <row r="1614" spans="6:7" x14ac:dyDescent="0.25">
      <c r="F1614" s="20"/>
      <c r="G1614" s="20"/>
    </row>
    <row r="1615" spans="6:7" x14ac:dyDescent="0.25">
      <c r="F1615" s="20"/>
      <c r="G1615" s="20"/>
    </row>
    <row r="1616" spans="6:7" x14ac:dyDescent="0.25">
      <c r="F1616" s="20"/>
      <c r="G1616" s="20"/>
    </row>
    <row r="1617" spans="6:7" x14ac:dyDescent="0.25">
      <c r="F1617" s="20"/>
      <c r="G1617" s="20"/>
    </row>
    <row r="1618" spans="6:7" x14ac:dyDescent="0.25">
      <c r="F1618" s="20"/>
      <c r="G1618" s="20"/>
    </row>
    <row r="1619" spans="6:7" x14ac:dyDescent="0.25">
      <c r="F1619" s="20"/>
      <c r="G1619" s="20"/>
    </row>
    <row r="1620" spans="6:7" x14ac:dyDescent="0.25">
      <c r="F1620" s="20"/>
      <c r="G1620" s="20"/>
    </row>
    <row r="1621" spans="6:7" x14ac:dyDescent="0.25">
      <c r="F1621" s="20"/>
      <c r="G1621" s="20"/>
    </row>
    <row r="1622" spans="6:7" x14ac:dyDescent="0.25">
      <c r="F1622" s="20"/>
      <c r="G1622" s="20"/>
    </row>
    <row r="1623" spans="6:7" x14ac:dyDescent="0.25">
      <c r="F1623" s="20"/>
      <c r="G1623" s="20"/>
    </row>
    <row r="1624" spans="6:7" x14ac:dyDescent="0.25">
      <c r="F1624" s="20"/>
      <c r="G1624" s="20"/>
    </row>
    <row r="1625" spans="6:7" x14ac:dyDescent="0.25">
      <c r="F1625" s="20"/>
      <c r="G1625" s="20"/>
    </row>
    <row r="1626" spans="6:7" x14ac:dyDescent="0.25">
      <c r="F1626" s="20"/>
      <c r="G1626" s="20"/>
    </row>
    <row r="1627" spans="6:7" x14ac:dyDescent="0.25">
      <c r="F1627" s="20"/>
      <c r="G1627" s="20"/>
    </row>
    <row r="1628" spans="6:7" x14ac:dyDescent="0.25">
      <c r="F1628" s="20"/>
      <c r="G1628" s="20"/>
    </row>
    <row r="1629" spans="6:7" x14ac:dyDescent="0.25">
      <c r="F1629" s="20"/>
      <c r="G1629" s="20"/>
    </row>
    <row r="1630" spans="6:7" x14ac:dyDescent="0.25">
      <c r="F1630" s="20"/>
      <c r="G1630" s="20"/>
    </row>
    <row r="1631" spans="6:7" x14ac:dyDescent="0.25">
      <c r="F1631" s="20"/>
      <c r="G1631" s="20"/>
    </row>
    <row r="1632" spans="6:7" x14ac:dyDescent="0.25">
      <c r="F1632" s="20"/>
      <c r="G1632" s="20"/>
    </row>
    <row r="1633" spans="6:7" x14ac:dyDescent="0.25">
      <c r="F1633" s="20"/>
      <c r="G1633" s="20"/>
    </row>
    <row r="1634" spans="6:7" x14ac:dyDescent="0.25">
      <c r="F1634" s="20"/>
      <c r="G1634" s="20"/>
    </row>
    <row r="1635" spans="6:7" x14ac:dyDescent="0.25">
      <c r="F1635" s="20"/>
      <c r="G1635" s="20"/>
    </row>
    <row r="1636" spans="6:7" x14ac:dyDescent="0.25">
      <c r="F1636" s="20"/>
      <c r="G1636" s="20"/>
    </row>
    <row r="1637" spans="6:7" x14ac:dyDescent="0.25">
      <c r="F1637" s="20"/>
      <c r="G1637" s="20"/>
    </row>
    <row r="1638" spans="6:7" x14ac:dyDescent="0.25">
      <c r="F1638" s="20"/>
      <c r="G1638" s="20"/>
    </row>
    <row r="1639" spans="6:7" x14ac:dyDescent="0.25">
      <c r="F1639" s="20"/>
      <c r="G1639" s="20"/>
    </row>
    <row r="1640" spans="6:7" x14ac:dyDescent="0.25">
      <c r="F1640" s="20"/>
      <c r="G1640" s="20"/>
    </row>
    <row r="1641" spans="6:7" x14ac:dyDescent="0.25">
      <c r="F1641" s="20"/>
      <c r="G1641" s="20"/>
    </row>
    <row r="1642" spans="6:7" x14ac:dyDescent="0.25">
      <c r="F1642" s="20"/>
      <c r="G1642" s="20"/>
    </row>
    <row r="1643" spans="6:7" x14ac:dyDescent="0.25">
      <c r="F1643" s="20"/>
      <c r="G1643" s="20"/>
    </row>
    <row r="1644" spans="6:7" x14ac:dyDescent="0.25">
      <c r="F1644" s="20"/>
      <c r="G1644" s="20"/>
    </row>
    <row r="1645" spans="6:7" x14ac:dyDescent="0.25">
      <c r="F1645" s="20"/>
      <c r="G1645" s="20"/>
    </row>
    <row r="1646" spans="6:7" x14ac:dyDescent="0.25">
      <c r="F1646" s="20"/>
      <c r="G1646" s="20"/>
    </row>
    <row r="1647" spans="6:7" x14ac:dyDescent="0.25">
      <c r="F1647" s="20"/>
      <c r="G1647" s="20"/>
    </row>
    <row r="1648" spans="6:7" x14ac:dyDescent="0.25">
      <c r="F1648" s="20"/>
      <c r="G1648" s="20"/>
    </row>
    <row r="1649" spans="6:7" x14ac:dyDescent="0.25">
      <c r="F1649" s="20"/>
      <c r="G1649" s="20"/>
    </row>
    <row r="1650" spans="6:7" x14ac:dyDescent="0.25">
      <c r="F1650" s="20"/>
      <c r="G1650" s="20"/>
    </row>
    <row r="1651" spans="6:7" x14ac:dyDescent="0.25">
      <c r="F1651" s="20"/>
      <c r="G1651" s="20"/>
    </row>
    <row r="1652" spans="6:7" x14ac:dyDescent="0.25">
      <c r="F1652" s="20"/>
      <c r="G1652" s="20"/>
    </row>
    <row r="1653" spans="6:7" x14ac:dyDescent="0.25">
      <c r="F1653" s="20"/>
      <c r="G1653" s="20"/>
    </row>
    <row r="1654" spans="6:7" x14ac:dyDescent="0.25">
      <c r="F1654" s="20"/>
      <c r="G1654" s="20"/>
    </row>
    <row r="1655" spans="6:7" x14ac:dyDescent="0.25">
      <c r="F1655" s="20"/>
      <c r="G1655" s="20"/>
    </row>
    <row r="1656" spans="6:7" x14ac:dyDescent="0.25">
      <c r="F1656" s="20"/>
      <c r="G1656" s="20"/>
    </row>
    <row r="1657" spans="6:7" x14ac:dyDescent="0.25">
      <c r="F1657" s="20"/>
      <c r="G1657" s="20"/>
    </row>
    <row r="1658" spans="6:7" x14ac:dyDescent="0.25">
      <c r="F1658" s="20"/>
      <c r="G1658" s="20"/>
    </row>
    <row r="1659" spans="6:7" x14ac:dyDescent="0.25">
      <c r="F1659" s="20"/>
      <c r="G1659" s="20"/>
    </row>
    <row r="1660" spans="6:7" x14ac:dyDescent="0.25">
      <c r="F1660" s="20"/>
      <c r="G1660" s="20"/>
    </row>
    <row r="1661" spans="6:7" x14ac:dyDescent="0.25">
      <c r="F1661" s="20"/>
      <c r="G1661" s="20"/>
    </row>
    <row r="1662" spans="6:7" x14ac:dyDescent="0.25">
      <c r="F1662" s="20"/>
      <c r="G1662" s="20"/>
    </row>
    <row r="1663" spans="6:7" x14ac:dyDescent="0.25">
      <c r="F1663" s="20"/>
      <c r="G1663" s="20"/>
    </row>
    <row r="1664" spans="6:7" x14ac:dyDescent="0.25">
      <c r="F1664" s="20"/>
      <c r="G1664" s="20"/>
    </row>
    <row r="1665" spans="6:7" x14ac:dyDescent="0.25">
      <c r="F1665" s="20"/>
      <c r="G1665" s="20"/>
    </row>
    <row r="1666" spans="6:7" x14ac:dyDescent="0.25">
      <c r="F1666" s="20"/>
      <c r="G1666" s="20"/>
    </row>
    <row r="1667" spans="6:7" x14ac:dyDescent="0.25">
      <c r="F1667" s="20"/>
      <c r="G1667" s="20"/>
    </row>
    <row r="1668" spans="6:7" x14ac:dyDescent="0.25">
      <c r="F1668" s="20"/>
      <c r="G1668" s="20"/>
    </row>
    <row r="1669" spans="6:7" x14ac:dyDescent="0.25">
      <c r="F1669" s="20"/>
      <c r="G1669" s="20"/>
    </row>
    <row r="1670" spans="6:7" x14ac:dyDescent="0.25">
      <c r="F1670" s="20"/>
      <c r="G1670" s="20"/>
    </row>
    <row r="1671" spans="6:7" x14ac:dyDescent="0.25">
      <c r="F1671" s="20"/>
      <c r="G1671" s="20"/>
    </row>
    <row r="1672" spans="6:7" x14ac:dyDescent="0.25">
      <c r="F1672" s="20"/>
      <c r="G1672" s="20"/>
    </row>
    <row r="1673" spans="6:7" x14ac:dyDescent="0.25">
      <c r="F1673" s="20"/>
      <c r="G1673" s="20"/>
    </row>
    <row r="1674" spans="6:7" x14ac:dyDescent="0.25">
      <c r="F1674" s="20"/>
      <c r="G1674" s="20"/>
    </row>
    <row r="1675" spans="6:7" x14ac:dyDescent="0.25">
      <c r="F1675" s="20"/>
      <c r="G1675" s="20"/>
    </row>
    <row r="1676" spans="6:7" x14ac:dyDescent="0.25">
      <c r="F1676" s="20"/>
      <c r="G1676" s="20"/>
    </row>
    <row r="1677" spans="6:7" x14ac:dyDescent="0.25">
      <c r="F1677" s="20"/>
      <c r="G1677" s="20"/>
    </row>
    <row r="1678" spans="6:7" x14ac:dyDescent="0.25">
      <c r="F1678" s="20"/>
      <c r="G1678" s="20"/>
    </row>
    <row r="1679" spans="6:7" x14ac:dyDescent="0.25">
      <c r="F1679" s="20"/>
      <c r="G1679" s="20"/>
    </row>
    <row r="1680" spans="6:7" x14ac:dyDescent="0.25">
      <c r="F1680" s="20"/>
      <c r="G1680" s="20"/>
    </row>
    <row r="1681" spans="6:7" x14ac:dyDescent="0.25">
      <c r="F1681" s="20"/>
      <c r="G1681" s="20"/>
    </row>
    <row r="1682" spans="6:7" x14ac:dyDescent="0.25">
      <c r="F1682" s="20"/>
      <c r="G1682" s="20"/>
    </row>
    <row r="1683" spans="6:7" x14ac:dyDescent="0.25">
      <c r="F1683" s="20"/>
      <c r="G1683" s="20"/>
    </row>
    <row r="1684" spans="6:7" x14ac:dyDescent="0.25">
      <c r="F1684" s="20"/>
      <c r="G1684" s="20"/>
    </row>
    <row r="1685" spans="6:7" x14ac:dyDescent="0.25">
      <c r="F1685" s="20"/>
      <c r="G1685" s="20"/>
    </row>
    <row r="1686" spans="6:7" x14ac:dyDescent="0.25">
      <c r="F1686" s="20"/>
      <c r="G1686" s="20"/>
    </row>
    <row r="1687" spans="6:7" x14ac:dyDescent="0.25">
      <c r="F1687" s="20"/>
      <c r="G1687" s="20"/>
    </row>
    <row r="1688" spans="6:7" x14ac:dyDescent="0.25">
      <c r="F1688" s="20"/>
      <c r="G1688" s="20"/>
    </row>
    <row r="1689" spans="6:7" x14ac:dyDescent="0.25">
      <c r="F1689" s="20"/>
      <c r="G1689" s="20"/>
    </row>
    <row r="1690" spans="6:7" x14ac:dyDescent="0.25">
      <c r="F1690" s="20"/>
      <c r="G1690" s="20"/>
    </row>
    <row r="1691" spans="6:7" x14ac:dyDescent="0.25">
      <c r="F1691" s="20"/>
      <c r="G1691" s="20"/>
    </row>
    <row r="1692" spans="6:7" x14ac:dyDescent="0.25">
      <c r="F1692" s="20"/>
      <c r="G1692" s="20"/>
    </row>
    <row r="1693" spans="6:7" x14ac:dyDescent="0.25">
      <c r="F1693" s="20"/>
      <c r="G1693" s="20"/>
    </row>
    <row r="1694" spans="6:7" x14ac:dyDescent="0.25">
      <c r="F1694" s="20"/>
      <c r="G1694" s="20"/>
    </row>
    <row r="1695" spans="6:7" x14ac:dyDescent="0.25">
      <c r="F1695" s="20"/>
      <c r="G1695" s="20"/>
    </row>
    <row r="1696" spans="6:7" x14ac:dyDescent="0.25">
      <c r="F1696" s="20"/>
      <c r="G1696" s="20"/>
    </row>
    <row r="1697" spans="6:7" x14ac:dyDescent="0.25">
      <c r="F1697" s="20"/>
      <c r="G1697" s="20"/>
    </row>
    <row r="1698" spans="6:7" x14ac:dyDescent="0.25">
      <c r="F1698" s="20"/>
      <c r="G1698" s="20"/>
    </row>
    <row r="1699" spans="6:7" x14ac:dyDescent="0.25">
      <c r="F1699" s="20"/>
      <c r="G1699" s="20"/>
    </row>
    <row r="1700" spans="6:7" x14ac:dyDescent="0.25">
      <c r="F1700" s="20"/>
      <c r="G1700" s="20"/>
    </row>
    <row r="1701" spans="6:7" x14ac:dyDescent="0.25">
      <c r="F1701" s="20"/>
      <c r="G1701" s="20"/>
    </row>
    <row r="1702" spans="6:7" x14ac:dyDescent="0.25">
      <c r="F1702" s="20"/>
      <c r="G1702" s="20"/>
    </row>
    <row r="1703" spans="6:7" x14ac:dyDescent="0.25">
      <c r="F1703" s="20"/>
      <c r="G1703" s="20"/>
    </row>
    <row r="1704" spans="6:7" x14ac:dyDescent="0.25">
      <c r="F1704" s="20"/>
      <c r="G1704" s="20"/>
    </row>
    <row r="1705" spans="6:7" x14ac:dyDescent="0.25">
      <c r="F1705" s="20"/>
      <c r="G1705" s="20"/>
    </row>
    <row r="1706" spans="6:7" x14ac:dyDescent="0.25">
      <c r="F1706" s="20"/>
      <c r="G1706" s="20"/>
    </row>
    <row r="1707" spans="6:7" x14ac:dyDescent="0.25">
      <c r="F1707" s="20"/>
      <c r="G1707" s="20"/>
    </row>
    <row r="1708" spans="6:7" x14ac:dyDescent="0.25">
      <c r="F1708" s="20"/>
      <c r="G1708" s="20"/>
    </row>
    <row r="1709" spans="6:7" x14ac:dyDescent="0.25">
      <c r="F1709" s="20"/>
      <c r="G1709" s="20"/>
    </row>
    <row r="1710" spans="6:7" x14ac:dyDescent="0.25">
      <c r="F1710" s="20"/>
      <c r="G1710" s="20"/>
    </row>
    <row r="1711" spans="6:7" x14ac:dyDescent="0.25">
      <c r="F1711" s="20"/>
      <c r="G1711" s="20"/>
    </row>
    <row r="1712" spans="6:7" x14ac:dyDescent="0.25">
      <c r="F1712" s="20"/>
      <c r="G1712" s="20"/>
    </row>
    <row r="1713" spans="6:7" x14ac:dyDescent="0.25">
      <c r="F1713" s="20"/>
      <c r="G1713" s="20"/>
    </row>
    <row r="1714" spans="6:7" x14ac:dyDescent="0.25">
      <c r="F1714" s="20"/>
      <c r="G1714" s="20"/>
    </row>
    <row r="1715" spans="6:7" x14ac:dyDescent="0.25">
      <c r="F1715" s="20"/>
      <c r="G1715" s="20"/>
    </row>
    <row r="1716" spans="6:7" x14ac:dyDescent="0.25">
      <c r="F1716" s="20"/>
      <c r="G1716" s="20"/>
    </row>
    <row r="1717" spans="6:7" x14ac:dyDescent="0.25">
      <c r="F1717" s="20"/>
      <c r="G1717" s="20"/>
    </row>
    <row r="1718" spans="6:7" x14ac:dyDescent="0.25">
      <c r="F1718" s="20"/>
      <c r="G1718" s="20"/>
    </row>
    <row r="1719" spans="6:7" x14ac:dyDescent="0.25">
      <c r="F1719" s="20"/>
      <c r="G1719" s="20"/>
    </row>
    <row r="1720" spans="6:7" x14ac:dyDescent="0.25">
      <c r="F1720" s="20"/>
      <c r="G1720" s="20"/>
    </row>
    <row r="1721" spans="6:7" x14ac:dyDescent="0.25">
      <c r="F1721" s="20"/>
      <c r="G1721" s="20"/>
    </row>
    <row r="1722" spans="6:7" x14ac:dyDescent="0.25">
      <c r="F1722" s="20"/>
      <c r="G1722" s="20"/>
    </row>
    <row r="1723" spans="6:7" x14ac:dyDescent="0.25">
      <c r="F1723" s="20"/>
      <c r="G1723" s="20"/>
    </row>
    <row r="1724" spans="6:7" x14ac:dyDescent="0.25">
      <c r="F1724" s="20"/>
      <c r="G1724" s="20"/>
    </row>
    <row r="1725" spans="6:7" x14ac:dyDescent="0.25">
      <c r="F1725" s="20"/>
      <c r="G1725" s="20"/>
    </row>
    <row r="1726" spans="6:7" x14ac:dyDescent="0.25">
      <c r="F1726" s="20"/>
      <c r="G1726" s="20"/>
    </row>
    <row r="1727" spans="6:7" x14ac:dyDescent="0.25">
      <c r="F1727" s="20"/>
      <c r="G1727" s="20"/>
    </row>
    <row r="1728" spans="6:7" x14ac:dyDescent="0.25">
      <c r="F1728" s="20"/>
      <c r="G1728" s="20"/>
    </row>
    <row r="1729" spans="6:7" x14ac:dyDescent="0.25">
      <c r="F1729" s="20"/>
      <c r="G1729" s="20"/>
    </row>
    <row r="1730" spans="6:7" x14ac:dyDescent="0.25">
      <c r="F1730" s="20"/>
      <c r="G1730" s="20"/>
    </row>
    <row r="1731" spans="6:7" x14ac:dyDescent="0.25">
      <c r="F1731" s="20"/>
      <c r="G1731" s="20"/>
    </row>
    <row r="1732" spans="6:7" x14ac:dyDescent="0.25">
      <c r="F1732" s="20"/>
      <c r="G1732" s="20"/>
    </row>
    <row r="1733" spans="6:7" x14ac:dyDescent="0.25">
      <c r="F1733" s="20"/>
      <c r="G1733" s="20"/>
    </row>
    <row r="1734" spans="6:7" x14ac:dyDescent="0.25">
      <c r="F1734" s="20"/>
      <c r="G1734" s="20"/>
    </row>
    <row r="1735" spans="6:7" x14ac:dyDescent="0.25">
      <c r="F1735" s="20"/>
      <c r="G1735" s="20"/>
    </row>
    <row r="1736" spans="6:7" x14ac:dyDescent="0.25">
      <c r="F1736" s="20"/>
      <c r="G1736" s="20"/>
    </row>
    <row r="1737" spans="6:7" x14ac:dyDescent="0.25">
      <c r="F1737" s="20"/>
      <c r="G1737" s="20"/>
    </row>
    <row r="1738" spans="6:7" x14ac:dyDescent="0.25">
      <c r="F1738" s="20"/>
      <c r="G1738" s="20"/>
    </row>
    <row r="1739" spans="6:7" x14ac:dyDescent="0.25">
      <c r="F1739" s="20"/>
      <c r="G1739" s="20"/>
    </row>
    <row r="1740" spans="6:7" x14ac:dyDescent="0.25">
      <c r="F1740" s="20"/>
      <c r="G1740" s="20"/>
    </row>
    <row r="1741" spans="6:7" x14ac:dyDescent="0.25">
      <c r="F1741" s="20"/>
      <c r="G1741" s="20"/>
    </row>
    <row r="1742" spans="6:7" x14ac:dyDescent="0.25">
      <c r="F1742" s="20"/>
      <c r="G1742" s="20"/>
    </row>
    <row r="1743" spans="6:7" x14ac:dyDescent="0.25">
      <c r="F1743" s="20"/>
      <c r="G1743" s="20"/>
    </row>
    <row r="1744" spans="6:7" x14ac:dyDescent="0.25">
      <c r="F1744" s="20"/>
      <c r="G1744" s="20"/>
    </row>
    <row r="1745" spans="6:7" x14ac:dyDescent="0.25">
      <c r="F1745" s="20"/>
      <c r="G1745" s="20"/>
    </row>
    <row r="1746" spans="6:7" x14ac:dyDescent="0.25">
      <c r="F1746" s="20"/>
      <c r="G1746" s="20"/>
    </row>
    <row r="1747" spans="6:7" x14ac:dyDescent="0.25">
      <c r="F1747" s="20"/>
      <c r="G1747" s="20"/>
    </row>
    <row r="1748" spans="6:7" x14ac:dyDescent="0.25">
      <c r="F1748" s="20"/>
      <c r="G1748" s="20"/>
    </row>
    <row r="1749" spans="6:7" x14ac:dyDescent="0.25">
      <c r="F1749" s="20"/>
      <c r="G1749" s="20"/>
    </row>
    <row r="1750" spans="6:7" x14ac:dyDescent="0.25">
      <c r="F1750" s="20"/>
      <c r="G1750" s="20"/>
    </row>
    <row r="1751" spans="6:7" x14ac:dyDescent="0.25">
      <c r="F1751" s="20"/>
      <c r="G1751" s="20"/>
    </row>
    <row r="1752" spans="6:7" x14ac:dyDescent="0.25">
      <c r="F1752" s="20"/>
      <c r="G1752" s="20"/>
    </row>
    <row r="1753" spans="6:7" x14ac:dyDescent="0.25">
      <c r="F1753" s="20"/>
      <c r="G1753" s="20"/>
    </row>
    <row r="1754" spans="6:7" x14ac:dyDescent="0.25">
      <c r="F1754" s="20"/>
      <c r="G1754" s="20"/>
    </row>
    <row r="1755" spans="6:7" x14ac:dyDescent="0.25">
      <c r="F1755" s="20"/>
      <c r="G1755" s="20"/>
    </row>
    <row r="1756" spans="6:7" x14ac:dyDescent="0.25">
      <c r="F1756" s="20"/>
      <c r="G1756" s="20"/>
    </row>
    <row r="1757" spans="6:7" x14ac:dyDescent="0.25">
      <c r="F1757" s="20"/>
      <c r="G1757" s="20"/>
    </row>
    <row r="1758" spans="6:7" x14ac:dyDescent="0.25">
      <c r="F1758" s="20"/>
      <c r="G1758" s="20"/>
    </row>
    <row r="1759" spans="6:7" x14ac:dyDescent="0.25">
      <c r="F1759" s="20"/>
      <c r="G1759" s="20"/>
    </row>
    <row r="1760" spans="6:7" x14ac:dyDescent="0.25">
      <c r="F1760" s="20"/>
      <c r="G1760" s="20"/>
    </row>
    <row r="1761" spans="6:7" x14ac:dyDescent="0.25">
      <c r="F1761" s="20"/>
      <c r="G1761" s="20"/>
    </row>
    <row r="1762" spans="6:7" x14ac:dyDescent="0.25">
      <c r="F1762" s="20"/>
      <c r="G1762" s="20"/>
    </row>
    <row r="1763" spans="6:7" x14ac:dyDescent="0.25">
      <c r="F1763" s="20"/>
      <c r="G1763" s="20"/>
    </row>
    <row r="1764" spans="6:7" x14ac:dyDescent="0.25">
      <c r="F1764" s="20"/>
      <c r="G1764" s="20"/>
    </row>
    <row r="1765" spans="6:7" x14ac:dyDescent="0.25">
      <c r="F1765" s="20"/>
      <c r="G1765" s="20"/>
    </row>
    <row r="1766" spans="6:7" x14ac:dyDescent="0.25">
      <c r="F1766" s="20"/>
      <c r="G1766" s="20"/>
    </row>
    <row r="1767" spans="6:7" x14ac:dyDescent="0.25">
      <c r="F1767" s="20"/>
      <c r="G1767" s="20"/>
    </row>
    <row r="1768" spans="6:7" x14ac:dyDescent="0.25">
      <c r="F1768" s="20"/>
      <c r="G1768" s="20"/>
    </row>
    <row r="1769" spans="6:7" x14ac:dyDescent="0.25">
      <c r="F1769" s="20"/>
      <c r="G1769" s="20"/>
    </row>
    <row r="1770" spans="6:7" x14ac:dyDescent="0.25">
      <c r="F1770" s="20"/>
      <c r="G1770" s="20"/>
    </row>
    <row r="1771" spans="6:7" x14ac:dyDescent="0.25">
      <c r="F1771" s="20"/>
      <c r="G1771" s="20"/>
    </row>
    <row r="1772" spans="6:7" x14ac:dyDescent="0.25">
      <c r="F1772" s="20"/>
      <c r="G1772" s="20"/>
    </row>
    <row r="1773" spans="6:7" x14ac:dyDescent="0.25">
      <c r="F1773" s="20"/>
      <c r="G1773" s="20"/>
    </row>
    <row r="1774" spans="6:7" x14ac:dyDescent="0.25">
      <c r="F1774" s="20"/>
      <c r="G1774" s="20"/>
    </row>
    <row r="1775" spans="6:7" x14ac:dyDescent="0.25">
      <c r="F1775" s="20"/>
      <c r="G1775" s="20"/>
    </row>
    <row r="1776" spans="6:7" x14ac:dyDescent="0.25">
      <c r="F1776" s="20"/>
      <c r="G1776" s="20"/>
    </row>
    <row r="1777" spans="6:7" x14ac:dyDescent="0.25">
      <c r="F1777" s="20"/>
      <c r="G1777" s="20"/>
    </row>
    <row r="1778" spans="6:7" x14ac:dyDescent="0.25">
      <c r="F1778" s="20"/>
      <c r="G1778" s="20"/>
    </row>
    <row r="1779" spans="6:7" x14ac:dyDescent="0.25">
      <c r="F1779" s="20"/>
      <c r="G1779" s="20"/>
    </row>
    <row r="1780" spans="6:7" x14ac:dyDescent="0.25">
      <c r="F1780" s="20"/>
      <c r="G1780" s="20"/>
    </row>
    <row r="1781" spans="6:7" x14ac:dyDescent="0.25">
      <c r="F1781" s="20"/>
      <c r="G1781" s="20"/>
    </row>
    <row r="1782" spans="6:7" x14ac:dyDescent="0.25">
      <c r="F1782" s="20"/>
      <c r="G1782" s="20"/>
    </row>
    <row r="1783" spans="6:7" x14ac:dyDescent="0.25">
      <c r="F1783" s="20"/>
      <c r="G1783" s="20"/>
    </row>
    <row r="1784" spans="6:7" x14ac:dyDescent="0.25">
      <c r="F1784" s="20"/>
      <c r="G1784" s="20"/>
    </row>
    <row r="1785" spans="6:7" x14ac:dyDescent="0.25">
      <c r="F1785" s="20"/>
      <c r="G1785" s="20"/>
    </row>
    <row r="1786" spans="6:7" x14ac:dyDescent="0.25">
      <c r="F1786" s="20"/>
      <c r="G1786" s="20"/>
    </row>
    <row r="1787" spans="6:7" x14ac:dyDescent="0.25">
      <c r="F1787" s="20"/>
      <c r="G1787" s="20"/>
    </row>
    <row r="1788" spans="6:7" x14ac:dyDescent="0.25">
      <c r="F1788" s="20"/>
      <c r="G1788" s="20"/>
    </row>
    <row r="1789" spans="6:7" x14ac:dyDescent="0.25">
      <c r="F1789" s="20"/>
      <c r="G1789" s="20"/>
    </row>
    <row r="1790" spans="6:7" x14ac:dyDescent="0.25">
      <c r="F1790" s="20"/>
      <c r="G1790" s="20"/>
    </row>
    <row r="1791" spans="6:7" x14ac:dyDescent="0.25">
      <c r="F1791" s="20"/>
      <c r="G1791" s="20"/>
    </row>
    <row r="1792" spans="6:7" x14ac:dyDescent="0.25">
      <c r="F1792" s="20"/>
      <c r="G1792" s="20"/>
    </row>
    <row r="1793" spans="6:7" x14ac:dyDescent="0.25">
      <c r="F1793" s="20"/>
      <c r="G1793" s="20"/>
    </row>
    <row r="1794" spans="6:7" x14ac:dyDescent="0.25">
      <c r="F1794" s="20"/>
      <c r="G1794" s="20"/>
    </row>
    <row r="1795" spans="6:7" x14ac:dyDescent="0.25">
      <c r="F1795" s="20"/>
      <c r="G1795" s="20"/>
    </row>
    <row r="1796" spans="6:7" x14ac:dyDescent="0.25">
      <c r="F1796" s="20"/>
      <c r="G1796" s="20"/>
    </row>
    <row r="1797" spans="6:7" x14ac:dyDescent="0.25">
      <c r="F1797" s="20"/>
      <c r="G1797" s="20"/>
    </row>
    <row r="1798" spans="6:7" x14ac:dyDescent="0.25">
      <c r="F1798" s="20"/>
      <c r="G1798" s="20"/>
    </row>
    <row r="1799" spans="6:7" x14ac:dyDescent="0.25">
      <c r="F1799" s="20"/>
      <c r="G1799" s="20"/>
    </row>
    <row r="1800" spans="6:7" x14ac:dyDescent="0.25">
      <c r="F1800" s="20"/>
      <c r="G1800" s="20"/>
    </row>
    <row r="1801" spans="6:7" x14ac:dyDescent="0.25">
      <c r="F1801" s="20"/>
      <c r="G1801" s="20"/>
    </row>
    <row r="1802" spans="6:7" x14ac:dyDescent="0.25">
      <c r="F1802" s="20"/>
      <c r="G1802" s="20"/>
    </row>
    <row r="1803" spans="6:7" x14ac:dyDescent="0.25">
      <c r="F1803" s="20"/>
      <c r="G1803" s="20"/>
    </row>
    <row r="1804" spans="6:7" x14ac:dyDescent="0.25">
      <c r="F1804" s="20"/>
      <c r="G1804" s="20"/>
    </row>
    <row r="1805" spans="6:7" x14ac:dyDescent="0.25">
      <c r="F1805" s="20"/>
      <c r="G1805" s="20"/>
    </row>
    <row r="1806" spans="6:7" x14ac:dyDescent="0.25">
      <c r="F1806" s="20"/>
      <c r="G1806" s="20"/>
    </row>
    <row r="1807" spans="6:7" x14ac:dyDescent="0.25">
      <c r="F1807" s="20"/>
      <c r="G1807" s="20"/>
    </row>
    <row r="1808" spans="6:7" x14ac:dyDescent="0.25">
      <c r="F1808" s="20"/>
      <c r="G1808" s="20"/>
    </row>
    <row r="1809" spans="6:7" x14ac:dyDescent="0.25">
      <c r="F1809" s="20"/>
      <c r="G1809" s="20"/>
    </row>
    <row r="1810" spans="6:7" x14ac:dyDescent="0.25">
      <c r="F1810" s="20"/>
      <c r="G1810" s="20"/>
    </row>
    <row r="1811" spans="6:7" x14ac:dyDescent="0.25">
      <c r="F1811" s="20"/>
      <c r="G1811" s="20"/>
    </row>
    <row r="1812" spans="6:7" x14ac:dyDescent="0.25">
      <c r="F1812" s="20"/>
      <c r="G1812" s="20"/>
    </row>
    <row r="1813" spans="6:7" x14ac:dyDescent="0.25">
      <c r="F1813" s="20"/>
      <c r="G1813" s="20"/>
    </row>
    <row r="1814" spans="6:7" x14ac:dyDescent="0.25">
      <c r="F1814" s="20"/>
      <c r="G1814" s="20"/>
    </row>
    <row r="1815" spans="6:7" x14ac:dyDescent="0.25">
      <c r="F1815" s="20"/>
      <c r="G1815" s="20"/>
    </row>
    <row r="1816" spans="6:7" x14ac:dyDescent="0.25">
      <c r="F1816" s="20"/>
      <c r="G1816" s="20"/>
    </row>
    <row r="1817" spans="6:7" x14ac:dyDescent="0.25">
      <c r="F1817" s="20"/>
      <c r="G1817" s="20"/>
    </row>
    <row r="1818" spans="6:7" x14ac:dyDescent="0.25">
      <c r="F1818" s="20"/>
      <c r="G1818" s="20"/>
    </row>
    <row r="1819" spans="6:7" x14ac:dyDescent="0.25">
      <c r="F1819" s="20"/>
      <c r="G1819" s="20"/>
    </row>
    <row r="1820" spans="6:7" x14ac:dyDescent="0.25">
      <c r="F1820" s="20"/>
      <c r="G1820" s="20"/>
    </row>
    <row r="1821" spans="6:7" x14ac:dyDescent="0.25">
      <c r="F1821" s="20"/>
      <c r="G1821" s="20"/>
    </row>
    <row r="1822" spans="6:7" x14ac:dyDescent="0.25">
      <c r="F1822" s="20"/>
      <c r="G1822" s="20"/>
    </row>
    <row r="1823" spans="6:7" x14ac:dyDescent="0.25">
      <c r="F1823" s="20"/>
      <c r="G1823" s="20"/>
    </row>
    <row r="1824" spans="6:7" x14ac:dyDescent="0.25">
      <c r="F1824" s="20"/>
      <c r="G1824" s="20"/>
    </row>
    <row r="1825" spans="6:7" x14ac:dyDescent="0.25">
      <c r="F1825" s="20"/>
      <c r="G1825" s="20"/>
    </row>
    <row r="1826" spans="6:7" x14ac:dyDescent="0.25">
      <c r="F1826" s="20"/>
      <c r="G1826" s="20"/>
    </row>
    <row r="1827" spans="6:7" x14ac:dyDescent="0.25">
      <c r="F1827" s="20"/>
      <c r="G1827" s="20"/>
    </row>
    <row r="1828" spans="6:7" x14ac:dyDescent="0.25">
      <c r="F1828" s="20"/>
      <c r="G1828" s="20"/>
    </row>
    <row r="1829" spans="6:7" x14ac:dyDescent="0.25">
      <c r="F1829" s="20"/>
      <c r="G1829" s="20"/>
    </row>
    <row r="1830" spans="6:7" x14ac:dyDescent="0.25">
      <c r="F1830" s="20"/>
      <c r="G1830" s="20"/>
    </row>
    <row r="1831" spans="6:7" x14ac:dyDescent="0.25">
      <c r="F1831" s="20"/>
      <c r="G1831" s="20"/>
    </row>
    <row r="1832" spans="6:7" x14ac:dyDescent="0.25">
      <c r="F1832" s="20"/>
      <c r="G1832" s="20"/>
    </row>
    <row r="1833" spans="6:7" x14ac:dyDescent="0.25">
      <c r="F1833" s="20"/>
      <c r="G1833" s="20"/>
    </row>
    <row r="1834" spans="6:7" x14ac:dyDescent="0.25">
      <c r="F1834" s="20"/>
      <c r="G1834" s="20"/>
    </row>
    <row r="1835" spans="6:7" x14ac:dyDescent="0.25">
      <c r="F1835" s="20"/>
      <c r="G1835" s="20"/>
    </row>
    <row r="1836" spans="6:7" x14ac:dyDescent="0.25">
      <c r="F1836" s="20"/>
      <c r="G1836" s="20"/>
    </row>
    <row r="1837" spans="6:7" x14ac:dyDescent="0.25">
      <c r="F1837" s="20"/>
      <c r="G1837" s="20"/>
    </row>
    <row r="1838" spans="6:7" x14ac:dyDescent="0.25">
      <c r="F1838" s="20"/>
      <c r="G1838" s="20"/>
    </row>
    <row r="1839" spans="6:7" x14ac:dyDescent="0.25">
      <c r="F1839" s="20"/>
      <c r="G1839" s="20"/>
    </row>
    <row r="1840" spans="6:7" x14ac:dyDescent="0.25">
      <c r="F1840" s="20"/>
      <c r="G1840" s="20"/>
    </row>
    <row r="1841" spans="6:7" x14ac:dyDescent="0.25">
      <c r="F1841" s="20"/>
      <c r="G1841" s="20"/>
    </row>
    <row r="1842" spans="6:7" x14ac:dyDescent="0.25">
      <c r="F1842" s="20"/>
      <c r="G1842" s="20"/>
    </row>
    <row r="1843" spans="6:7" x14ac:dyDescent="0.25">
      <c r="F1843" s="20"/>
      <c r="G1843" s="20"/>
    </row>
    <row r="1844" spans="6:7" x14ac:dyDescent="0.25">
      <c r="F1844" s="20"/>
      <c r="G1844" s="20"/>
    </row>
    <row r="1845" spans="6:7" x14ac:dyDescent="0.25">
      <c r="F1845" s="20"/>
      <c r="G1845" s="20"/>
    </row>
    <row r="1846" spans="6:7" x14ac:dyDescent="0.25">
      <c r="F1846" s="20"/>
      <c r="G1846" s="20"/>
    </row>
    <row r="1847" spans="6:7" x14ac:dyDescent="0.25">
      <c r="F1847" s="20"/>
      <c r="G1847" s="20"/>
    </row>
    <row r="1848" spans="6:7" x14ac:dyDescent="0.25">
      <c r="F1848" s="20"/>
      <c r="G1848" s="20"/>
    </row>
    <row r="1849" spans="6:7" x14ac:dyDescent="0.25">
      <c r="F1849" s="20"/>
      <c r="G1849" s="20"/>
    </row>
    <row r="1850" spans="6:7" x14ac:dyDescent="0.25">
      <c r="F1850" s="20"/>
      <c r="G1850" s="20"/>
    </row>
    <row r="1851" spans="6:7" x14ac:dyDescent="0.25">
      <c r="F1851" s="20"/>
      <c r="G1851" s="20"/>
    </row>
    <row r="1852" spans="6:7" x14ac:dyDescent="0.25">
      <c r="F1852" s="20"/>
      <c r="G1852" s="20"/>
    </row>
    <row r="1853" spans="6:7" x14ac:dyDescent="0.25">
      <c r="F1853" s="20"/>
      <c r="G1853" s="20"/>
    </row>
    <row r="1854" spans="6:7" x14ac:dyDescent="0.25">
      <c r="F1854" s="20"/>
      <c r="G1854" s="20"/>
    </row>
    <row r="1855" spans="6:7" x14ac:dyDescent="0.25">
      <c r="F1855" s="20"/>
      <c r="G1855" s="20"/>
    </row>
    <row r="1856" spans="6:7" x14ac:dyDescent="0.25">
      <c r="F1856" s="20"/>
      <c r="G1856" s="20"/>
    </row>
    <row r="1857" spans="6:7" x14ac:dyDescent="0.25">
      <c r="F1857" s="20"/>
      <c r="G1857" s="20"/>
    </row>
    <row r="1858" spans="6:7" x14ac:dyDescent="0.25">
      <c r="F1858" s="20"/>
      <c r="G1858" s="20"/>
    </row>
    <row r="1859" spans="6:7" x14ac:dyDescent="0.25">
      <c r="F1859" s="20"/>
      <c r="G1859" s="20"/>
    </row>
    <row r="1860" spans="6:7" x14ac:dyDescent="0.25">
      <c r="F1860" s="20"/>
      <c r="G1860" s="20"/>
    </row>
    <row r="1861" spans="6:7" x14ac:dyDescent="0.25">
      <c r="F1861" s="20"/>
      <c r="G1861" s="20"/>
    </row>
    <row r="1862" spans="6:7" x14ac:dyDescent="0.25">
      <c r="F1862" s="20"/>
      <c r="G1862" s="20"/>
    </row>
    <row r="1863" spans="6:7" x14ac:dyDescent="0.25">
      <c r="F1863" s="20"/>
      <c r="G1863" s="20"/>
    </row>
    <row r="1864" spans="6:7" x14ac:dyDescent="0.25">
      <c r="F1864" s="20"/>
      <c r="G1864" s="20"/>
    </row>
    <row r="1865" spans="6:7" x14ac:dyDescent="0.25">
      <c r="F1865" s="20"/>
      <c r="G1865" s="20"/>
    </row>
    <row r="1866" spans="6:7" x14ac:dyDescent="0.25">
      <c r="F1866" s="20"/>
      <c r="G1866" s="20"/>
    </row>
    <row r="1867" spans="6:7" x14ac:dyDescent="0.25">
      <c r="F1867" s="20"/>
      <c r="G1867" s="20"/>
    </row>
    <row r="1868" spans="6:7" x14ac:dyDescent="0.25">
      <c r="F1868" s="20"/>
      <c r="G1868" s="20"/>
    </row>
    <row r="1869" spans="6:7" x14ac:dyDescent="0.25">
      <c r="F1869" s="20"/>
      <c r="G1869" s="20"/>
    </row>
    <row r="1870" spans="6:7" x14ac:dyDescent="0.25">
      <c r="F1870" s="20"/>
      <c r="G1870" s="20"/>
    </row>
    <row r="1871" spans="6:7" x14ac:dyDescent="0.25">
      <c r="F1871" s="20"/>
      <c r="G1871" s="20"/>
    </row>
    <row r="1872" spans="6:7" x14ac:dyDescent="0.25">
      <c r="F1872" s="20"/>
      <c r="G1872" s="20"/>
    </row>
    <row r="1873" spans="6:7" x14ac:dyDescent="0.25">
      <c r="F1873" s="20"/>
      <c r="G1873" s="20"/>
    </row>
    <row r="1874" spans="6:7" x14ac:dyDescent="0.25">
      <c r="F1874" s="20"/>
      <c r="G1874" s="20"/>
    </row>
    <row r="1875" spans="6:7" x14ac:dyDescent="0.25">
      <c r="F1875" s="20"/>
      <c r="G1875" s="20"/>
    </row>
    <row r="1876" spans="6:7" x14ac:dyDescent="0.25">
      <c r="F1876" s="20"/>
      <c r="G1876" s="20"/>
    </row>
    <row r="1877" spans="6:7" x14ac:dyDescent="0.25">
      <c r="F1877" s="20"/>
      <c r="G1877" s="20"/>
    </row>
    <row r="1878" spans="6:7" x14ac:dyDescent="0.25">
      <c r="F1878" s="20"/>
      <c r="G1878" s="20"/>
    </row>
    <row r="1879" spans="6:7" x14ac:dyDescent="0.25">
      <c r="F1879" s="20"/>
      <c r="G1879" s="20"/>
    </row>
    <row r="1880" spans="6:7" x14ac:dyDescent="0.25">
      <c r="F1880" s="20"/>
      <c r="G1880" s="20"/>
    </row>
    <row r="1881" spans="6:7" x14ac:dyDescent="0.25">
      <c r="F1881" s="20"/>
      <c r="G1881" s="20"/>
    </row>
    <row r="1882" spans="6:7" x14ac:dyDescent="0.25">
      <c r="F1882" s="20"/>
      <c r="G1882" s="20"/>
    </row>
    <row r="1883" spans="6:7" x14ac:dyDescent="0.25">
      <c r="F1883" s="20"/>
      <c r="G1883" s="20"/>
    </row>
    <row r="1884" spans="6:7" x14ac:dyDescent="0.25">
      <c r="F1884" s="20"/>
      <c r="G1884" s="20"/>
    </row>
    <row r="1885" spans="6:7" x14ac:dyDescent="0.25">
      <c r="F1885" s="20"/>
      <c r="G1885" s="20"/>
    </row>
    <row r="1886" spans="6:7" x14ac:dyDescent="0.25">
      <c r="F1886" s="20"/>
      <c r="G1886" s="20"/>
    </row>
    <row r="1887" spans="6:7" x14ac:dyDescent="0.25">
      <c r="F1887" s="20"/>
      <c r="G1887" s="20"/>
    </row>
    <row r="1888" spans="6:7" x14ac:dyDescent="0.25">
      <c r="F1888" s="20"/>
      <c r="G1888" s="20"/>
    </row>
    <row r="1889" spans="6:7" x14ac:dyDescent="0.25">
      <c r="F1889" s="20"/>
      <c r="G1889" s="20"/>
    </row>
    <row r="1890" spans="6:7" x14ac:dyDescent="0.25">
      <c r="F1890" s="20"/>
      <c r="G1890" s="20"/>
    </row>
    <row r="1891" spans="6:7" x14ac:dyDescent="0.25">
      <c r="F1891" s="20"/>
      <c r="G1891" s="20"/>
    </row>
    <row r="1892" spans="6:7" x14ac:dyDescent="0.25">
      <c r="F1892" s="20"/>
      <c r="G1892" s="20"/>
    </row>
    <row r="1893" spans="6:7" x14ac:dyDescent="0.25">
      <c r="F1893" s="20"/>
      <c r="G1893" s="20"/>
    </row>
    <row r="1894" spans="6:7" x14ac:dyDescent="0.25">
      <c r="F1894" s="20"/>
      <c r="G1894" s="20"/>
    </row>
    <row r="1895" spans="6:7" x14ac:dyDescent="0.25">
      <c r="F1895" s="20"/>
      <c r="G1895" s="20"/>
    </row>
    <row r="1896" spans="6:7" x14ac:dyDescent="0.25">
      <c r="F1896" s="20"/>
      <c r="G1896" s="20"/>
    </row>
    <row r="1897" spans="6:7" x14ac:dyDescent="0.25">
      <c r="F1897" s="20"/>
      <c r="G1897" s="20"/>
    </row>
    <row r="1898" spans="6:7" x14ac:dyDescent="0.25">
      <c r="F1898" s="20"/>
      <c r="G1898" s="20"/>
    </row>
    <row r="1899" spans="6:7" x14ac:dyDescent="0.25">
      <c r="F1899" s="20"/>
      <c r="G1899" s="20"/>
    </row>
    <row r="1900" spans="6:7" x14ac:dyDescent="0.25">
      <c r="F1900" s="20"/>
      <c r="G1900" s="20"/>
    </row>
    <row r="1901" spans="6:7" x14ac:dyDescent="0.25">
      <c r="F1901" s="20"/>
      <c r="G1901" s="20"/>
    </row>
    <row r="1902" spans="6:7" x14ac:dyDescent="0.25">
      <c r="F1902" s="20"/>
      <c r="G1902" s="20"/>
    </row>
    <row r="1903" spans="6:7" x14ac:dyDescent="0.25">
      <c r="F1903" s="20"/>
      <c r="G1903" s="20"/>
    </row>
    <row r="1904" spans="6:7" x14ac:dyDescent="0.25">
      <c r="F1904" s="20"/>
      <c r="G1904" s="20"/>
    </row>
    <row r="1905" spans="6:7" x14ac:dyDescent="0.25">
      <c r="F1905" s="20"/>
      <c r="G1905" s="20"/>
    </row>
    <row r="1906" spans="6:7" x14ac:dyDescent="0.25">
      <c r="F1906" s="20"/>
      <c r="G1906" s="20"/>
    </row>
    <row r="1907" spans="6:7" x14ac:dyDescent="0.25">
      <c r="F1907" s="20"/>
      <c r="G1907" s="20"/>
    </row>
    <row r="1908" spans="6:7" x14ac:dyDescent="0.25">
      <c r="F1908" s="20"/>
      <c r="G1908" s="20"/>
    </row>
    <row r="1909" spans="6:7" x14ac:dyDescent="0.25">
      <c r="F1909" s="20"/>
      <c r="G1909" s="20"/>
    </row>
    <row r="1910" spans="6:7" x14ac:dyDescent="0.25">
      <c r="F1910" s="20"/>
      <c r="G1910" s="20"/>
    </row>
    <row r="1911" spans="6:7" x14ac:dyDescent="0.25">
      <c r="F1911" s="20"/>
      <c r="G1911" s="20"/>
    </row>
    <row r="1912" spans="6:7" x14ac:dyDescent="0.25">
      <c r="F1912" s="20"/>
      <c r="G1912" s="20"/>
    </row>
    <row r="1913" spans="6:7" x14ac:dyDescent="0.25">
      <c r="F1913" s="20"/>
      <c r="G1913" s="20"/>
    </row>
    <row r="1914" spans="6:7" x14ac:dyDescent="0.25">
      <c r="F1914" s="20"/>
      <c r="G1914" s="20"/>
    </row>
    <row r="1915" spans="6:7" x14ac:dyDescent="0.25">
      <c r="F1915" s="20"/>
      <c r="G1915" s="20"/>
    </row>
    <row r="1916" spans="6:7" x14ac:dyDescent="0.25">
      <c r="F1916" s="20"/>
      <c r="G1916" s="20"/>
    </row>
    <row r="1917" spans="6:7" x14ac:dyDescent="0.25">
      <c r="F1917" s="20"/>
      <c r="G1917" s="20"/>
    </row>
    <row r="1918" spans="6:7" x14ac:dyDescent="0.25">
      <c r="F1918" s="20"/>
      <c r="G1918" s="20"/>
    </row>
    <row r="1919" spans="6:7" x14ac:dyDescent="0.25">
      <c r="F1919" s="20"/>
      <c r="G1919" s="20"/>
    </row>
    <row r="1920" spans="6:7" x14ac:dyDescent="0.25">
      <c r="F1920" s="20"/>
      <c r="G1920" s="20"/>
    </row>
    <row r="1921" spans="6:7" x14ac:dyDescent="0.25">
      <c r="F1921" s="20"/>
      <c r="G1921" s="20"/>
    </row>
    <row r="1922" spans="6:7" x14ac:dyDescent="0.25">
      <c r="F1922" s="20"/>
      <c r="G1922" s="20"/>
    </row>
    <row r="1923" spans="6:7" x14ac:dyDescent="0.25">
      <c r="F1923" s="20"/>
      <c r="G1923" s="20"/>
    </row>
    <row r="1924" spans="6:7" x14ac:dyDescent="0.25">
      <c r="F1924" s="20"/>
      <c r="G1924" s="20"/>
    </row>
    <row r="1925" spans="6:7" x14ac:dyDescent="0.25">
      <c r="F1925" s="20"/>
      <c r="G1925" s="20"/>
    </row>
    <row r="1926" spans="6:7" x14ac:dyDescent="0.25">
      <c r="F1926" s="20"/>
      <c r="G1926" s="20"/>
    </row>
    <row r="1927" spans="6:7" x14ac:dyDescent="0.25">
      <c r="F1927" s="20"/>
      <c r="G1927" s="20"/>
    </row>
    <row r="1928" spans="6:7" x14ac:dyDescent="0.25">
      <c r="F1928" s="20"/>
      <c r="G1928" s="20"/>
    </row>
    <row r="1929" spans="6:7" x14ac:dyDescent="0.25">
      <c r="F1929" s="20"/>
      <c r="G1929" s="20"/>
    </row>
    <row r="1930" spans="6:7" x14ac:dyDescent="0.25">
      <c r="F1930" s="20"/>
      <c r="G1930" s="20"/>
    </row>
    <row r="1931" spans="6:7" x14ac:dyDescent="0.25">
      <c r="F1931" s="20"/>
      <c r="G1931" s="20"/>
    </row>
    <row r="1932" spans="6:7" x14ac:dyDescent="0.25">
      <c r="F1932" s="20"/>
      <c r="G1932" s="20"/>
    </row>
    <row r="1933" spans="6:7" x14ac:dyDescent="0.25">
      <c r="F1933" s="20"/>
      <c r="G1933" s="20"/>
    </row>
    <row r="1934" spans="6:7" x14ac:dyDescent="0.25">
      <c r="F1934" s="20"/>
      <c r="G1934" s="20"/>
    </row>
    <row r="1935" spans="6:7" x14ac:dyDescent="0.25">
      <c r="F1935" s="20"/>
      <c r="G1935" s="20"/>
    </row>
    <row r="1936" spans="6:7" x14ac:dyDescent="0.25">
      <c r="F1936" s="20"/>
      <c r="G1936" s="20"/>
    </row>
    <row r="1937" spans="6:7" x14ac:dyDescent="0.25">
      <c r="F1937" s="20"/>
      <c r="G1937" s="20"/>
    </row>
    <row r="1938" spans="6:7" x14ac:dyDescent="0.25">
      <c r="F1938" s="20"/>
      <c r="G1938" s="20"/>
    </row>
    <row r="1939" spans="6:7" x14ac:dyDescent="0.25">
      <c r="F1939" s="20"/>
      <c r="G1939" s="20"/>
    </row>
    <row r="1940" spans="6:7" x14ac:dyDescent="0.25">
      <c r="F1940" s="20"/>
      <c r="G1940" s="20"/>
    </row>
    <row r="1941" spans="6:7" x14ac:dyDescent="0.25">
      <c r="F1941" s="20"/>
      <c r="G1941" s="20"/>
    </row>
    <row r="1942" spans="6:7" x14ac:dyDescent="0.25">
      <c r="F1942" s="20"/>
      <c r="G1942" s="20"/>
    </row>
    <row r="1943" spans="6:7" x14ac:dyDescent="0.25">
      <c r="F1943" s="20"/>
      <c r="G1943" s="20"/>
    </row>
    <row r="1944" spans="6:7" x14ac:dyDescent="0.25">
      <c r="F1944" s="20"/>
      <c r="G1944" s="20"/>
    </row>
    <row r="1945" spans="6:7" x14ac:dyDescent="0.25">
      <c r="F1945" s="20"/>
      <c r="G1945" s="20"/>
    </row>
    <row r="1946" spans="6:7" x14ac:dyDescent="0.25">
      <c r="F1946" s="20"/>
      <c r="G1946" s="20"/>
    </row>
    <row r="1947" spans="6:7" x14ac:dyDescent="0.25">
      <c r="F1947" s="20"/>
      <c r="G1947" s="20"/>
    </row>
    <row r="1948" spans="6:7" x14ac:dyDescent="0.25">
      <c r="F1948" s="20"/>
      <c r="G1948" s="20"/>
    </row>
    <row r="1949" spans="6:7" x14ac:dyDescent="0.25">
      <c r="F1949" s="20"/>
      <c r="G1949" s="20"/>
    </row>
    <row r="1950" spans="6:7" x14ac:dyDescent="0.25">
      <c r="F1950" s="20"/>
      <c r="G1950" s="20"/>
    </row>
    <row r="1951" spans="6:7" x14ac:dyDescent="0.25">
      <c r="F1951" s="20"/>
      <c r="G1951" s="20"/>
    </row>
    <row r="1952" spans="6:7" x14ac:dyDescent="0.25">
      <c r="F1952" s="20"/>
      <c r="G1952" s="20"/>
    </row>
    <row r="1953" spans="6:7" x14ac:dyDescent="0.25">
      <c r="F1953" s="20"/>
      <c r="G1953" s="20"/>
    </row>
    <row r="1954" spans="6:7" x14ac:dyDescent="0.25">
      <c r="F1954" s="20"/>
      <c r="G1954" s="20"/>
    </row>
    <row r="1955" spans="6:7" x14ac:dyDescent="0.25">
      <c r="F1955" s="20"/>
      <c r="G1955" s="20"/>
    </row>
    <row r="1956" spans="6:7" x14ac:dyDescent="0.25">
      <c r="F1956" s="20"/>
      <c r="G1956" s="20"/>
    </row>
    <row r="1957" spans="6:7" x14ac:dyDescent="0.25">
      <c r="F1957" s="20"/>
      <c r="G1957" s="20"/>
    </row>
    <row r="1958" spans="6:7" x14ac:dyDescent="0.25">
      <c r="F1958" s="20"/>
      <c r="G1958" s="20"/>
    </row>
    <row r="1959" spans="6:7" x14ac:dyDescent="0.25">
      <c r="F1959" s="20"/>
      <c r="G1959" s="20"/>
    </row>
    <row r="1960" spans="6:7" x14ac:dyDescent="0.25">
      <c r="F1960" s="20"/>
      <c r="G1960" s="20"/>
    </row>
    <row r="1961" spans="6:7" x14ac:dyDescent="0.25">
      <c r="F1961" s="20"/>
      <c r="G1961" s="20"/>
    </row>
    <row r="1962" spans="6:7" x14ac:dyDescent="0.25">
      <c r="F1962" s="20"/>
      <c r="G1962" s="20"/>
    </row>
    <row r="1963" spans="6:7" x14ac:dyDescent="0.25">
      <c r="F1963" s="20"/>
      <c r="G1963" s="20"/>
    </row>
    <row r="1964" spans="6:7" x14ac:dyDescent="0.25">
      <c r="F1964" s="20"/>
      <c r="G1964" s="20"/>
    </row>
    <row r="1965" spans="6:7" x14ac:dyDescent="0.25">
      <c r="F1965" s="20"/>
      <c r="G1965" s="20"/>
    </row>
    <row r="1966" spans="6:7" x14ac:dyDescent="0.25">
      <c r="F1966" s="20"/>
      <c r="G1966" s="20"/>
    </row>
    <row r="1967" spans="6:7" x14ac:dyDescent="0.25">
      <c r="F1967" s="20"/>
      <c r="G1967" s="20"/>
    </row>
    <row r="1968" spans="6:7" x14ac:dyDescent="0.25">
      <c r="F1968" s="20"/>
      <c r="G1968" s="20"/>
    </row>
    <row r="1969" spans="6:7" x14ac:dyDescent="0.25">
      <c r="F1969" s="20"/>
      <c r="G1969" s="20"/>
    </row>
    <row r="1970" spans="6:7" x14ac:dyDescent="0.25">
      <c r="F1970" s="20"/>
      <c r="G1970" s="20"/>
    </row>
    <row r="1971" spans="6:7" x14ac:dyDescent="0.25">
      <c r="F1971" s="20"/>
      <c r="G1971" s="20"/>
    </row>
    <row r="1972" spans="6:7" x14ac:dyDescent="0.25">
      <c r="F1972" s="20"/>
      <c r="G1972" s="20"/>
    </row>
    <row r="1973" spans="6:7" x14ac:dyDescent="0.25">
      <c r="F1973" s="20"/>
      <c r="G1973" s="20"/>
    </row>
    <row r="1974" spans="6:7" x14ac:dyDescent="0.25">
      <c r="F1974" s="20"/>
      <c r="G1974" s="20"/>
    </row>
    <row r="1975" spans="6:7" x14ac:dyDescent="0.25">
      <c r="F1975" s="20"/>
      <c r="G1975" s="20"/>
    </row>
    <row r="1976" spans="6:7" x14ac:dyDescent="0.25">
      <c r="F1976" s="20"/>
      <c r="G1976" s="20"/>
    </row>
    <row r="1977" spans="6:7" x14ac:dyDescent="0.25">
      <c r="F1977" s="20"/>
      <c r="G1977" s="20"/>
    </row>
    <row r="1978" spans="6:7" x14ac:dyDescent="0.25">
      <c r="F1978" s="20"/>
      <c r="G1978" s="20"/>
    </row>
    <row r="1979" spans="6:7" x14ac:dyDescent="0.25">
      <c r="F1979" s="20"/>
      <c r="G1979" s="20"/>
    </row>
    <row r="1980" spans="6:7" x14ac:dyDescent="0.25">
      <c r="F1980" s="20"/>
      <c r="G1980" s="20"/>
    </row>
    <row r="1981" spans="6:7" x14ac:dyDescent="0.25">
      <c r="F1981" s="20"/>
      <c r="G1981" s="20"/>
    </row>
    <row r="1982" spans="6:7" x14ac:dyDescent="0.25">
      <c r="F1982" s="20"/>
      <c r="G1982" s="20"/>
    </row>
    <row r="1983" spans="6:7" x14ac:dyDescent="0.25">
      <c r="F1983" s="20"/>
      <c r="G1983" s="20"/>
    </row>
    <row r="1984" spans="6:7" x14ac:dyDescent="0.25">
      <c r="F1984" s="20"/>
      <c r="G1984" s="20"/>
    </row>
    <row r="1985" spans="6:7" x14ac:dyDescent="0.25">
      <c r="F1985" s="20"/>
      <c r="G1985" s="20"/>
    </row>
  </sheetData>
  <conditionalFormatting sqref="H58:BT74">
    <cfRule type="colorScale" priority="1">
      <colorScale>
        <cfvo type="min"/>
        <cfvo type="max"/>
        <color theme="0" tint="-0.499984740745262"/>
        <color theme="0" tint="-4.9989318521683403E-2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DE5F-5C81-441B-8162-5AC9D1589AD0}">
  <sheetPr codeName="Sheet2"/>
  <dimension ref="C1:BP142"/>
  <sheetViews>
    <sheetView workbookViewId="0">
      <pane xSplit="3" ySplit="1" topLeftCell="BG14" activePane="bottomRight" state="frozen"/>
      <selection pane="topRight" activeCell="D1" sqref="D1"/>
      <selection pane="bottomLeft" activeCell="A2" sqref="A2"/>
      <selection pane="bottomRight" activeCell="BI12" sqref="BI12"/>
    </sheetView>
  </sheetViews>
  <sheetFormatPr defaultRowHeight="15" x14ac:dyDescent="0.25"/>
  <cols>
    <col min="3" max="3" width="47.140625" bestFit="1" customWidth="1"/>
  </cols>
  <sheetData>
    <row r="1" spans="3:68" x14ac:dyDescent="0.25">
      <c r="D1" s="91" t="s">
        <v>113</v>
      </c>
      <c r="E1" s="91" t="s">
        <v>114</v>
      </c>
      <c r="F1" s="91" t="s">
        <v>115</v>
      </c>
      <c r="G1" s="91" t="s">
        <v>116</v>
      </c>
      <c r="H1" s="91" t="s">
        <v>117</v>
      </c>
      <c r="I1" s="91" t="s">
        <v>118</v>
      </c>
      <c r="J1" s="91" t="s">
        <v>119</v>
      </c>
      <c r="K1" s="91" t="s">
        <v>120</v>
      </c>
      <c r="L1" s="91" t="s">
        <v>121</v>
      </c>
      <c r="M1" s="91" t="s">
        <v>122</v>
      </c>
      <c r="N1" s="91" t="s">
        <v>123</v>
      </c>
      <c r="O1" s="91" t="s">
        <v>124</v>
      </c>
      <c r="P1" s="91" t="s">
        <v>125</v>
      </c>
      <c r="Q1" s="91" t="s">
        <v>126</v>
      </c>
      <c r="R1" s="91" t="s">
        <v>127</v>
      </c>
      <c r="S1" s="91" t="s">
        <v>128</v>
      </c>
      <c r="T1" s="91" t="s">
        <v>129</v>
      </c>
      <c r="U1" s="91" t="s">
        <v>130</v>
      </c>
      <c r="V1" s="91" t="s">
        <v>131</v>
      </c>
      <c r="W1" s="91" t="s">
        <v>132</v>
      </c>
      <c r="X1" s="91" t="s">
        <v>133</v>
      </c>
      <c r="Y1" s="91" t="s">
        <v>134</v>
      </c>
      <c r="Z1" s="91" t="s">
        <v>135</v>
      </c>
      <c r="AA1" s="91" t="s">
        <v>136</v>
      </c>
      <c r="AB1" s="91" t="s">
        <v>137</v>
      </c>
      <c r="AC1" s="91" t="s">
        <v>138</v>
      </c>
      <c r="AD1" s="91" t="s">
        <v>139</v>
      </c>
      <c r="AE1" s="91" t="s">
        <v>140</v>
      </c>
      <c r="AF1" s="91" t="s">
        <v>141</v>
      </c>
      <c r="AG1" s="91" t="s">
        <v>142</v>
      </c>
      <c r="AH1" s="91" t="s">
        <v>143</v>
      </c>
      <c r="AI1" s="91" t="s">
        <v>144</v>
      </c>
      <c r="AJ1" s="91" t="s">
        <v>103</v>
      </c>
      <c r="AK1" s="91" t="s">
        <v>104</v>
      </c>
      <c r="AL1" s="91" t="s">
        <v>105</v>
      </c>
      <c r="AM1" s="91" t="s">
        <v>106</v>
      </c>
      <c r="AN1" s="91" t="s">
        <v>107</v>
      </c>
      <c r="AO1" s="91" t="s">
        <v>108</v>
      </c>
      <c r="AP1" s="91" t="s">
        <v>109</v>
      </c>
      <c r="AQ1" s="91" t="s">
        <v>110</v>
      </c>
      <c r="AR1" s="91" t="s">
        <v>58</v>
      </c>
      <c r="AS1" s="91" t="s">
        <v>59</v>
      </c>
      <c r="AT1" s="91" t="s">
        <v>60</v>
      </c>
      <c r="AU1" s="91" t="s">
        <v>61</v>
      </c>
      <c r="AV1" s="91" t="s">
        <v>62</v>
      </c>
      <c r="AW1" s="91" t="s">
        <v>63</v>
      </c>
      <c r="AX1" s="91" t="s">
        <v>64</v>
      </c>
      <c r="AY1" s="91" t="s">
        <v>65</v>
      </c>
      <c r="AZ1" s="91" t="s">
        <v>66</v>
      </c>
      <c r="BA1" s="91" t="s">
        <v>67</v>
      </c>
      <c r="BB1" s="91" t="s">
        <v>68</v>
      </c>
      <c r="BC1" s="91" t="s">
        <v>69</v>
      </c>
      <c r="BD1" s="91" t="s">
        <v>70</v>
      </c>
      <c r="BE1" s="91" t="s">
        <v>111</v>
      </c>
      <c r="BF1" s="91" t="s">
        <v>145</v>
      </c>
      <c r="BG1" s="91" t="s">
        <v>146</v>
      </c>
      <c r="BH1" s="91" t="s">
        <v>147</v>
      </c>
      <c r="BI1" s="91" t="s">
        <v>148</v>
      </c>
      <c r="BJ1" s="91" t="s">
        <v>149</v>
      </c>
      <c r="BK1" s="91" t="s">
        <v>184</v>
      </c>
      <c r="BL1" s="91" t="s">
        <v>150</v>
      </c>
      <c r="BM1" s="91" t="s">
        <v>151</v>
      </c>
      <c r="BN1" s="91" t="s">
        <v>152</v>
      </c>
      <c r="BO1" s="88" t="s">
        <v>153</v>
      </c>
      <c r="BP1" s="91" t="s">
        <v>185</v>
      </c>
    </row>
    <row r="2" spans="3:68" x14ac:dyDescent="0.25">
      <c r="C2" s="1" t="s">
        <v>0</v>
      </c>
      <c r="D2" s="91" t="s">
        <v>113</v>
      </c>
      <c r="E2" s="91" t="s">
        <v>114</v>
      </c>
      <c r="F2" s="91" t="s">
        <v>115</v>
      </c>
      <c r="G2" s="91" t="s">
        <v>116</v>
      </c>
      <c r="H2" s="91" t="s">
        <v>117</v>
      </c>
      <c r="I2" s="91" t="s">
        <v>118</v>
      </c>
      <c r="J2" s="91" t="s">
        <v>119</v>
      </c>
      <c r="K2" s="91" t="s">
        <v>120</v>
      </c>
      <c r="L2" s="91" t="s">
        <v>121</v>
      </c>
      <c r="M2" s="91" t="s">
        <v>122</v>
      </c>
      <c r="N2" s="91" t="s">
        <v>123</v>
      </c>
      <c r="O2" s="91" t="s">
        <v>124</v>
      </c>
      <c r="P2" s="91" t="s">
        <v>125</v>
      </c>
      <c r="Q2" s="91" t="s">
        <v>126</v>
      </c>
      <c r="R2" s="91" t="s">
        <v>127</v>
      </c>
      <c r="S2" s="91" t="s">
        <v>128</v>
      </c>
      <c r="T2" s="91" t="s">
        <v>129</v>
      </c>
      <c r="U2" s="91" t="s">
        <v>130</v>
      </c>
      <c r="V2" s="91" t="s">
        <v>131</v>
      </c>
      <c r="W2" s="91" t="s">
        <v>132</v>
      </c>
      <c r="X2" s="91" t="s">
        <v>133</v>
      </c>
      <c r="Y2" s="91" t="s">
        <v>134</v>
      </c>
      <c r="Z2" s="91" t="s">
        <v>135</v>
      </c>
      <c r="AA2" s="91" t="s">
        <v>136</v>
      </c>
      <c r="AB2" s="91" t="s">
        <v>137</v>
      </c>
      <c r="AC2" s="91" t="s">
        <v>138</v>
      </c>
      <c r="AD2" s="91" t="s">
        <v>139</v>
      </c>
      <c r="AE2" s="91" t="s">
        <v>140</v>
      </c>
      <c r="AF2" s="91" t="s">
        <v>141</v>
      </c>
      <c r="AG2" s="91" t="s">
        <v>142</v>
      </c>
      <c r="AH2" s="91" t="s">
        <v>143</v>
      </c>
      <c r="AI2" s="91" t="s">
        <v>144</v>
      </c>
      <c r="AJ2" s="91" t="s">
        <v>103</v>
      </c>
      <c r="AK2" s="91" t="s">
        <v>104</v>
      </c>
      <c r="AL2" s="91" t="s">
        <v>105</v>
      </c>
      <c r="AM2" s="91" t="s">
        <v>106</v>
      </c>
      <c r="AN2" s="91" t="s">
        <v>107</v>
      </c>
      <c r="AO2" s="91" t="s">
        <v>108</v>
      </c>
      <c r="AP2" s="91" t="s">
        <v>109</v>
      </c>
      <c r="AQ2" s="91" t="s">
        <v>110</v>
      </c>
      <c r="AR2" s="91" t="s">
        <v>58</v>
      </c>
      <c r="AS2" s="91" t="s">
        <v>59</v>
      </c>
      <c r="AT2" s="91" t="s">
        <v>60</v>
      </c>
      <c r="AU2" s="91" t="s">
        <v>61</v>
      </c>
      <c r="AV2" s="91" t="s">
        <v>62</v>
      </c>
      <c r="AW2" s="91" t="s">
        <v>63</v>
      </c>
      <c r="AX2" s="91" t="s">
        <v>64</v>
      </c>
      <c r="AY2" s="91" t="s">
        <v>65</v>
      </c>
      <c r="AZ2" s="91" t="s">
        <v>66</v>
      </c>
      <c r="BA2" s="91" t="s">
        <v>67</v>
      </c>
      <c r="BB2" s="91" t="s">
        <v>68</v>
      </c>
      <c r="BC2" s="91" t="s">
        <v>69</v>
      </c>
      <c r="BD2" s="91" t="s">
        <v>70</v>
      </c>
      <c r="BE2" s="91" t="s">
        <v>111</v>
      </c>
      <c r="BF2" s="91" t="s">
        <v>145</v>
      </c>
      <c r="BG2" s="91" t="s">
        <v>146</v>
      </c>
      <c r="BH2" s="91" t="s">
        <v>147</v>
      </c>
      <c r="BI2" s="91" t="s">
        <v>148</v>
      </c>
      <c r="BJ2" s="91" t="s">
        <v>149</v>
      </c>
      <c r="BK2" s="91" t="s">
        <v>184</v>
      </c>
      <c r="BL2" s="91" t="s">
        <v>150</v>
      </c>
      <c r="BM2" s="91" t="s">
        <v>151</v>
      </c>
      <c r="BN2" s="91" t="s">
        <v>152</v>
      </c>
      <c r="BO2" s="88" t="s">
        <v>153</v>
      </c>
      <c r="BP2" s="91" t="s">
        <v>185</v>
      </c>
    </row>
    <row r="3" spans="3:68" x14ac:dyDescent="0.25">
      <c r="C3" s="2" t="s">
        <v>208</v>
      </c>
      <c r="D3" s="107">
        <v>4.1854263920671242</v>
      </c>
      <c r="E3" s="108">
        <v>4.362231962481963</v>
      </c>
      <c r="F3" s="108">
        <v>4.1221376811594199</v>
      </c>
      <c r="G3" s="109">
        <v>3.330222222222222</v>
      </c>
      <c r="H3" s="108">
        <v>2.4485887878787875</v>
      </c>
      <c r="I3" s="108">
        <v>2.2800162337662333</v>
      </c>
      <c r="J3" s="108">
        <v>2.8822192837165375</v>
      </c>
      <c r="K3" s="108">
        <v>3.3989551449275361</v>
      </c>
      <c r="L3" s="107">
        <v>3.4906637593984962</v>
      </c>
      <c r="M3" s="108">
        <v>4.0114354545454542</v>
      </c>
      <c r="N3" s="108">
        <v>3.5545437878787873</v>
      </c>
      <c r="O3" s="108">
        <v>3.8435529730122409</v>
      </c>
      <c r="P3" s="107">
        <v>5.1891878028404337</v>
      </c>
      <c r="Q3" s="108">
        <v>4.5901507936507935</v>
      </c>
      <c r="R3" s="108">
        <v>3.9380506493506497</v>
      </c>
      <c r="S3" s="109">
        <v>3.7585817303469473</v>
      </c>
      <c r="T3" s="107">
        <v>2.8741988995215308</v>
      </c>
      <c r="U3" s="108">
        <v>2.7290144155844156</v>
      </c>
      <c r="V3" s="108">
        <v>2.7463978354978358</v>
      </c>
      <c r="W3" s="109">
        <v>2.105159409888357</v>
      </c>
      <c r="X3" s="107">
        <v>1.978674465709729</v>
      </c>
      <c r="Y3" s="108">
        <v>2.1303479797979796</v>
      </c>
      <c r="Z3" s="108">
        <v>2.8493559834368529</v>
      </c>
      <c r="AA3" s="109">
        <v>3.0111138888888882</v>
      </c>
      <c r="AB3" s="107">
        <v>2.9905230701754384</v>
      </c>
      <c r="AC3" s="108">
        <v>3.0492774322169058</v>
      </c>
      <c r="AD3" s="108">
        <v>2.9322194202898557</v>
      </c>
      <c r="AE3" s="110">
        <v>2.8857771212121208</v>
      </c>
      <c r="AF3" s="107">
        <v>3.0814461988304096</v>
      </c>
      <c r="AG3" s="108">
        <v>2.8283399711399713</v>
      </c>
      <c r="AH3" s="108">
        <v>2.9181150739166757</v>
      </c>
      <c r="AI3" s="110">
        <v>3.7924869565217389</v>
      </c>
      <c r="AJ3" s="107">
        <v>2.9105275443510741</v>
      </c>
      <c r="AK3" s="108">
        <v>2.5567878787878784</v>
      </c>
      <c r="AL3" s="108">
        <v>2.388107575757576</v>
      </c>
      <c r="AM3" s="110">
        <v>2.4081102212051868</v>
      </c>
      <c r="AN3" s="107">
        <v>1.9129976456292246</v>
      </c>
      <c r="AO3" s="108">
        <v>1.7012965367965365</v>
      </c>
      <c r="AP3" s="108">
        <v>1.9851603835978835</v>
      </c>
      <c r="AQ3" s="110">
        <v>2.4580262215997508</v>
      </c>
      <c r="AR3" s="107">
        <v>3.4317002288329519</v>
      </c>
      <c r="AS3" s="108">
        <v>2.910056060606061</v>
      </c>
      <c r="AT3" s="108">
        <v>4.3211406926406921</v>
      </c>
      <c r="AU3" s="110">
        <v>4.7427555555555552</v>
      </c>
      <c r="AV3" s="107">
        <v>4.6238920671243324</v>
      </c>
      <c r="AW3" s="108">
        <v>7.4570265873015869</v>
      </c>
      <c r="AX3" s="108">
        <v>7.9442499309868877</v>
      </c>
      <c r="AY3" s="110">
        <v>5.493869674185464</v>
      </c>
      <c r="AZ3" s="107">
        <v>2.65581353928299</v>
      </c>
      <c r="BA3" s="108">
        <v>2.1636149464570518</v>
      </c>
      <c r="BB3" s="108">
        <v>2.5927442028985506</v>
      </c>
      <c r="BC3" s="109">
        <v>2.7412515948963319</v>
      </c>
      <c r="BD3" s="107">
        <v>2.1338488095238097</v>
      </c>
      <c r="BE3" s="111">
        <v>2.0781291866028706</v>
      </c>
      <c r="BF3" s="111">
        <v>2.3413333333333335</v>
      </c>
      <c r="BG3" s="112">
        <v>3.0046666666666666</v>
      </c>
      <c r="BH3" s="111">
        <v>3.4996666666666667</v>
      </c>
      <c r="BI3" s="111">
        <v>3.0680000000000001</v>
      </c>
      <c r="BJ3" s="111">
        <v>3.4096666666666664</v>
      </c>
      <c r="BK3" s="112">
        <v>3.8196666666666665</v>
      </c>
      <c r="BL3" s="111">
        <v>4.1149999999999993</v>
      </c>
      <c r="BM3" s="111">
        <v>3.3186666666666667</v>
      </c>
      <c r="BN3" s="111">
        <v>3.6393333333333335</v>
      </c>
      <c r="BO3" s="26">
        <v>4.0156666666666672</v>
      </c>
      <c r="BP3" s="111">
        <v>4.6689999999999996</v>
      </c>
    </row>
    <row r="4" spans="3:68" x14ac:dyDescent="0.25">
      <c r="C4" s="3" t="s">
        <v>2</v>
      </c>
      <c r="D4" s="107">
        <v>77.077018633540391</v>
      </c>
      <c r="E4" s="108">
        <v>78.73015873015872</v>
      </c>
      <c r="F4" s="108">
        <v>80.015079365079359</v>
      </c>
      <c r="G4" s="109">
        <v>78.942352092352095</v>
      </c>
      <c r="H4" s="107">
        <v>70.245851370851369</v>
      </c>
      <c r="I4" s="108">
        <v>60.088888888888896</v>
      </c>
      <c r="J4" s="108">
        <v>61.177803030303032</v>
      </c>
      <c r="K4" s="108">
        <v>66.800289855072478</v>
      </c>
      <c r="L4" s="107">
        <v>66.590066889632112</v>
      </c>
      <c r="M4" s="108">
        <v>67.077499999999986</v>
      </c>
      <c r="N4" s="108">
        <v>63.95545454545455</v>
      </c>
      <c r="O4" s="108">
        <v>63.614598997493736</v>
      </c>
      <c r="P4" s="107">
        <v>62.406299081035918</v>
      </c>
      <c r="Q4" s="108">
        <v>60.672539682539686</v>
      </c>
      <c r="R4" s="108">
        <v>57.210923520923522</v>
      </c>
      <c r="S4" s="109">
        <v>56.158973063973065</v>
      </c>
      <c r="T4" s="107">
        <v>53.348999999999997</v>
      </c>
      <c r="U4" s="108">
        <v>52.877469696969705</v>
      </c>
      <c r="V4" s="108">
        <v>50.631782106782111</v>
      </c>
      <c r="W4" s="109">
        <v>46.069214703425224</v>
      </c>
      <c r="X4" s="107">
        <v>42.296734259892155</v>
      </c>
      <c r="Y4" s="108">
        <v>41.1</v>
      </c>
      <c r="Z4" s="108">
        <v>40.947142857142858</v>
      </c>
      <c r="AA4" s="109">
        <v>44.935000000000002</v>
      </c>
      <c r="AB4" s="107">
        <v>50.054649122807014</v>
      </c>
      <c r="AC4" s="108">
        <v>52.445055821371618</v>
      </c>
      <c r="AD4" s="108">
        <v>53.009963768115945</v>
      </c>
      <c r="AE4" s="110">
        <v>58.280158730158725</v>
      </c>
      <c r="AF4" s="107">
        <v>60.864821143768516</v>
      </c>
      <c r="AG4" s="108">
        <v>62.132815734989641</v>
      </c>
      <c r="AH4" s="108">
        <v>71.949918521600438</v>
      </c>
      <c r="AI4" s="110">
        <v>78.711742424242416</v>
      </c>
      <c r="AJ4" s="107">
        <v>81.10167084377612</v>
      </c>
      <c r="AK4" s="108">
        <v>70.440001725327804</v>
      </c>
      <c r="AL4" s="108">
        <v>62.420378787878782</v>
      </c>
      <c r="AM4" s="110">
        <v>63.709833295359623</v>
      </c>
      <c r="AN4" s="107">
        <v>58.04545454545454</v>
      </c>
      <c r="AO4" s="108">
        <v>55.236655844155841</v>
      </c>
      <c r="AP4" s="108">
        <v>55.069805194805191</v>
      </c>
      <c r="AQ4" s="110">
        <v>55.178030303030305</v>
      </c>
      <c r="AR4" s="107">
        <v>56.569603356216625</v>
      </c>
      <c r="AS4" s="108">
        <v>60.498268398268401</v>
      </c>
      <c r="AT4" s="108">
        <v>64.141197691197689</v>
      </c>
      <c r="AU4" s="110">
        <v>83.808333333333337</v>
      </c>
      <c r="AV4" s="107">
        <v>91.112206331045002</v>
      </c>
      <c r="AW4" s="108">
        <v>123.11769841269842</v>
      </c>
      <c r="AX4" s="108">
        <v>182.89487577639753</v>
      </c>
      <c r="AY4" s="110">
        <v>191.02654761904762</v>
      </c>
      <c r="AZ4" s="107">
        <v>134.10812356979406</v>
      </c>
      <c r="BA4" s="108">
        <v>79.893628009417483</v>
      </c>
      <c r="BB4" s="108">
        <v>66.890579710144934</v>
      </c>
      <c r="BC4" s="109">
        <v>73.460652958152949</v>
      </c>
      <c r="BD4" s="107">
        <v>75.521626984126982</v>
      </c>
      <c r="BE4" s="111">
        <v>76.936084529505578</v>
      </c>
      <c r="BF4" s="111">
        <v>81.849999999999994</v>
      </c>
      <c r="BG4" s="112"/>
      <c r="BH4" s="111"/>
      <c r="BI4" s="111"/>
      <c r="BJ4" s="111"/>
      <c r="BK4" s="112"/>
      <c r="BL4" s="111"/>
      <c r="BM4" s="111"/>
      <c r="BN4" s="111"/>
      <c r="BO4" s="26"/>
      <c r="BP4" s="111"/>
    </row>
    <row r="5" spans="3:68" x14ac:dyDescent="0.25">
      <c r="C5" s="3" t="s">
        <v>3</v>
      </c>
      <c r="D5" s="107">
        <v>13.891242236024842</v>
      </c>
      <c r="E5" s="108">
        <v>12.697619047619048</v>
      </c>
      <c r="F5" s="108">
        <v>14.270746282702804</v>
      </c>
      <c r="G5" s="109">
        <v>13.634054834054835</v>
      </c>
      <c r="H5" s="107">
        <v>9.8515151515151516</v>
      </c>
      <c r="I5" s="108">
        <v>9.0608264320220844</v>
      </c>
      <c r="J5" s="108">
        <v>8.855681818181818</v>
      </c>
      <c r="K5" s="108">
        <v>10.088478260869564</v>
      </c>
      <c r="L5" s="107">
        <v>10.223634336677815</v>
      </c>
      <c r="M5" s="108">
        <v>10.510833333333334</v>
      </c>
      <c r="N5" s="108">
        <v>10.380303030303031</v>
      </c>
      <c r="O5" s="108">
        <v>10.975844155844156</v>
      </c>
      <c r="P5" s="107">
        <v>12.360192147034255</v>
      </c>
      <c r="Q5" s="108">
        <v>12.972063492063491</v>
      </c>
      <c r="R5" s="108">
        <v>11.941702741702741</v>
      </c>
      <c r="S5" s="109">
        <v>11.536363636363637</v>
      </c>
      <c r="T5" s="107">
        <v>11.595833333333333</v>
      </c>
      <c r="U5" s="108">
        <v>11.550000000000002</v>
      </c>
      <c r="V5" s="108">
        <v>11.591666666666669</v>
      </c>
      <c r="W5" s="109">
        <v>11.21733500417711</v>
      </c>
      <c r="X5" s="107">
        <v>9.6898951925267713</v>
      </c>
      <c r="Y5" s="108">
        <v>9.1579365079365083</v>
      </c>
      <c r="Z5" s="108">
        <v>8.6302380952380968</v>
      </c>
      <c r="AA5" s="109">
        <v>9.3319444444444457</v>
      </c>
      <c r="AB5" s="107">
        <v>11.491718154080855</v>
      </c>
      <c r="AC5" s="108">
        <v>11.601881977671454</v>
      </c>
      <c r="AD5" s="108">
        <v>11.516514492753624</v>
      </c>
      <c r="AE5" s="110">
        <v>11.923015873015872</v>
      </c>
      <c r="AF5" s="107">
        <v>12.298803827751195</v>
      </c>
      <c r="AG5" s="108">
        <v>12.407349896480332</v>
      </c>
      <c r="AH5" s="108">
        <v>12.531407322654461</v>
      </c>
      <c r="AI5" s="110">
        <v>12.012500000000001</v>
      </c>
      <c r="AJ5" s="107">
        <v>12.349832915622388</v>
      </c>
      <c r="AK5" s="108">
        <v>12.498205659075225</v>
      </c>
      <c r="AL5" s="108">
        <v>12.137727272727274</v>
      </c>
      <c r="AM5" s="110">
        <v>12.001015797068428</v>
      </c>
      <c r="AN5" s="107">
        <v>11.676953748006381</v>
      </c>
      <c r="AO5" s="108">
        <v>11.563820346320348</v>
      </c>
      <c r="AP5" s="108">
        <v>11.78676046176046</v>
      </c>
      <c r="AQ5" s="110">
        <v>11.643109668109668</v>
      </c>
      <c r="AR5" s="107">
        <v>11.621510297482837</v>
      </c>
      <c r="AS5" s="108">
        <v>12.031854256854258</v>
      </c>
      <c r="AT5" s="108">
        <v>12.326443001443002</v>
      </c>
      <c r="AU5" s="110">
        <v>22.175108225108222</v>
      </c>
      <c r="AV5" s="107">
        <v>23.171689549961865</v>
      </c>
      <c r="AW5" s="108">
        <v>15.889920634920633</v>
      </c>
      <c r="AX5" s="108">
        <v>16.339302967563835</v>
      </c>
      <c r="AY5" s="110">
        <v>16.587063492063493</v>
      </c>
      <c r="AZ5" s="107">
        <v>15.369541607642295</v>
      </c>
      <c r="BA5" s="108">
        <v>14.912660438976227</v>
      </c>
      <c r="BB5" s="108">
        <v>14.314166666666667</v>
      </c>
      <c r="BC5" s="109">
        <v>14.027665945165944</v>
      </c>
      <c r="BD5" s="107">
        <v>13.910039682539681</v>
      </c>
      <c r="BE5" s="111">
        <v>13.653708133971291</v>
      </c>
      <c r="BF5" s="111">
        <v>13.55</v>
      </c>
      <c r="BG5" s="112"/>
      <c r="BH5" s="111"/>
      <c r="BI5" s="111"/>
      <c r="BJ5" s="111"/>
      <c r="BK5" s="112"/>
      <c r="BL5" s="111"/>
      <c r="BM5" s="111"/>
      <c r="BN5" s="111"/>
      <c r="BO5" s="26"/>
      <c r="BP5" s="111"/>
    </row>
    <row r="6" spans="3:68" x14ac:dyDescent="0.25">
      <c r="C6" s="3" t="s">
        <v>190</v>
      </c>
      <c r="D6" s="107">
        <v>73.256169772256726</v>
      </c>
      <c r="E6" s="108">
        <v>77.485714285714295</v>
      </c>
      <c r="F6" s="108">
        <v>77.186660079051379</v>
      </c>
      <c r="G6" s="109">
        <v>76.44967532467534</v>
      </c>
      <c r="H6" s="107">
        <v>70.222950089126556</v>
      </c>
      <c r="I6" s="108">
        <v>65.007142857142853</v>
      </c>
      <c r="J6" s="108">
        <v>64.983333333333334</v>
      </c>
      <c r="K6" s="108">
        <v>64.317520703933738</v>
      </c>
      <c r="L6" s="107">
        <v>62.22318840579711</v>
      </c>
      <c r="M6" s="108">
        <v>65.00333333333333</v>
      </c>
      <c r="N6" s="108">
        <v>68.147727272727266</v>
      </c>
      <c r="O6" s="108">
        <v>68.561403508771932</v>
      </c>
      <c r="P6" s="107">
        <v>68.482414369256475</v>
      </c>
      <c r="Q6" s="108">
        <v>67.247460317460323</v>
      </c>
      <c r="R6" s="108">
        <v>63.535714285714278</v>
      </c>
      <c r="S6" s="109">
        <v>64.892171717171706</v>
      </c>
      <c r="T6" s="107">
        <v>62.627061403508769</v>
      </c>
      <c r="U6" s="108">
        <v>59.859828282828289</v>
      </c>
      <c r="V6" s="108">
        <v>52.836147186147194</v>
      </c>
      <c r="W6" s="109">
        <v>50.318086883876354</v>
      </c>
      <c r="X6" s="107">
        <v>48.567786891471108</v>
      </c>
      <c r="Y6" s="108">
        <v>44.060317460317457</v>
      </c>
      <c r="Z6" s="108">
        <v>42.592106625258801</v>
      </c>
      <c r="AA6" s="109">
        <v>42.849444444444451</v>
      </c>
      <c r="AB6" s="107">
        <v>45.487953852021356</v>
      </c>
      <c r="AC6" s="108">
        <v>45.599641148325361</v>
      </c>
      <c r="AD6" s="108">
        <v>45.855797101449276</v>
      </c>
      <c r="AE6" s="110">
        <v>45.895238095238106</v>
      </c>
      <c r="AF6" s="107">
        <v>45.828639781271363</v>
      </c>
      <c r="AG6" s="108">
        <v>45.606314699792961</v>
      </c>
      <c r="AH6" s="108">
        <v>54.810921572706469</v>
      </c>
      <c r="AI6" s="110">
        <v>61.427272727272729</v>
      </c>
      <c r="AJ6" s="107">
        <v>67.979532163742689</v>
      </c>
      <c r="AK6" s="108">
        <v>61.583799171842657</v>
      </c>
      <c r="AL6" s="108">
        <v>50.614696969696972</v>
      </c>
      <c r="AM6" s="110">
        <v>55.159814308498518</v>
      </c>
      <c r="AN6" s="107">
        <v>48.625558213716111</v>
      </c>
      <c r="AO6" s="108">
        <v>44.13075396825397</v>
      </c>
      <c r="AP6" s="108">
        <v>42.561363636363637</v>
      </c>
      <c r="AQ6" s="110">
        <v>43.50151515151515</v>
      </c>
      <c r="AR6" s="107">
        <v>49.018039664378342</v>
      </c>
      <c r="AS6" s="108">
        <v>53.959812409812407</v>
      </c>
      <c r="AT6" s="108">
        <v>56.760461760461759</v>
      </c>
      <c r="AU6" s="110">
        <v>69.089682539682542</v>
      </c>
      <c r="AV6" s="107">
        <v>75.039057971014486</v>
      </c>
      <c r="AW6" s="108">
        <v>99.120714285714271</v>
      </c>
      <c r="AX6" s="108">
        <v>152.8199982746722</v>
      </c>
      <c r="AY6" s="110">
        <v>191.31313492063495</v>
      </c>
      <c r="AZ6" s="107">
        <v>110.28405252261088</v>
      </c>
      <c r="BA6" s="108">
        <v>71.085649730386578</v>
      </c>
      <c r="BB6" s="108">
        <v>53.614130434782616</v>
      </c>
      <c r="BC6" s="109">
        <v>52.005818903318904</v>
      </c>
      <c r="BD6" s="107">
        <v>49.963134920634921</v>
      </c>
      <c r="BE6" s="111">
        <v>53.30163476874003</v>
      </c>
      <c r="BF6" s="111">
        <v>58</v>
      </c>
      <c r="BG6" s="112"/>
      <c r="BH6" s="111"/>
      <c r="BI6" s="111"/>
      <c r="BJ6" s="111"/>
      <c r="BK6" s="112"/>
      <c r="BL6" s="111"/>
      <c r="BM6" s="111"/>
      <c r="BN6" s="111"/>
      <c r="BO6" s="26"/>
      <c r="BP6" s="111"/>
    </row>
    <row r="7" spans="3:68" x14ac:dyDescent="0.25">
      <c r="C7" s="3" t="s">
        <v>191</v>
      </c>
      <c r="D7" s="107">
        <v>47.5</v>
      </c>
      <c r="E7" s="108">
        <v>47.7484126984127</v>
      </c>
      <c r="F7" s="108">
        <v>47.79999999999999</v>
      </c>
      <c r="G7" s="109">
        <v>48.315079365079363</v>
      </c>
      <c r="H7" s="107">
        <v>52.354437229437231</v>
      </c>
      <c r="I7" s="108">
        <v>48.653554175293301</v>
      </c>
      <c r="J7" s="108">
        <v>47.409090909090907</v>
      </c>
      <c r="K7" s="108">
        <v>47.884782608695652</v>
      </c>
      <c r="L7" s="107">
        <v>46.91282051282051</v>
      </c>
      <c r="M7" s="108">
        <v>45.15</v>
      </c>
      <c r="N7" s="108">
        <v>45.540151515151514</v>
      </c>
      <c r="O7" s="108">
        <v>46.127272727272725</v>
      </c>
      <c r="P7" s="107">
        <v>46.564394319131161</v>
      </c>
      <c r="Q7" s="108">
        <v>46.333809523809528</v>
      </c>
      <c r="R7" s="108">
        <v>44.175324675324674</v>
      </c>
      <c r="S7" s="109">
        <v>44.593434343434346</v>
      </c>
      <c r="T7" s="107">
        <v>43.128307017543854</v>
      </c>
      <c r="U7" s="108">
        <v>40.512000000000008</v>
      </c>
      <c r="V7" s="108">
        <v>35.027272727272731</v>
      </c>
      <c r="W7" s="109">
        <v>32.724477861319968</v>
      </c>
      <c r="X7" s="107">
        <v>32.235087719298249</v>
      </c>
      <c r="Y7" s="108">
        <v>31.7</v>
      </c>
      <c r="Z7" s="108">
        <v>31.995000000000001</v>
      </c>
      <c r="AA7" s="109">
        <v>33.44444444444445</v>
      </c>
      <c r="AB7" s="107">
        <v>32.984210526315792</v>
      </c>
      <c r="AC7" s="108">
        <v>31.011403508771931</v>
      </c>
      <c r="AD7" s="108">
        <v>30.741666666666664</v>
      </c>
      <c r="AE7" s="110">
        <v>32.461111111111109</v>
      </c>
      <c r="AF7" s="107">
        <v>32.86532999164578</v>
      </c>
      <c r="AG7" s="108">
        <v>32.739682539682541</v>
      </c>
      <c r="AH7" s="108">
        <v>33.065881353581581</v>
      </c>
      <c r="AI7" s="110">
        <v>38.171590909090909</v>
      </c>
      <c r="AJ7" s="107">
        <v>38.594736842105263</v>
      </c>
      <c r="AK7" s="108">
        <v>39.488492063492068</v>
      </c>
      <c r="AL7" s="108">
        <v>39.081666666666671</v>
      </c>
      <c r="AM7" s="110">
        <v>37.721855775803142</v>
      </c>
      <c r="AN7" s="107">
        <v>33.840151515151518</v>
      </c>
      <c r="AO7" s="108">
        <v>33.137499999999996</v>
      </c>
      <c r="AP7" s="108">
        <v>34.044696969696965</v>
      </c>
      <c r="AQ7" s="110">
        <v>34.083333333333336</v>
      </c>
      <c r="AR7" s="107">
        <v>34.302059496567509</v>
      </c>
      <c r="AS7" s="108">
        <v>34.5</v>
      </c>
      <c r="AT7" s="108">
        <v>35.334956709956707</v>
      </c>
      <c r="AU7" s="110">
        <v>40.752489177489174</v>
      </c>
      <c r="AV7" s="107">
        <v>80.879782608695663</v>
      </c>
      <c r="AW7" s="108">
        <v>119.44198412698414</v>
      </c>
      <c r="AX7" s="108">
        <v>187.71969461697722</v>
      </c>
      <c r="AY7" s="110">
        <v>182.70436507936506</v>
      </c>
      <c r="AZ7" s="107">
        <v>119.84266826486505</v>
      </c>
      <c r="BA7" s="108">
        <v>67.439473684210526</v>
      </c>
      <c r="BB7" s="108">
        <v>50.245833333333337</v>
      </c>
      <c r="BC7" s="109">
        <v>47.624585137085141</v>
      </c>
      <c r="BD7" s="107">
        <v>43.337301587301589</v>
      </c>
      <c r="BE7" s="111">
        <v>44.54545454545454</v>
      </c>
      <c r="BF7" s="111">
        <v>45</v>
      </c>
      <c r="BG7" s="112"/>
      <c r="BH7" s="111"/>
      <c r="BI7" s="111"/>
      <c r="BJ7" s="111"/>
      <c r="BK7" s="112"/>
      <c r="BL7" s="111"/>
      <c r="BM7" s="111"/>
      <c r="BN7" s="111"/>
      <c r="BO7" s="26"/>
      <c r="BP7" s="111"/>
    </row>
    <row r="8" spans="3:68" x14ac:dyDescent="0.25">
      <c r="C8" s="3" t="s">
        <v>206</v>
      </c>
      <c r="D8" s="107">
        <v>7.0755827612509536</v>
      </c>
      <c r="E8" s="108">
        <v>4.7501327561327562</v>
      </c>
      <c r="F8" s="108">
        <v>4.7271138716356109</v>
      </c>
      <c r="G8" s="109">
        <v>3.821396825396826</v>
      </c>
      <c r="H8" s="107">
        <v>3.1548030303030306</v>
      </c>
      <c r="I8" s="108">
        <v>2.4893463203463204</v>
      </c>
      <c r="J8" s="108">
        <v>3.0652359158766482</v>
      </c>
      <c r="K8" s="109">
        <v>4.1763000000000003</v>
      </c>
      <c r="L8" s="107">
        <v>7.6746324143692561</v>
      </c>
      <c r="M8" s="108">
        <v>4.2984696969696978</v>
      </c>
      <c r="N8" s="108">
        <v>3.7743333333333329</v>
      </c>
      <c r="O8" s="109">
        <v>4.453100841959972</v>
      </c>
      <c r="P8" s="107">
        <v>17.227577109440272</v>
      </c>
      <c r="Q8" s="108">
        <v>3.7369888888888894</v>
      </c>
      <c r="R8" s="108">
        <v>2.5600363636363634</v>
      </c>
      <c r="S8" s="109">
        <v>3.316728260869565</v>
      </c>
      <c r="T8" s="107">
        <v>9.199055071770335</v>
      </c>
      <c r="U8" s="108">
        <v>2.4778707792207793</v>
      </c>
      <c r="V8" s="108">
        <v>2.2837887445887444</v>
      </c>
      <c r="W8" s="109">
        <v>1.911880701754386</v>
      </c>
      <c r="X8" s="107">
        <v>2.5114603269537481</v>
      </c>
      <c r="Y8" s="108">
        <v>1.7042898268398268</v>
      </c>
      <c r="Z8" s="108">
        <v>1.902348685300207</v>
      </c>
      <c r="AA8" s="109">
        <v>2.7961305555555556</v>
      </c>
      <c r="AB8" s="107">
        <v>3.3438473340961097</v>
      </c>
      <c r="AC8" s="108">
        <v>2.7023527910685807</v>
      </c>
      <c r="AD8" s="108">
        <v>2.4077136575133489</v>
      </c>
      <c r="AE8" s="109">
        <v>3.7559342185007973</v>
      </c>
      <c r="AF8" s="107">
        <v>6.9967927170868345</v>
      </c>
      <c r="AG8" s="108">
        <v>2.7265309068124863</v>
      </c>
      <c r="AH8" s="108">
        <v>2.9462111801242234</v>
      </c>
      <c r="AI8" s="109">
        <v>3.8108888888888885</v>
      </c>
      <c r="AJ8" s="107">
        <v>3.684727513227513</v>
      </c>
      <c r="AK8" s="108">
        <v>2.2765555555555554</v>
      </c>
      <c r="AL8" s="108">
        <v>1.9821421356421356</v>
      </c>
      <c r="AM8" s="109">
        <v>2.4285869565217393</v>
      </c>
      <c r="AN8" s="107">
        <v>1.8275952380952381</v>
      </c>
      <c r="AO8" s="108">
        <v>1.4680611721611723</v>
      </c>
      <c r="AP8" s="108">
        <v>1.5294090909090909</v>
      </c>
      <c r="AQ8" s="109">
        <v>1.9291615275562641</v>
      </c>
      <c r="AR8" s="107">
        <v>3.5694736842105264</v>
      </c>
      <c r="AS8" s="108">
        <v>2.4428268759018761</v>
      </c>
      <c r="AT8" s="108">
        <v>3.8106992784992784</v>
      </c>
      <c r="AU8" s="109">
        <v>4.4543928571428575</v>
      </c>
      <c r="AV8" s="107">
        <v>7.4664911517925248</v>
      </c>
      <c r="AW8" s="108">
        <v>6.7905738095238091</v>
      </c>
      <c r="AX8" s="108">
        <v>7.2301812974465145</v>
      </c>
      <c r="AY8" s="109">
        <v>6.5235413533834601</v>
      </c>
      <c r="AZ8" s="107">
        <v>3.0373580091533179</v>
      </c>
      <c r="BA8" s="108">
        <v>1.5519168375484165</v>
      </c>
      <c r="BB8" s="108">
        <v>1.5290643401983219</v>
      </c>
      <c r="BC8" s="109">
        <v>1.9568235247208932</v>
      </c>
      <c r="BD8" s="107">
        <v>2.7612749999999999</v>
      </c>
      <c r="BE8" s="108">
        <v>1.6184370015948961</v>
      </c>
      <c r="BF8" s="111">
        <v>1.516</v>
      </c>
      <c r="BG8" s="112">
        <v>2.508</v>
      </c>
      <c r="BH8" s="111">
        <v>5.1806666666666672</v>
      </c>
      <c r="BI8" s="111">
        <v>2.3636666666666666</v>
      </c>
      <c r="BJ8" s="111">
        <v>2.4946666666666668</v>
      </c>
      <c r="BK8" s="112">
        <v>3.3516666666666666</v>
      </c>
      <c r="BL8" s="111">
        <v>6.0126666666666653</v>
      </c>
      <c r="BM8" s="111">
        <v>2.3783333333333334</v>
      </c>
      <c r="BN8" s="111">
        <v>2.544</v>
      </c>
      <c r="BO8" s="26">
        <v>3.6709999999999998</v>
      </c>
      <c r="BP8" s="111">
        <v>8.1820000000000004</v>
      </c>
    </row>
    <row r="9" spans="3:68" x14ac:dyDescent="0.25">
      <c r="C9" s="3" t="s">
        <v>207</v>
      </c>
      <c r="D9" s="107">
        <v>5.9348562166285275</v>
      </c>
      <c r="E9" s="108">
        <v>4.6508217893217898</v>
      </c>
      <c r="F9" s="108">
        <v>4.3783461007591447</v>
      </c>
      <c r="G9" s="109">
        <v>3.6041666666666665</v>
      </c>
      <c r="H9" s="107">
        <v>2.7410303030303034</v>
      </c>
      <c r="I9" s="108">
        <v>2.4442554112554116</v>
      </c>
      <c r="J9" s="108">
        <v>3.0504936253677677</v>
      </c>
      <c r="K9" s="111">
        <v>3.6795507246376808</v>
      </c>
      <c r="L9" s="113">
        <v>4.20609440267335</v>
      </c>
      <c r="M9" s="111">
        <v>4.1166212121212125</v>
      </c>
      <c r="N9" s="111">
        <v>3.5571969696969696</v>
      </c>
      <c r="O9" s="112">
        <v>3.9858484920634916</v>
      </c>
      <c r="P9" s="111">
        <v>13.017535505430244</v>
      </c>
      <c r="Q9" s="111">
        <v>3.7079365079365076</v>
      </c>
      <c r="R9" s="111">
        <v>2.4956277056277059</v>
      </c>
      <c r="S9" s="112">
        <v>2.8037373725816521</v>
      </c>
      <c r="T9" s="111">
        <v>6.0171331738436997</v>
      </c>
      <c r="U9" s="111">
        <v>1.6031711399711399</v>
      </c>
      <c r="V9" s="111">
        <v>1.374639826839827</v>
      </c>
      <c r="W9" s="112">
        <v>1.2888295454545455</v>
      </c>
      <c r="X9" s="111">
        <v>1.7918819776714514</v>
      </c>
      <c r="Y9" s="111">
        <v>1.5811507936507938</v>
      </c>
      <c r="Z9" s="111">
        <v>1.3120044858523119</v>
      </c>
      <c r="AA9" s="112">
        <v>2.2906063492063491</v>
      </c>
      <c r="AB9" s="111">
        <v>2.9674632303585047</v>
      </c>
      <c r="AC9" s="111">
        <v>2.5216471291866029</v>
      </c>
      <c r="AD9" s="111">
        <v>1.717908623188406</v>
      </c>
      <c r="AE9" s="110">
        <v>3.197132323232323</v>
      </c>
      <c r="AF9" s="111">
        <v>6.0156641604010028</v>
      </c>
      <c r="AG9" s="111">
        <v>2.403279942279942</v>
      </c>
      <c r="AH9" s="111">
        <v>2.5173061881757532</v>
      </c>
      <c r="AI9" s="110">
        <v>3.6124421212121214</v>
      </c>
      <c r="AJ9" s="111">
        <v>3.2539682539682544</v>
      </c>
      <c r="AK9" s="111">
        <v>2.2251832611832612</v>
      </c>
      <c r="AL9" s="111">
        <v>1.909547619047619</v>
      </c>
      <c r="AM9" s="110">
        <v>2.2938083735909824</v>
      </c>
      <c r="AN9" s="111">
        <v>1.7428317004632794</v>
      </c>
      <c r="AO9" s="111">
        <v>1.4600974025974025</v>
      </c>
      <c r="AP9" s="111">
        <v>1.4932222222222222</v>
      </c>
      <c r="AQ9" s="110">
        <v>1.740001893939394</v>
      </c>
      <c r="AR9" s="111">
        <v>3.2211365369946603</v>
      </c>
      <c r="AS9" s="111">
        <v>2.333556926406926</v>
      </c>
      <c r="AT9" s="111">
        <v>3.8166562049062045</v>
      </c>
      <c r="AU9" s="112">
        <v>4.3023571428571428</v>
      </c>
      <c r="AV9" s="111">
        <v>6.5694393592677356</v>
      </c>
      <c r="AW9" s="111">
        <v>6.8135436507936511</v>
      </c>
      <c r="AX9" s="111">
        <v>7.1277991718426499</v>
      </c>
      <c r="AY9" s="112">
        <v>6.0319001670843777</v>
      </c>
      <c r="AZ9" s="108">
        <v>3.0476556826849728</v>
      </c>
      <c r="BA9" s="108">
        <v>1.5238143844459635</v>
      </c>
      <c r="BB9" s="108">
        <v>1.4404586956521737</v>
      </c>
      <c r="BC9" s="109">
        <v>1.8747188995215309</v>
      </c>
      <c r="BD9" s="111">
        <v>2.5904007936507933</v>
      </c>
      <c r="BE9" s="111">
        <v>1.5691443381180223</v>
      </c>
      <c r="BF9" s="111">
        <v>1.5086666666666666</v>
      </c>
      <c r="BG9" s="112">
        <v>2.3713333333333333</v>
      </c>
      <c r="BH9" s="111">
        <v>4.5230000000000006</v>
      </c>
      <c r="BI9" s="111">
        <v>2.3369999999999997</v>
      </c>
      <c r="BJ9" s="111">
        <v>2.4036666666666666</v>
      </c>
      <c r="BK9" s="112">
        <v>3.2306666666666666</v>
      </c>
      <c r="BL9" s="111">
        <v>5.2973333333333334</v>
      </c>
      <c r="BM9" s="111">
        <v>2.4806666666666666</v>
      </c>
      <c r="BN9" s="111">
        <v>2.6119999999999997</v>
      </c>
      <c r="BO9" s="26">
        <v>3.4096666666666664</v>
      </c>
      <c r="BP9" s="111">
        <v>6.8040000000000003</v>
      </c>
    </row>
    <row r="10" spans="3:68" x14ac:dyDescent="0.25">
      <c r="C10" s="3" t="s">
        <v>209</v>
      </c>
      <c r="D10" s="107">
        <v>4.141935621662852</v>
      </c>
      <c r="E10" s="108">
        <v>4.3929302958152965</v>
      </c>
      <c r="F10" s="108">
        <v>4.2650678398895794</v>
      </c>
      <c r="G10" s="109">
        <v>3.6388924603174604</v>
      </c>
      <c r="H10" s="107">
        <v>2.7720134848484848</v>
      </c>
      <c r="I10" s="108">
        <v>2.5672589466089466</v>
      </c>
      <c r="J10" s="108">
        <v>3.1022584214158582</v>
      </c>
      <c r="K10" s="111">
        <v>3.7243317391304345</v>
      </c>
      <c r="L10" s="113">
        <v>3.7578168964076859</v>
      </c>
      <c r="M10" s="111">
        <v>4.1712643939393939</v>
      </c>
      <c r="N10" s="111">
        <v>3.7915022727272727</v>
      </c>
      <c r="O10" s="112">
        <v>4.1577270531400972</v>
      </c>
      <c r="P10" s="111">
        <v>5.5637319131161229</v>
      </c>
      <c r="Q10" s="111">
        <v>4.9196444444444447</v>
      </c>
      <c r="R10" s="111">
        <v>4.4669651515151516</v>
      </c>
      <c r="S10" s="112">
        <v>4.0269582830594262</v>
      </c>
      <c r="T10" s="111">
        <v>2.8568525677830938</v>
      </c>
      <c r="U10" s="111">
        <v>2.8191771500721501</v>
      </c>
      <c r="V10" s="111">
        <v>3.0192386724386728</v>
      </c>
      <c r="W10" s="112">
        <v>2.4949119696969695</v>
      </c>
      <c r="X10" s="111">
        <v>2.1012330701754385</v>
      </c>
      <c r="Y10" s="111">
        <v>2.2218137806637803</v>
      </c>
      <c r="Z10" s="111">
        <v>2.9085769082125608</v>
      </c>
      <c r="AA10" s="112">
        <v>3.0892634920634925</v>
      </c>
      <c r="AB10" s="111">
        <v>3.1494169221967958</v>
      </c>
      <c r="AC10" s="111">
        <v>3.1812499999999999</v>
      </c>
      <c r="AD10" s="111">
        <v>3.2130378985507249</v>
      </c>
      <c r="AE10" s="110">
        <v>4.3782451587301585</v>
      </c>
      <c r="AF10" s="111">
        <v>3.5531583333333336</v>
      </c>
      <c r="AG10" s="111">
        <v>3.1404240601503761</v>
      </c>
      <c r="AH10" s="111">
        <v>7.6526730733162829</v>
      </c>
      <c r="AI10" s="110">
        <v>6.3469114814814818</v>
      </c>
      <c r="AJ10" s="111">
        <v>6.7486185185185192</v>
      </c>
      <c r="AK10" s="111">
        <v>2.6272265512265509</v>
      </c>
      <c r="AL10" s="111">
        <v>3.0071272799422801</v>
      </c>
      <c r="AM10" s="110">
        <v>4.5958465993265998</v>
      </c>
      <c r="AN10" s="111">
        <v>2.8699633053221292</v>
      </c>
      <c r="AO10" s="111">
        <v>1.8618583333333334</v>
      </c>
      <c r="AP10" s="111">
        <v>3.1642904761904767</v>
      </c>
      <c r="AQ10" s="110">
        <v>4.2359920634920636</v>
      </c>
      <c r="AR10" s="111">
        <v>8.1943821510297479</v>
      </c>
      <c r="AS10" s="111">
        <v>3.932364357864357</v>
      </c>
      <c r="AT10" s="111">
        <v>6.9865292207792207</v>
      </c>
      <c r="AU10" s="112">
        <v>6.6317388888888891</v>
      </c>
      <c r="AV10" s="111">
        <v>4.9422620137299775</v>
      </c>
      <c r="AW10" s="111">
        <v>7.7460992063492071</v>
      </c>
      <c r="AX10" s="111">
        <v>9.2037777777777787</v>
      </c>
      <c r="AY10" s="112">
        <v>15.730156223893067</v>
      </c>
      <c r="AZ10" s="108">
        <v>11.080548703279939</v>
      </c>
      <c r="BA10" s="108">
        <v>3.9484660135186451</v>
      </c>
      <c r="BB10" s="108">
        <v>5.3154087337909992</v>
      </c>
      <c r="BC10" s="109">
        <v>5.7921313397129195</v>
      </c>
      <c r="BD10" s="111">
        <v>3.0171551587301586</v>
      </c>
      <c r="BE10" s="111">
        <v>1.8037567783094099</v>
      </c>
      <c r="BF10" s="111">
        <v>3.3206666666666664</v>
      </c>
      <c r="BG10" s="112">
        <v>5.2666666666666666</v>
      </c>
      <c r="BH10" s="111">
        <v>6.4733333333333336</v>
      </c>
      <c r="BI10" s="111">
        <v>3.6086666666666667</v>
      </c>
      <c r="BJ10" s="111">
        <v>5.9056666666666677</v>
      </c>
      <c r="BK10" s="112">
        <v>6.4136666666666668</v>
      </c>
      <c r="BL10" s="111">
        <v>6.6533333333333333</v>
      </c>
      <c r="BM10" s="111">
        <v>4.0330000000000004</v>
      </c>
      <c r="BN10" s="111">
        <v>6.05</v>
      </c>
      <c r="BO10" s="26">
        <v>6.6143333333333336</v>
      </c>
      <c r="BP10" s="111">
        <v>8.9019999999999992</v>
      </c>
    </row>
    <row r="11" spans="3:68" x14ac:dyDescent="0.25">
      <c r="C11" s="3" t="s">
        <v>214</v>
      </c>
      <c r="D11" s="107">
        <v>4.1718870327993898</v>
      </c>
      <c r="E11" s="108">
        <v>4.2511070418470416</v>
      </c>
      <c r="F11" s="108">
        <v>4.0431327122153204</v>
      </c>
      <c r="G11" s="109">
        <v>3.2408158730158725</v>
      </c>
      <c r="H11" s="107">
        <v>2.3846463636363637</v>
      </c>
      <c r="I11" s="108">
        <v>2.2360961111111113</v>
      </c>
      <c r="J11" s="108">
        <v>2.803344593367477</v>
      </c>
      <c r="K11" s="111">
        <v>3.3314029710144926</v>
      </c>
      <c r="L11" s="113">
        <v>3.4109383124477866</v>
      </c>
      <c r="M11" s="111">
        <v>3.9072281818181822</v>
      </c>
      <c r="N11" s="111">
        <v>3.4972701515151514</v>
      </c>
      <c r="O11" s="112">
        <v>3.7967874120082818</v>
      </c>
      <c r="P11" s="111">
        <v>5.3721209690893907</v>
      </c>
      <c r="Q11" s="111">
        <v>4.4342825396825392</v>
      </c>
      <c r="R11" s="111">
        <v>3.8721828282828281</v>
      </c>
      <c r="S11" s="112">
        <v>3.6458159038901603</v>
      </c>
      <c r="T11" s="111">
        <v>2.699361889952153</v>
      </c>
      <c r="U11" s="111">
        <v>2.577029365079365</v>
      </c>
      <c r="V11" s="111">
        <v>2.6391179653679653</v>
      </c>
      <c r="W11" s="112">
        <v>2.0605428787878792</v>
      </c>
      <c r="X11" s="111">
        <v>1.8546610685805422</v>
      </c>
      <c r="Y11" s="111">
        <v>1.9770309523809526</v>
      </c>
      <c r="Z11" s="111">
        <v>2.6942395445134579</v>
      </c>
      <c r="AA11" s="112">
        <v>2.8222142857142853</v>
      </c>
      <c r="AB11" s="111">
        <v>2.7702685926773456</v>
      </c>
      <c r="AC11" s="111">
        <v>2.7351389154704946</v>
      </c>
      <c r="AD11" s="111">
        <v>2.6663210144927536</v>
      </c>
      <c r="AE11" s="110">
        <v>2.5762112049062047</v>
      </c>
      <c r="AF11" s="111">
        <v>2.4344026733500415</v>
      </c>
      <c r="AG11" s="111">
        <v>1.9735606060606059</v>
      </c>
      <c r="AH11" s="111">
        <v>1.8708304577869797</v>
      </c>
      <c r="AI11" s="110">
        <v>1.7926160248447205</v>
      </c>
      <c r="AJ11" s="111">
        <v>1.4041534391534392</v>
      </c>
      <c r="AK11" s="111">
        <v>1.5552207792207784E-2</v>
      </c>
      <c r="AL11" s="111">
        <v>0.95774242424242428</v>
      </c>
      <c r="AM11" s="110">
        <v>1.2068006973956631</v>
      </c>
      <c r="AN11" s="111">
        <v>0.50464684438368657</v>
      </c>
      <c r="AO11" s="111">
        <v>1.0826296802612592</v>
      </c>
      <c r="AP11" s="111">
        <v>1.2867171717171717</v>
      </c>
      <c r="AQ11" s="110">
        <v>1.7315549783549784</v>
      </c>
      <c r="AR11" s="111">
        <v>10.73487414187643</v>
      </c>
      <c r="AS11" s="111">
        <v>2.6657253968253971</v>
      </c>
      <c r="AT11" s="111">
        <v>4.0260212842712839</v>
      </c>
      <c r="AU11" s="112">
        <v>4.2561428571428577</v>
      </c>
      <c r="AV11" s="111">
        <v>4.1150389016018307</v>
      </c>
      <c r="AW11" s="111">
        <v>6.7793563492063491</v>
      </c>
      <c r="AX11" s="111">
        <v>6.691632505175984</v>
      </c>
      <c r="AY11" s="112">
        <v>3.1736682539682537</v>
      </c>
      <c r="AZ11" s="108">
        <v>1.6339012204424106</v>
      </c>
      <c r="BA11" s="108">
        <v>1.5245234297865877</v>
      </c>
      <c r="BB11" s="108">
        <v>2.0344412662090008</v>
      </c>
      <c r="BC11" s="109">
        <v>1.5149553429027112</v>
      </c>
      <c r="BD11" s="111">
        <v>1.0199357142857142</v>
      </c>
      <c r="BE11" s="111">
        <v>-0.52396810207336519</v>
      </c>
      <c r="BF11" s="111">
        <v>-0.21900000000000006</v>
      </c>
      <c r="BG11" s="112">
        <v>1.8340000000000003</v>
      </c>
      <c r="BH11" s="111">
        <v>2.9750000000000001</v>
      </c>
      <c r="BI11" s="111">
        <v>1.6503333333333334</v>
      </c>
      <c r="BJ11" s="111">
        <v>2.5379999999999998</v>
      </c>
      <c r="BK11" s="112">
        <v>2.5683333333333334</v>
      </c>
      <c r="BL11" s="111">
        <v>3.4609999999999999</v>
      </c>
      <c r="BM11" s="111">
        <v>1.6036666666666666</v>
      </c>
      <c r="BN11" s="111">
        <v>2.4609999999999999</v>
      </c>
      <c r="BO11" s="26">
        <v>2.9883333333333333</v>
      </c>
      <c r="BP11" s="111">
        <v>4.4429999999999996</v>
      </c>
    </row>
    <row r="12" spans="3:68" x14ac:dyDescent="0.25">
      <c r="C12" s="1" t="s">
        <v>6</v>
      </c>
      <c r="D12" s="107"/>
      <c r="E12" s="108"/>
      <c r="F12" s="108"/>
      <c r="G12" s="109"/>
      <c r="H12" s="107"/>
      <c r="I12" s="108"/>
      <c r="J12" s="108"/>
      <c r="K12" s="111"/>
      <c r="L12" s="113"/>
      <c r="M12" s="111"/>
      <c r="N12" s="111"/>
      <c r="O12" s="112"/>
      <c r="P12" s="108"/>
      <c r="Q12" s="111"/>
      <c r="R12" s="111"/>
      <c r="S12" s="112"/>
      <c r="T12" s="108"/>
      <c r="U12" s="111"/>
      <c r="V12" s="111"/>
      <c r="W12" s="112"/>
      <c r="X12" s="108"/>
      <c r="Y12" s="111"/>
      <c r="Z12" s="111"/>
      <c r="AA12" s="112"/>
      <c r="AB12" s="108"/>
      <c r="AC12" s="111"/>
      <c r="AD12" s="111"/>
      <c r="AE12" s="110"/>
      <c r="AF12" s="108"/>
      <c r="AG12" s="111"/>
      <c r="AH12" s="111"/>
      <c r="AI12" s="110"/>
      <c r="AJ12" s="108"/>
      <c r="AK12" s="111"/>
      <c r="AL12" s="111"/>
      <c r="AM12" s="110"/>
      <c r="AN12" s="111"/>
      <c r="AO12" s="111"/>
      <c r="AP12" s="111"/>
      <c r="AQ12" s="110"/>
      <c r="AR12" s="111"/>
      <c r="AS12" s="111"/>
      <c r="AT12" s="111"/>
      <c r="AU12" s="112"/>
      <c r="AV12" s="111"/>
      <c r="AW12" s="111"/>
      <c r="AX12" s="111"/>
      <c r="AY12" s="112"/>
      <c r="AZ12" s="108"/>
      <c r="BA12" s="108"/>
      <c r="BB12" s="108"/>
      <c r="BC12" s="109"/>
      <c r="BD12" s="111"/>
      <c r="BE12" s="111"/>
      <c r="BF12" s="111"/>
      <c r="BG12" s="112"/>
      <c r="BH12" s="111"/>
      <c r="BI12" s="111"/>
      <c r="BJ12" s="111"/>
      <c r="BK12" s="112"/>
      <c r="BL12" s="111"/>
      <c r="BM12" s="111"/>
      <c r="BN12" s="111"/>
      <c r="BO12" s="26"/>
      <c r="BP12" s="111"/>
    </row>
    <row r="13" spans="3:68" x14ac:dyDescent="0.25">
      <c r="C13" s="3" t="s">
        <v>7</v>
      </c>
      <c r="D13" s="107">
        <v>64.261814699792964</v>
      </c>
      <c r="E13" s="108">
        <v>48.451399711399709</v>
      </c>
      <c r="F13" s="108">
        <v>55.682447204968945</v>
      </c>
      <c r="G13" s="109">
        <v>41.802698412698412</v>
      </c>
      <c r="H13" s="107">
        <v>33.436450216450211</v>
      </c>
      <c r="I13" s="108">
        <v>34.683167388167391</v>
      </c>
      <c r="J13" s="108">
        <v>45.859403218190401</v>
      </c>
      <c r="K13" s="108">
        <v>51.190541062801934</v>
      </c>
      <c r="L13" s="107">
        <v>90.262124098124104</v>
      </c>
      <c r="M13" s="108">
        <v>45.042560606060611</v>
      </c>
      <c r="N13" s="108">
        <v>53.595606060606059</v>
      </c>
      <c r="O13" s="109">
        <v>68.111500345065565</v>
      </c>
      <c r="P13" s="107">
        <v>167.26323448773448</v>
      </c>
      <c r="Q13" s="108">
        <v>44.322907647907648</v>
      </c>
      <c r="R13" s="108">
        <v>41.34440836940837</v>
      </c>
      <c r="S13" s="109">
        <v>48.108688024408849</v>
      </c>
      <c r="T13" s="107">
        <v>88.852404761904765</v>
      </c>
      <c r="U13" s="108">
        <v>28.405696969696972</v>
      </c>
      <c r="V13" s="108">
        <v>42.609185645272596</v>
      </c>
      <c r="W13" s="109">
        <v>33.076696969696968</v>
      </c>
      <c r="X13" s="107">
        <v>30.818684265010351</v>
      </c>
      <c r="Y13" s="108">
        <v>28.310930735930736</v>
      </c>
      <c r="Z13" s="108">
        <v>42.546305037957218</v>
      </c>
      <c r="AA13" s="109">
        <v>38.683650793650791</v>
      </c>
      <c r="AB13" s="107">
        <v>33.988750988142293</v>
      </c>
      <c r="AC13" s="108">
        <v>33.052062582345194</v>
      </c>
      <c r="AD13" s="108">
        <v>31.319427191166323</v>
      </c>
      <c r="AE13" s="110">
        <v>53.59228715728716</v>
      </c>
      <c r="AF13" s="107">
        <v>62.105878787878787</v>
      </c>
      <c r="AG13" s="108">
        <v>35.200129870129864</v>
      </c>
      <c r="AH13" s="108">
        <v>42.777876212269803</v>
      </c>
      <c r="AI13" s="110">
        <v>50.515543478260874</v>
      </c>
      <c r="AJ13" s="107">
        <v>45.139128427128433</v>
      </c>
      <c r="AK13" s="108">
        <v>26.265075757575762</v>
      </c>
      <c r="AL13" s="108">
        <v>26.538530303030303</v>
      </c>
      <c r="AM13" s="110">
        <v>37.906817115251904</v>
      </c>
      <c r="AN13" s="107">
        <v>22.767363636363637</v>
      </c>
      <c r="AO13" s="108">
        <v>20.5855</v>
      </c>
      <c r="AP13" s="108">
        <v>26.245106970324361</v>
      </c>
      <c r="AQ13" s="110">
        <v>35.536651515151512</v>
      </c>
      <c r="AR13" s="107">
        <v>54.786072463768114</v>
      </c>
      <c r="AS13" s="108">
        <v>32.200803030303028</v>
      </c>
      <c r="AT13" s="108">
        <v>51.16104617604617</v>
      </c>
      <c r="AU13" s="110">
        <v>63.215341614906833</v>
      </c>
      <c r="AV13" s="107">
        <v>113.85523498964803</v>
      </c>
      <c r="AW13" s="108">
        <v>72.479617604617602</v>
      </c>
      <c r="AX13" s="108">
        <v>92.74165010351966</v>
      </c>
      <c r="AY13" s="110">
        <v>83.254920634920637</v>
      </c>
      <c r="AZ13" s="107">
        <v>47.368714285714283</v>
      </c>
      <c r="BA13" s="108">
        <v>31.953181818181822</v>
      </c>
      <c r="BB13" s="108">
        <v>46.396876811594204</v>
      </c>
      <c r="BC13" s="109">
        <v>36.510706349206352</v>
      </c>
      <c r="BD13" s="107">
        <v>42.869077200577202</v>
      </c>
      <c r="BE13" s="111">
        <v>30.965649122807019</v>
      </c>
      <c r="BF13" s="111">
        <v>43.701666666666675</v>
      </c>
      <c r="BG13" s="112">
        <v>61.576666666666675</v>
      </c>
      <c r="BH13" s="111">
        <v>104.01666666666667</v>
      </c>
      <c r="BI13" s="111">
        <v>47.533333333333331</v>
      </c>
      <c r="BJ13" s="111">
        <v>63.173333333333325</v>
      </c>
      <c r="BK13" s="112">
        <v>70.39</v>
      </c>
      <c r="BL13" s="111">
        <v>109.63666666666667</v>
      </c>
      <c r="BM13" s="111">
        <v>45.426666666666669</v>
      </c>
      <c r="BN13" s="111">
        <v>64.148333333333341</v>
      </c>
      <c r="BO13" s="26">
        <v>63.668333333333329</v>
      </c>
      <c r="BP13" s="111">
        <v>126.57</v>
      </c>
    </row>
    <row r="14" spans="3:68" x14ac:dyDescent="0.25">
      <c r="C14" s="3" t="s">
        <v>8</v>
      </c>
      <c r="D14" s="107">
        <v>41.980467908902689</v>
      </c>
      <c r="E14" s="108">
        <v>41.576847041847039</v>
      </c>
      <c r="F14" s="108">
        <v>46.669384057971023</v>
      </c>
      <c r="G14" s="109">
        <v>36.746666666666663</v>
      </c>
      <c r="H14" s="107">
        <v>30.723773448773446</v>
      </c>
      <c r="I14" s="108">
        <v>32.439307359307357</v>
      </c>
      <c r="J14" s="108">
        <v>41.355761505212307</v>
      </c>
      <c r="K14" s="108">
        <v>38.472494133885441</v>
      </c>
      <c r="L14" s="107">
        <v>43.285911255411257</v>
      </c>
      <c r="M14" s="108">
        <v>41.646909090909098</v>
      </c>
      <c r="N14" s="108">
        <v>45.858848484848487</v>
      </c>
      <c r="O14" s="109">
        <v>47.910261214630786</v>
      </c>
      <c r="P14" s="107">
        <v>108.08499422799423</v>
      </c>
      <c r="Q14" s="108">
        <v>43.684112554112552</v>
      </c>
      <c r="R14" s="108">
        <v>40.412388167388166</v>
      </c>
      <c r="S14" s="109">
        <v>38.023039664378338</v>
      </c>
      <c r="T14" s="107">
        <v>54.109582251082252</v>
      </c>
      <c r="U14" s="108">
        <v>35.111696969696972</v>
      </c>
      <c r="V14" s="108">
        <v>36.689744651483785</v>
      </c>
      <c r="W14" s="109">
        <v>31.554500000000001</v>
      </c>
      <c r="X14" s="107">
        <v>25.671248102139412</v>
      </c>
      <c r="Y14" s="108">
        <v>34.141831890331893</v>
      </c>
      <c r="Z14" s="108">
        <v>48.019042443064187</v>
      </c>
      <c r="AA14" s="109">
        <v>30.496482873851292</v>
      </c>
      <c r="AB14" s="107">
        <v>29.667526350461131</v>
      </c>
      <c r="AC14" s="108">
        <v>30.653499999999998</v>
      </c>
      <c r="AD14" s="108">
        <v>36.28124913733609</v>
      </c>
      <c r="AE14" s="110">
        <v>30.404813852813856</v>
      </c>
      <c r="AF14" s="107">
        <v>39.282909090909094</v>
      </c>
      <c r="AG14" s="108">
        <v>38.294617604617599</v>
      </c>
      <c r="AH14" s="108">
        <v>44.524998365478915</v>
      </c>
      <c r="AI14" s="110">
        <v>37.936888888888888</v>
      </c>
      <c r="AJ14" s="107">
        <v>35.267098124098119</v>
      </c>
      <c r="AK14" s="108">
        <v>33.407333333333334</v>
      </c>
      <c r="AL14" s="108">
        <v>34.137363636363638</v>
      </c>
      <c r="AM14" s="110">
        <v>26.557402691511385</v>
      </c>
      <c r="AN14" s="107">
        <v>18.637530303030303</v>
      </c>
      <c r="AO14" s="108">
        <v>21.947348484848487</v>
      </c>
      <c r="AP14" s="108">
        <v>28.154285714285717</v>
      </c>
      <c r="AQ14" s="110">
        <v>20.103060606060605</v>
      </c>
      <c r="AR14" s="107">
        <v>29.21854347826087</v>
      </c>
      <c r="AS14" s="108">
        <v>23.365075757575756</v>
      </c>
      <c r="AT14" s="108">
        <v>53.420360028860024</v>
      </c>
      <c r="AU14" s="110">
        <v>47.745741890959287</v>
      </c>
      <c r="AV14" s="107">
        <v>75.29974775707386</v>
      </c>
      <c r="AW14" s="108">
        <v>51.240404040404037</v>
      </c>
      <c r="AX14" s="108">
        <v>86.642260524499648</v>
      </c>
      <c r="AY14" s="110">
        <v>50.297907407407401</v>
      </c>
      <c r="AZ14" s="107">
        <v>25.528353070175438</v>
      </c>
      <c r="BA14" s="108">
        <v>22.730370370370366</v>
      </c>
      <c r="BB14" s="108">
        <v>36.234925925925928</v>
      </c>
      <c r="BC14" s="109">
        <v>30.04837977296182</v>
      </c>
      <c r="BD14" s="107">
        <v>35.5804014939309</v>
      </c>
      <c r="BE14" s="111">
        <v>31.552528138528135</v>
      </c>
      <c r="BF14" s="111">
        <v>28.900000000000002</v>
      </c>
      <c r="BG14" s="112"/>
      <c r="BH14" s="111"/>
      <c r="BI14" s="111"/>
      <c r="BJ14" s="111"/>
      <c r="BK14" s="112"/>
      <c r="BL14" s="111"/>
      <c r="BM14" s="111"/>
      <c r="BN14" s="111"/>
      <c r="BO14" s="26"/>
      <c r="BP14" s="111"/>
    </row>
    <row r="15" spans="3:68" x14ac:dyDescent="0.25">
      <c r="C15" s="3" t="s">
        <v>9</v>
      </c>
      <c r="D15" s="107">
        <v>64.48140303657695</v>
      </c>
      <c r="E15" s="108">
        <v>56.089668109668111</v>
      </c>
      <c r="F15" s="108">
        <v>62.900405797101456</v>
      </c>
      <c r="G15" s="109">
        <v>43.0368253968254</v>
      </c>
      <c r="H15" s="107">
        <v>37.28948051948052</v>
      </c>
      <c r="I15" s="108">
        <v>40.025764790764789</v>
      </c>
      <c r="J15" s="108">
        <v>50.224281355562823</v>
      </c>
      <c r="K15" s="108">
        <v>49.23673636991029</v>
      </c>
      <c r="L15" s="107">
        <v>77.433966810966808</v>
      </c>
      <c r="M15" s="108">
        <v>49.74404545454545</v>
      </c>
      <c r="N15" s="108">
        <v>54.198681818181818</v>
      </c>
      <c r="O15" s="109">
        <v>54.763788819875778</v>
      </c>
      <c r="P15" s="107">
        <v>159.00977922077922</v>
      </c>
      <c r="Q15" s="108">
        <v>48.092409812409812</v>
      </c>
      <c r="R15" s="108">
        <v>42.024531024531029</v>
      </c>
      <c r="S15" s="109">
        <v>43.579272935302676</v>
      </c>
      <c r="T15" s="107">
        <v>85.918012265512274</v>
      </c>
      <c r="U15" s="108">
        <v>34.137909090909098</v>
      </c>
      <c r="V15" s="108">
        <v>38.173947550034505</v>
      </c>
      <c r="W15" s="109">
        <v>28.312515151515154</v>
      </c>
      <c r="X15" s="107">
        <v>32.586247066942718</v>
      </c>
      <c r="Y15" s="108">
        <v>28.680922799422802</v>
      </c>
      <c r="Z15" s="108">
        <v>39.106844030365771</v>
      </c>
      <c r="AA15" s="109">
        <v>36.104026733500419</v>
      </c>
      <c r="AB15" s="107">
        <v>38.695967720685111</v>
      </c>
      <c r="AC15" s="108">
        <v>34.213312252964421</v>
      </c>
      <c r="AD15" s="108">
        <v>33.235438233264318</v>
      </c>
      <c r="AE15" s="110">
        <v>39.014849206349204</v>
      </c>
      <c r="AF15" s="107">
        <v>51.520893939393943</v>
      </c>
      <c r="AG15" s="108">
        <v>34.242085137085134</v>
      </c>
      <c r="AH15" s="108">
        <v>41.862603247248558</v>
      </c>
      <c r="AI15" s="110">
        <v>41.948980331262938</v>
      </c>
      <c r="AJ15" s="107">
        <v>41.769322510822512</v>
      </c>
      <c r="AK15" s="108">
        <v>25.675212121212123</v>
      </c>
      <c r="AL15" s="108">
        <v>27.757590909090908</v>
      </c>
      <c r="AM15" s="110">
        <v>27.041592477570742</v>
      </c>
      <c r="AN15" s="107">
        <v>21.821515151515154</v>
      </c>
      <c r="AO15" s="108">
        <v>18.12709090909091</v>
      </c>
      <c r="AP15" s="108">
        <v>24.384120082815731</v>
      </c>
      <c r="AQ15" s="110">
        <v>27.048060606060602</v>
      </c>
      <c r="AR15" s="107">
        <v>44.74026811594203</v>
      </c>
      <c r="AS15" s="108">
        <v>31.852136363636362</v>
      </c>
      <c r="AT15" s="108">
        <v>50.330430014430021</v>
      </c>
      <c r="AU15" s="110">
        <v>57.53588681849552</v>
      </c>
      <c r="AV15" s="107">
        <v>100.09894478951001</v>
      </c>
      <c r="AW15" s="108">
        <v>79.721219336219335</v>
      </c>
      <c r="AX15" s="108">
        <v>104.70613354037266</v>
      </c>
      <c r="AY15" s="110">
        <v>78.342851851851847</v>
      </c>
      <c r="AZ15" s="107">
        <v>41.14305921052631</v>
      </c>
      <c r="BA15" s="108">
        <v>31.491984126984125</v>
      </c>
      <c r="BB15" s="108">
        <v>40.641259259259265</v>
      </c>
      <c r="BC15" s="109">
        <v>36.158452012383904</v>
      </c>
      <c r="BD15" s="107">
        <v>44.22421101774043</v>
      </c>
      <c r="BE15" s="111">
        <v>33.801184704184699</v>
      </c>
      <c r="BF15" s="111">
        <v>42.374444444444443</v>
      </c>
      <c r="BG15" s="112">
        <v>50.426666666666669</v>
      </c>
      <c r="BH15" s="111">
        <v>82.198333333333338</v>
      </c>
      <c r="BI15" s="111">
        <v>43.433333333333337</v>
      </c>
      <c r="BJ15" s="111">
        <v>59.856666666666662</v>
      </c>
      <c r="BK15" s="112">
        <v>57.123333333333335</v>
      </c>
      <c r="BL15" s="111">
        <v>92.62166666666667</v>
      </c>
      <c r="BM15" s="111">
        <v>47.115000000000002</v>
      </c>
      <c r="BN15" s="111">
        <v>67.053333333333327</v>
      </c>
      <c r="BO15" s="26">
        <v>60.823333333333345</v>
      </c>
      <c r="BP15" s="111">
        <v>112.94</v>
      </c>
    </row>
    <row r="16" spans="3:68" x14ac:dyDescent="0.25">
      <c r="C16" s="3" t="s">
        <v>10</v>
      </c>
      <c r="D16" s="107">
        <v>73.556140096618364</v>
      </c>
      <c r="E16" s="108">
        <v>64.667085137085138</v>
      </c>
      <c r="F16" s="108">
        <v>67.949359558316075</v>
      </c>
      <c r="G16" s="109">
        <v>46.534761904761901</v>
      </c>
      <c r="H16" s="107">
        <v>41.882720057720057</v>
      </c>
      <c r="I16" s="108">
        <v>41.838953823953823</v>
      </c>
      <c r="J16" s="108">
        <v>53.598488249609524</v>
      </c>
      <c r="K16" s="108">
        <v>50.661049689440993</v>
      </c>
      <c r="L16" s="107">
        <v>84.797114718614708</v>
      </c>
      <c r="M16" s="108">
        <v>52.98268181818181</v>
      </c>
      <c r="N16" s="108">
        <v>58.230545454545457</v>
      </c>
      <c r="O16" s="109">
        <v>55.131759489302965</v>
      </c>
      <c r="P16" s="107">
        <v>164.37607503607504</v>
      </c>
      <c r="Q16" s="108">
        <v>49.636334776334785</v>
      </c>
      <c r="R16" s="108">
        <v>42.759487734487742</v>
      </c>
      <c r="S16" s="109">
        <v>44.013627002288331</v>
      </c>
      <c r="T16" s="107">
        <v>87.407331168831163</v>
      </c>
      <c r="U16" s="108">
        <v>35.584196969696968</v>
      </c>
      <c r="V16" s="108">
        <v>40.172988267770876</v>
      </c>
      <c r="W16" s="109">
        <v>29.109848484848484</v>
      </c>
      <c r="X16" s="107">
        <v>33.510411663216011</v>
      </c>
      <c r="Y16" s="108">
        <v>30.481922077922079</v>
      </c>
      <c r="Z16" s="108">
        <v>41.280381297446517</v>
      </c>
      <c r="AA16" s="109">
        <v>37.347777777777772</v>
      </c>
      <c r="AB16" s="107">
        <v>39.614621212121214</v>
      </c>
      <c r="AC16" s="108">
        <v>38.564620553359681</v>
      </c>
      <c r="AD16" s="108">
        <v>37.027860593512763</v>
      </c>
      <c r="AE16" s="110">
        <v>41.110870851370855</v>
      </c>
      <c r="AF16" s="107">
        <v>61.968030303030311</v>
      </c>
      <c r="AG16" s="108">
        <v>36.411731601731596</v>
      </c>
      <c r="AH16" s="108">
        <v>46.819680723548004</v>
      </c>
      <c r="AI16" s="110">
        <v>43.554357487922708</v>
      </c>
      <c r="AJ16" s="107">
        <v>45.156696248196248</v>
      </c>
      <c r="AK16" s="108">
        <v>29.522515151515154</v>
      </c>
      <c r="AL16" s="108">
        <v>31.131</v>
      </c>
      <c r="AM16" s="110">
        <v>29.108209799861971</v>
      </c>
      <c r="AN16" s="107">
        <v>23.827075757575756</v>
      </c>
      <c r="AO16" s="108">
        <v>19.00539393939394</v>
      </c>
      <c r="AP16" s="108">
        <v>27.317177363699102</v>
      </c>
      <c r="AQ16" s="110">
        <v>28.064727272727271</v>
      </c>
      <c r="AR16" s="107">
        <v>47.706318840579712</v>
      </c>
      <c r="AS16" s="108">
        <v>32.653666666666673</v>
      </c>
      <c r="AT16" s="108">
        <v>54.727503607503614</v>
      </c>
      <c r="AU16" s="110">
        <v>59.742104899930986</v>
      </c>
      <c r="AV16" s="107">
        <v>104.26352795031056</v>
      </c>
      <c r="AW16" s="108">
        <v>81.323484848484853</v>
      </c>
      <c r="AX16" s="108">
        <v>109.42810282953762</v>
      </c>
      <c r="AY16" s="110">
        <v>80.573870370370372</v>
      </c>
      <c r="AZ16" s="107">
        <v>41.633263157894739</v>
      </c>
      <c r="BA16" s="108">
        <v>32.185793650793649</v>
      </c>
      <c r="BB16" s="108">
        <v>42.12811111111111</v>
      </c>
      <c r="BC16" s="109">
        <v>37.348132094943246</v>
      </c>
      <c r="BD16" s="107">
        <v>49.230323685029568</v>
      </c>
      <c r="BE16" s="111">
        <v>35.921354256854258</v>
      </c>
      <c r="BF16" s="111">
        <v>45.662222222222226</v>
      </c>
      <c r="BG16" s="112">
        <v>53.393333333333338</v>
      </c>
      <c r="BH16" s="111">
        <v>88.916666666666671</v>
      </c>
      <c r="BI16" s="111">
        <v>46.449999999999996</v>
      </c>
      <c r="BJ16" s="111">
        <v>65.706666666666663</v>
      </c>
      <c r="BK16" s="112">
        <v>62.256666666666661</v>
      </c>
      <c r="BL16" s="111">
        <v>103.88833333333332</v>
      </c>
      <c r="BM16" s="111">
        <v>50.926666666666669</v>
      </c>
      <c r="BN16" s="111">
        <v>72.174999999999997</v>
      </c>
      <c r="BO16" s="26">
        <v>64.228333333333339</v>
      </c>
      <c r="BP16" s="111">
        <v>129.5</v>
      </c>
    </row>
    <row r="17" spans="3:68" x14ac:dyDescent="0.25">
      <c r="C17" s="3" t="s">
        <v>11</v>
      </c>
      <c r="D17" s="107">
        <v>51.27090372670807</v>
      </c>
      <c r="E17" s="108">
        <v>56.439653679653681</v>
      </c>
      <c r="F17" s="108">
        <v>58.105723257418909</v>
      </c>
      <c r="G17" s="109">
        <v>39.969365079365076</v>
      </c>
      <c r="H17" s="107">
        <v>34.78308802308802</v>
      </c>
      <c r="I17" s="108">
        <v>38.892777777777773</v>
      </c>
      <c r="J17" s="108">
        <v>45.374590824888308</v>
      </c>
      <c r="K17" s="108">
        <v>40.347825741890958</v>
      </c>
      <c r="L17" s="107">
        <v>41.670032467532465</v>
      </c>
      <c r="M17" s="108">
        <v>46.203499999999998</v>
      </c>
      <c r="N17" s="108">
        <v>49.806939393939388</v>
      </c>
      <c r="O17" s="109">
        <v>42.919132160110422</v>
      </c>
      <c r="P17" s="107">
        <v>114.74184848484849</v>
      </c>
      <c r="Q17" s="108">
        <v>50.709199134199139</v>
      </c>
      <c r="R17" s="108">
        <v>43.177561327561328</v>
      </c>
      <c r="S17" s="109">
        <v>42.197912766104984</v>
      </c>
      <c r="T17" s="107">
        <v>60.227598845598841</v>
      </c>
      <c r="U17" s="108">
        <v>40.458393939393943</v>
      </c>
      <c r="V17" s="108">
        <v>39.136404416839206</v>
      </c>
      <c r="W17" s="109">
        <v>33.018803030303026</v>
      </c>
      <c r="X17" s="107">
        <v>31.49476224982747</v>
      </c>
      <c r="Y17" s="108">
        <v>32.066955266955269</v>
      </c>
      <c r="Z17" s="108">
        <v>40.74319875776397</v>
      </c>
      <c r="AA17" s="109">
        <v>34.308095238095241</v>
      </c>
      <c r="AB17" s="107">
        <v>32.455206851119897</v>
      </c>
      <c r="AC17" s="108">
        <v>33.088938076416341</v>
      </c>
      <c r="AD17" s="108">
        <v>34.819861973775012</v>
      </c>
      <c r="AE17" s="110">
        <v>36.268412698412696</v>
      </c>
      <c r="AF17" s="107">
        <v>47.433984848484847</v>
      </c>
      <c r="AG17" s="108">
        <v>39.731782106782106</v>
      </c>
      <c r="AH17" s="108">
        <v>40.059399585921319</v>
      </c>
      <c r="AI17" s="110">
        <v>39.402772946859905</v>
      </c>
      <c r="AJ17" s="107">
        <v>33.790931457431462</v>
      </c>
      <c r="AK17" s="108">
        <v>28.541227272727273</v>
      </c>
      <c r="AL17" s="108">
        <v>31.143575757575757</v>
      </c>
      <c r="AM17" s="110">
        <v>29.892982746721874</v>
      </c>
      <c r="AN17" s="107">
        <v>22.47369696969697</v>
      </c>
      <c r="AO17" s="108">
        <v>20.79125757575758</v>
      </c>
      <c r="AP17" s="108">
        <v>28.243802622498276</v>
      </c>
      <c r="AQ17" s="110">
        <v>26.435606060606062</v>
      </c>
      <c r="AR17" s="107">
        <v>35.087623188405793</v>
      </c>
      <c r="AS17" s="108">
        <v>33.709833333333336</v>
      </c>
      <c r="AT17" s="108">
        <v>51.324776334776338</v>
      </c>
      <c r="AU17" s="110">
        <v>62.574623878536926</v>
      </c>
      <c r="AV17" s="107">
        <v>58.327188405797102</v>
      </c>
      <c r="AW17" s="108">
        <v>92.998672438672429</v>
      </c>
      <c r="AX17" s="108">
        <v>110.99512870945479</v>
      </c>
      <c r="AY17" s="110">
        <v>71.602380952380955</v>
      </c>
      <c r="AZ17" s="107">
        <v>36.491502760524497</v>
      </c>
      <c r="BA17" s="108">
        <v>35.406727272727274</v>
      </c>
      <c r="BB17" s="108">
        <v>43.272579710144925</v>
      </c>
      <c r="BC17" s="109">
        <v>42.170847041847047</v>
      </c>
      <c r="BD17" s="107">
        <v>35.756594516594511</v>
      </c>
      <c r="BE17" s="111">
        <v>37.93309941520468</v>
      </c>
      <c r="BF17" s="111">
        <v>47.212222222222216</v>
      </c>
      <c r="BG17" s="112">
        <v>48.376666666666665</v>
      </c>
      <c r="BH17" s="111">
        <v>60.031666666666659</v>
      </c>
      <c r="BI17" s="111">
        <v>48.416666666666664</v>
      </c>
      <c r="BJ17" s="111">
        <v>64.573333333333338</v>
      </c>
      <c r="BK17" s="112">
        <v>52.923333333333339</v>
      </c>
      <c r="BL17" s="111">
        <v>64.671666666666667</v>
      </c>
      <c r="BM17" s="111">
        <v>50.726666666666667</v>
      </c>
      <c r="BN17" s="111">
        <v>68.115000000000009</v>
      </c>
      <c r="BO17" s="26">
        <v>54.768333333333338</v>
      </c>
      <c r="BP17" s="111">
        <v>78.540000000000006</v>
      </c>
    </row>
    <row r="18" spans="3:68" x14ac:dyDescent="0.25">
      <c r="C18" s="3" t="s">
        <v>12</v>
      </c>
      <c r="D18" s="107">
        <v>60.038860593512766</v>
      </c>
      <c r="E18" s="108">
        <v>61.076428571428572</v>
      </c>
      <c r="F18" s="108">
        <v>68.605987922705324</v>
      </c>
      <c r="G18" s="109">
        <v>42.19</v>
      </c>
      <c r="H18" s="107">
        <v>38.409927849927847</v>
      </c>
      <c r="I18" s="108">
        <v>38.276053391053388</v>
      </c>
      <c r="J18" s="108">
        <v>52.984506556245684</v>
      </c>
      <c r="K18" s="108">
        <v>44.961078674948247</v>
      </c>
      <c r="L18" s="107">
        <v>42.943458152958158</v>
      </c>
      <c r="M18" s="108">
        <v>48.497484848484845</v>
      </c>
      <c r="N18" s="108">
        <v>56.063818181818171</v>
      </c>
      <c r="O18" s="109">
        <v>44.350704968944093</v>
      </c>
      <c r="P18" s="107">
        <v>138.28597763347764</v>
      </c>
      <c r="Q18" s="108">
        <v>54.009357864357867</v>
      </c>
      <c r="R18" s="108">
        <v>47.299444444444447</v>
      </c>
      <c r="S18" s="109">
        <v>51.029115872685672</v>
      </c>
      <c r="T18" s="107">
        <v>75.413528860028862</v>
      </c>
      <c r="U18" s="108">
        <v>40.366500000000002</v>
      </c>
      <c r="V18" s="108">
        <v>39.09053830227743</v>
      </c>
      <c r="W18" s="109">
        <v>32.495030303030298</v>
      </c>
      <c r="X18" s="107">
        <v>33.267191856452726</v>
      </c>
      <c r="Y18" s="108">
        <v>28.69549062049062</v>
      </c>
      <c r="Z18" s="108">
        <v>44.272330917874392</v>
      </c>
      <c r="AA18" s="109">
        <v>30.098253968253971</v>
      </c>
      <c r="AB18" s="107">
        <v>34.495299077733861</v>
      </c>
      <c r="AC18" s="108">
        <v>32.731915678524373</v>
      </c>
      <c r="AD18" s="108">
        <v>33.801773636991022</v>
      </c>
      <c r="AE18" s="110">
        <v>38.346428571428575</v>
      </c>
      <c r="AF18" s="107">
        <v>50.604560606060609</v>
      </c>
      <c r="AG18" s="108">
        <v>35.204357864357867</v>
      </c>
      <c r="AH18" s="108">
        <v>43.61328756674294</v>
      </c>
      <c r="AI18" s="110">
        <v>45.325698412698415</v>
      </c>
      <c r="AJ18" s="107">
        <v>33.259286435786436</v>
      </c>
      <c r="AK18" s="108">
        <v>25.786363636363635</v>
      </c>
      <c r="AL18" s="108">
        <v>31.10201515151515</v>
      </c>
      <c r="AM18" s="110">
        <v>25.176485162180814</v>
      </c>
      <c r="AN18" s="107">
        <v>20.234681818181816</v>
      </c>
      <c r="AO18" s="108">
        <v>18.022409090909093</v>
      </c>
      <c r="AP18" s="108">
        <v>26.865845410628015</v>
      </c>
      <c r="AQ18" s="110">
        <v>24.419075757575758</v>
      </c>
      <c r="AR18" s="107">
        <v>36.663985507246373</v>
      </c>
      <c r="AS18" s="108">
        <v>28.912606060606063</v>
      </c>
      <c r="AT18" s="108">
        <v>48.283932178932183</v>
      </c>
      <c r="AU18" s="110">
        <v>51.524962042788133</v>
      </c>
      <c r="AV18" s="107">
        <v>56.801347826086953</v>
      </c>
      <c r="AW18" s="108">
        <v>67.66518037518037</v>
      </c>
      <c r="AX18" s="108">
        <v>106.67130676328503</v>
      </c>
      <c r="AY18" s="110">
        <v>66.262380952380951</v>
      </c>
      <c r="AZ18" s="107">
        <v>31.476942374051067</v>
      </c>
      <c r="BA18" s="108">
        <v>23.077818181818184</v>
      </c>
      <c r="BB18" s="108">
        <v>44.252884057971016</v>
      </c>
      <c r="BC18" s="109">
        <v>31.776874458874456</v>
      </c>
      <c r="BD18" s="107">
        <v>30.818838383838379</v>
      </c>
      <c r="BE18" s="111">
        <v>30.048579782790309</v>
      </c>
      <c r="BF18" s="111">
        <v>27.343333333333334</v>
      </c>
      <c r="BG18" s="112"/>
      <c r="BH18" s="111"/>
      <c r="BI18" s="111"/>
      <c r="BJ18" s="111"/>
      <c r="BK18" s="112"/>
      <c r="BL18" s="111"/>
      <c r="BM18" s="111"/>
      <c r="BN18" s="111"/>
      <c r="BO18" s="26"/>
      <c r="BP18" s="111"/>
    </row>
    <row r="19" spans="3:68" x14ac:dyDescent="0.25">
      <c r="C19" s="3" t="s">
        <v>13</v>
      </c>
      <c r="D19" s="107">
        <v>41.477703933747414</v>
      </c>
      <c r="E19" s="108">
        <v>51.111334776334765</v>
      </c>
      <c r="F19" s="108">
        <v>50.570670462387852</v>
      </c>
      <c r="G19" s="109">
        <v>37.411269841269842</v>
      </c>
      <c r="H19" s="107">
        <v>32.13608225108225</v>
      </c>
      <c r="I19" s="108">
        <v>34.642936507936504</v>
      </c>
      <c r="J19" s="108">
        <v>44.680429697431997</v>
      </c>
      <c r="K19" s="108">
        <v>37.916310904071771</v>
      </c>
      <c r="L19" s="107">
        <v>37.99457575757576</v>
      </c>
      <c r="M19" s="108">
        <v>41.748030303030298</v>
      </c>
      <c r="N19" s="108">
        <v>41.622787878787875</v>
      </c>
      <c r="O19" s="109">
        <v>35.971644237405108</v>
      </c>
      <c r="P19" s="107">
        <v>78.824140692640697</v>
      </c>
      <c r="Q19" s="108">
        <v>50.581370851370849</v>
      </c>
      <c r="R19" s="108">
        <v>38.233787878787879</v>
      </c>
      <c r="S19" s="109">
        <v>39.960312391651065</v>
      </c>
      <c r="T19" s="107">
        <v>43.021378787878781</v>
      </c>
      <c r="U19" s="108">
        <v>36.749893939393935</v>
      </c>
      <c r="V19" s="108">
        <v>35.821697722567286</v>
      </c>
      <c r="W19" s="109">
        <v>30.850651515151515</v>
      </c>
      <c r="X19" s="107">
        <v>27.572697722567288</v>
      </c>
      <c r="Y19" s="108">
        <v>31.32154401154401</v>
      </c>
      <c r="Z19" s="108">
        <v>37.669118357487925</v>
      </c>
      <c r="AA19" s="109">
        <v>32.359158730158732</v>
      </c>
      <c r="AB19" s="107">
        <v>30.8373906455863</v>
      </c>
      <c r="AC19" s="108">
        <v>32.809404479578397</v>
      </c>
      <c r="AD19" s="108">
        <v>36.507957211870256</v>
      </c>
      <c r="AE19" s="110">
        <v>31.797301587301586</v>
      </c>
      <c r="AF19" s="107">
        <v>39.17881818181818</v>
      </c>
      <c r="AG19" s="108">
        <v>41.729451659451662</v>
      </c>
      <c r="AH19" s="108">
        <v>39.543889070502338</v>
      </c>
      <c r="AI19" s="110">
        <v>38.225219461697726</v>
      </c>
      <c r="AJ19" s="107">
        <v>31.360538961038959</v>
      </c>
      <c r="AK19" s="108">
        <v>27.77148484848485</v>
      </c>
      <c r="AL19" s="108">
        <v>33.598060606060606</v>
      </c>
      <c r="AM19" s="110">
        <v>30.865942374051073</v>
      </c>
      <c r="AN19" s="107">
        <v>22.04157575757576</v>
      </c>
      <c r="AO19" s="108">
        <v>22.022848484848485</v>
      </c>
      <c r="AP19" s="108">
        <v>28.668129744651484</v>
      </c>
      <c r="AQ19" s="110">
        <v>26.331515151515152</v>
      </c>
      <c r="AR19" s="107">
        <v>34.913014492753625</v>
      </c>
      <c r="AS19" s="108">
        <v>35.846378787878784</v>
      </c>
      <c r="AT19" s="108">
        <v>50.685129870129863</v>
      </c>
      <c r="AU19" s="110">
        <v>60.238046928916496</v>
      </c>
      <c r="AV19" s="107">
        <v>47.255189786059354</v>
      </c>
      <c r="AW19" s="108">
        <v>97.48339105339106</v>
      </c>
      <c r="AX19" s="108">
        <v>102.72623119392684</v>
      </c>
      <c r="AY19" s="110">
        <v>77.582595238095237</v>
      </c>
      <c r="AZ19" s="107">
        <v>32.010147342995168</v>
      </c>
      <c r="BA19" s="108">
        <v>33.18275757575757</v>
      </c>
      <c r="BB19" s="108">
        <v>37.904289855072463</v>
      </c>
      <c r="BC19" s="109">
        <v>35.394136363636363</v>
      </c>
      <c r="BD19" s="107">
        <v>31.18077200577201</v>
      </c>
      <c r="BE19" s="111">
        <v>36.079448621553887</v>
      </c>
      <c r="BF19" s="111">
        <v>41.943333333333328</v>
      </c>
      <c r="BG19" s="112">
        <v>44.693333333333335</v>
      </c>
      <c r="BH19" s="111">
        <v>52.98</v>
      </c>
      <c r="BI19" s="111">
        <v>45.683333333333337</v>
      </c>
      <c r="BJ19" s="111">
        <v>61.523333333333333</v>
      </c>
      <c r="BK19" s="112">
        <v>48.673333333333339</v>
      </c>
      <c r="BL19" s="111">
        <v>56.17166666666666</v>
      </c>
      <c r="BM19" s="111">
        <v>46.606666666666662</v>
      </c>
      <c r="BN19" s="111">
        <v>64.281666666666666</v>
      </c>
      <c r="BO19" s="26">
        <v>50.603333333333332</v>
      </c>
      <c r="BP19" s="111">
        <v>67.39</v>
      </c>
    </row>
    <row r="20" spans="3:68" x14ac:dyDescent="0.25">
      <c r="C20" s="3" t="s">
        <v>14</v>
      </c>
      <c r="D20" s="107">
        <v>41.516337129054527</v>
      </c>
      <c r="E20" s="108">
        <v>51.00366522366523</v>
      </c>
      <c r="F20" s="108">
        <v>50.528297101449276</v>
      </c>
      <c r="G20" s="109">
        <v>37.525238095238102</v>
      </c>
      <c r="H20" s="107">
        <v>32.203585858585861</v>
      </c>
      <c r="I20" s="108">
        <v>34.758917748917746</v>
      </c>
      <c r="J20" s="108">
        <v>44.979153681304716</v>
      </c>
      <c r="K20" s="108">
        <v>38.03149206349206</v>
      </c>
      <c r="L20" s="107">
        <v>37.709235930735936</v>
      </c>
      <c r="M20" s="108">
        <v>41.92671212121212</v>
      </c>
      <c r="N20" s="108">
        <v>41.777878787878784</v>
      </c>
      <c r="O20" s="109">
        <v>36.056928571428564</v>
      </c>
      <c r="P20" s="107">
        <v>78.780328282828279</v>
      </c>
      <c r="Q20" s="108">
        <v>50.701883116883117</v>
      </c>
      <c r="R20" s="108">
        <v>38.223997113997115</v>
      </c>
      <c r="S20" s="109">
        <v>39.031110186533532</v>
      </c>
      <c r="T20" s="107">
        <v>42.912969696969697</v>
      </c>
      <c r="U20" s="108">
        <v>35.534318181818179</v>
      </c>
      <c r="V20" s="108">
        <v>35.173816425120776</v>
      </c>
      <c r="W20" s="109">
        <v>30.812878787878788</v>
      </c>
      <c r="X20" s="107">
        <v>27.35601207729469</v>
      </c>
      <c r="Y20" s="108">
        <v>31.579184704184701</v>
      </c>
      <c r="Z20" s="108">
        <v>38.289080745341614</v>
      </c>
      <c r="AA20" s="109">
        <v>32.371603174603173</v>
      </c>
      <c r="AB20" s="107">
        <v>30.923540184453227</v>
      </c>
      <c r="AC20" s="108">
        <v>32.981293807641634</v>
      </c>
      <c r="AD20" s="108">
        <v>36.775514147688064</v>
      </c>
      <c r="AE20" s="110">
        <v>31.728571428571428</v>
      </c>
      <c r="AF20" s="107">
        <v>38.090348484848484</v>
      </c>
      <c r="AG20" s="108">
        <v>42.093210678210674</v>
      </c>
      <c r="AH20" s="108">
        <v>39.559142058043655</v>
      </c>
      <c r="AI20" s="110">
        <v>38.561378881987572</v>
      </c>
      <c r="AJ20" s="107">
        <v>31.418778499278499</v>
      </c>
      <c r="AK20" s="108">
        <v>27.869136363636368</v>
      </c>
      <c r="AL20" s="108">
        <v>33.960454545454546</v>
      </c>
      <c r="AM20" s="110">
        <v>31.059381642512079</v>
      </c>
      <c r="AN20" s="107">
        <v>22.083484848484847</v>
      </c>
      <c r="AO20" s="108">
        <v>22.041227272727269</v>
      </c>
      <c r="AP20" s="108">
        <v>29.028005521048996</v>
      </c>
      <c r="AQ20" s="110">
        <v>26.365469696969697</v>
      </c>
      <c r="AR20" s="107">
        <v>35.314586956521737</v>
      </c>
      <c r="AS20" s="108">
        <v>36.364303030303027</v>
      </c>
      <c r="AT20" s="108">
        <v>50.87348484848485</v>
      </c>
      <c r="AU20" s="110">
        <v>59.594313319530706</v>
      </c>
      <c r="AV20" s="107">
        <v>47.194444789510008</v>
      </c>
      <c r="AW20" s="108">
        <v>97.687164502164492</v>
      </c>
      <c r="AX20" s="108">
        <v>102.836099378882</v>
      </c>
      <c r="AY20" s="110">
        <v>77.191571428571422</v>
      </c>
      <c r="AZ20" s="107">
        <v>31.936837129054524</v>
      </c>
      <c r="BA20" s="108">
        <v>33.121454545454547</v>
      </c>
      <c r="BB20" s="108">
        <v>38.017985507246379</v>
      </c>
      <c r="BC20" s="109">
        <v>35.225163059163059</v>
      </c>
      <c r="BD20" s="107">
        <v>31.263795093795096</v>
      </c>
      <c r="BE20" s="111">
        <v>35.992430659983292</v>
      </c>
      <c r="BF20" s="111">
        <v>26.37</v>
      </c>
      <c r="BG20" s="112"/>
      <c r="BH20" s="111"/>
      <c r="BI20" s="111"/>
      <c r="BJ20" s="111"/>
      <c r="BK20" s="112"/>
      <c r="BL20" s="111"/>
      <c r="BM20" s="111"/>
      <c r="BN20" s="111"/>
      <c r="BO20" s="26"/>
      <c r="BP20" s="111"/>
    </row>
    <row r="21" spans="3:68" x14ac:dyDescent="0.25">
      <c r="C21" s="3" t="s">
        <v>15</v>
      </c>
      <c r="D21" s="107">
        <v>39.149719116632163</v>
      </c>
      <c r="E21" s="108">
        <v>44.289992784992783</v>
      </c>
      <c r="F21" s="108">
        <v>48.25713285024154</v>
      </c>
      <c r="G21" s="109">
        <v>33.157301587301589</v>
      </c>
      <c r="H21" s="107">
        <v>29.963383838383837</v>
      </c>
      <c r="I21" s="108">
        <v>31.673809523809524</v>
      </c>
      <c r="J21" s="108">
        <v>40.457831172133233</v>
      </c>
      <c r="K21" s="108">
        <v>33.73277536231884</v>
      </c>
      <c r="L21" s="107">
        <v>34.836639971139967</v>
      </c>
      <c r="M21" s="108">
        <v>39.918954545454547</v>
      </c>
      <c r="N21" s="108">
        <v>43.037636363636359</v>
      </c>
      <c r="O21" s="109">
        <v>35.486336438923395</v>
      </c>
      <c r="P21" s="107">
        <v>81.242036075036083</v>
      </c>
      <c r="Q21" s="108">
        <v>46.02251803751804</v>
      </c>
      <c r="R21" s="108">
        <v>37.579292929292926</v>
      </c>
      <c r="S21" s="109">
        <v>37.544140836280427</v>
      </c>
      <c r="T21" s="107">
        <v>40.826035353535353</v>
      </c>
      <c r="U21" s="108">
        <v>31.46827272727273</v>
      </c>
      <c r="V21" s="108">
        <v>34.027646652864043</v>
      </c>
      <c r="W21" s="109">
        <v>29.597893939393941</v>
      </c>
      <c r="X21" s="107">
        <v>27.347407522429265</v>
      </c>
      <c r="Y21" s="108">
        <v>28.873650793650793</v>
      </c>
      <c r="Z21" s="108">
        <v>38.4082325741891</v>
      </c>
      <c r="AA21" s="109">
        <v>33.278888888888893</v>
      </c>
      <c r="AB21" s="107">
        <v>30.218631093544136</v>
      </c>
      <c r="AC21" s="108">
        <v>33.040204874835311</v>
      </c>
      <c r="AD21" s="108">
        <v>33.738778467908901</v>
      </c>
      <c r="AE21" s="110">
        <v>31.411666666666665</v>
      </c>
      <c r="AF21" s="107">
        <v>33.006333333333338</v>
      </c>
      <c r="AG21" s="108">
        <v>31.761998556998559</v>
      </c>
      <c r="AH21" s="108">
        <v>37.068036032109255</v>
      </c>
      <c r="AI21" s="110">
        <v>35.916752933057282</v>
      </c>
      <c r="AJ21" s="107">
        <v>29.855972582972583</v>
      </c>
      <c r="AK21" s="108">
        <v>26.692166666666669</v>
      </c>
      <c r="AL21" s="108">
        <v>29.7195</v>
      </c>
      <c r="AM21" s="110">
        <v>26.290545893719806</v>
      </c>
      <c r="AN21" s="107">
        <v>21.225636363636365</v>
      </c>
      <c r="AO21" s="108">
        <v>19.248469696969696</v>
      </c>
      <c r="AP21" s="108">
        <v>25.72711525189786</v>
      </c>
      <c r="AQ21" s="110">
        <v>23.487863636363638</v>
      </c>
      <c r="AR21" s="107">
        <v>33.439934782608695</v>
      </c>
      <c r="AS21" s="108">
        <v>32.027560606060604</v>
      </c>
      <c r="AT21" s="108">
        <v>48.150252525252519</v>
      </c>
      <c r="AU21" s="110">
        <v>51.339178743961348</v>
      </c>
      <c r="AV21" s="107">
        <v>44.504634230503797</v>
      </c>
      <c r="AW21" s="108">
        <v>84.620129870129858</v>
      </c>
      <c r="AX21" s="108">
        <v>100.40994271911664</v>
      </c>
      <c r="AY21" s="110">
        <v>56.758095238095244</v>
      </c>
      <c r="AZ21" s="107">
        <v>29.667887853692196</v>
      </c>
      <c r="BA21" s="108">
        <v>29.926060606060606</v>
      </c>
      <c r="BB21" s="108">
        <v>39.517246376811592</v>
      </c>
      <c r="BC21" s="109">
        <v>31.641214285714288</v>
      </c>
      <c r="BD21" s="107">
        <v>30.082546897546894</v>
      </c>
      <c r="BE21" s="111">
        <v>29.382673350041774</v>
      </c>
      <c r="BF21" s="111">
        <v>30.400000000000002</v>
      </c>
      <c r="BG21" s="112"/>
      <c r="BH21" s="111"/>
      <c r="BI21" s="111"/>
      <c r="BJ21" s="111"/>
      <c r="BK21" s="112"/>
      <c r="BL21" s="111"/>
      <c r="BM21" s="111"/>
      <c r="BN21" s="111"/>
      <c r="BO21" s="26"/>
      <c r="BP21" s="111"/>
    </row>
    <row r="22" spans="3:68" x14ac:dyDescent="0.25">
      <c r="C22" s="3" t="s">
        <v>16</v>
      </c>
      <c r="D22" s="107">
        <v>45.968278812974461</v>
      </c>
      <c r="E22" s="108">
        <v>44.378946608946613</v>
      </c>
      <c r="F22" s="108">
        <v>120.22140407177362</v>
      </c>
      <c r="G22" s="109">
        <v>31.411746031746031</v>
      </c>
      <c r="H22" s="107">
        <v>25.397950937950938</v>
      </c>
      <c r="I22" s="108">
        <v>37.44166666666667</v>
      </c>
      <c r="J22" s="108">
        <v>41.75251062438705</v>
      </c>
      <c r="K22" s="108">
        <v>31.519316425120774</v>
      </c>
      <c r="L22" s="107">
        <v>30.241471861471865</v>
      </c>
      <c r="M22" s="108">
        <v>41.313848484848485</v>
      </c>
      <c r="N22" s="108">
        <v>42.229121212121214</v>
      </c>
      <c r="O22" s="109">
        <v>38.09812249827467</v>
      </c>
      <c r="P22" s="107">
        <v>57.708692640692639</v>
      </c>
      <c r="Q22" s="108">
        <v>46.57721500721501</v>
      </c>
      <c r="R22" s="108">
        <v>44.23343434343434</v>
      </c>
      <c r="S22" s="109">
        <v>37.446477012689826</v>
      </c>
      <c r="T22" s="107">
        <v>29.005407647907646</v>
      </c>
      <c r="U22" s="108">
        <v>28.28981818181818</v>
      </c>
      <c r="V22" s="108">
        <v>45.327757073844026</v>
      </c>
      <c r="W22" s="109">
        <v>23.745651515151518</v>
      </c>
      <c r="X22" s="107">
        <v>20.194388888888891</v>
      </c>
      <c r="Y22" s="108">
        <v>26.361738816738818</v>
      </c>
      <c r="Z22" s="108">
        <v>36.898743616287099</v>
      </c>
      <c r="AA22" s="109">
        <v>30.353174603174608</v>
      </c>
      <c r="AB22" s="107">
        <v>30.18903623188406</v>
      </c>
      <c r="AC22" s="108">
        <v>38.031451910408435</v>
      </c>
      <c r="AD22" s="108">
        <v>35.438088336783991</v>
      </c>
      <c r="AE22" s="110">
        <v>30.430045454545454</v>
      </c>
      <c r="AF22" s="107">
        <v>33.899863636363641</v>
      </c>
      <c r="AG22" s="108">
        <v>36.862301587301587</v>
      </c>
      <c r="AH22" s="108">
        <v>61.282664632595974</v>
      </c>
      <c r="AI22" s="110">
        <v>34.928347135955825</v>
      </c>
      <c r="AJ22" s="107">
        <v>29.166705627705625</v>
      </c>
      <c r="AK22" s="108">
        <v>29.997833333333336</v>
      </c>
      <c r="AL22" s="108">
        <v>139.93010606060605</v>
      </c>
      <c r="AM22" s="110">
        <v>29.658620772946861</v>
      </c>
      <c r="AN22" s="107">
        <v>23.86778787878788</v>
      </c>
      <c r="AO22" s="108">
        <v>25.684318181818185</v>
      </c>
      <c r="AP22" s="108">
        <v>35.567798481711527</v>
      </c>
      <c r="AQ22" s="110">
        <v>28.497030303030304</v>
      </c>
      <c r="AR22" s="107">
        <v>617.62705797101444</v>
      </c>
      <c r="AS22" s="108">
        <v>44.778787878787881</v>
      </c>
      <c r="AT22" s="108">
        <v>52.97862481962482</v>
      </c>
      <c r="AU22" s="110">
        <v>52.74219461697723</v>
      </c>
      <c r="AV22" s="107">
        <v>44.875738095238091</v>
      </c>
      <c r="AW22" s="108">
        <v>110.32805916305915</v>
      </c>
      <c r="AX22" s="108">
        <v>129.2306304347826</v>
      </c>
      <c r="AY22" s="110">
        <v>58.078888888888891</v>
      </c>
      <c r="AZ22" s="107">
        <v>29.833974323062552</v>
      </c>
      <c r="BA22" s="108">
        <v>65.638397382344749</v>
      </c>
      <c r="BB22" s="108">
        <v>192.10316123188406</v>
      </c>
      <c r="BC22" s="109">
        <v>35.746974380395436</v>
      </c>
      <c r="BD22" s="107">
        <v>33.243380952380953</v>
      </c>
      <c r="BE22" s="111">
        <v>45.659232804232801</v>
      </c>
      <c r="BF22" s="111">
        <v>86.654444444444437</v>
      </c>
      <c r="BG22" s="112">
        <v>50.22</v>
      </c>
      <c r="BH22" s="111">
        <v>61.916666666666679</v>
      </c>
      <c r="BI22" s="111">
        <v>60.97</v>
      </c>
      <c r="BJ22" s="111">
        <v>103.61666666666667</v>
      </c>
      <c r="BK22" s="112">
        <v>50.18</v>
      </c>
      <c r="BL22" s="111">
        <v>68.806666666666672</v>
      </c>
      <c r="BM22" s="111">
        <v>54.153333333333336</v>
      </c>
      <c r="BN22" s="111">
        <v>95.088333333333324</v>
      </c>
      <c r="BO22" s="26">
        <v>46.438333333333333</v>
      </c>
      <c r="BP22" s="111">
        <v>86.93</v>
      </c>
    </row>
    <row r="23" spans="3:68" x14ac:dyDescent="0.25">
      <c r="C23" s="3" t="s">
        <v>17</v>
      </c>
      <c r="D23" s="107">
        <v>47.121192201518291</v>
      </c>
      <c r="E23" s="108">
        <v>42.307611832611833</v>
      </c>
      <c r="F23" s="108">
        <v>121.21054658385094</v>
      </c>
      <c r="G23" s="109">
        <v>30.550634920634923</v>
      </c>
      <c r="H23" s="107">
        <v>25.245151515151516</v>
      </c>
      <c r="I23" s="108">
        <v>36.894307359307362</v>
      </c>
      <c r="J23" s="108">
        <v>41.976915477098544</v>
      </c>
      <c r="K23" s="108">
        <v>31.584970324361631</v>
      </c>
      <c r="L23" s="107">
        <v>30.326139249639251</v>
      </c>
      <c r="M23" s="108">
        <v>39.435909090909092</v>
      </c>
      <c r="N23" s="108">
        <v>40.554787878787877</v>
      </c>
      <c r="O23" s="109">
        <v>35.332714975845413</v>
      </c>
      <c r="P23" s="107">
        <v>58.549633477633471</v>
      </c>
      <c r="Q23" s="108">
        <v>43.898225108225112</v>
      </c>
      <c r="R23" s="108">
        <v>42.47286435786436</v>
      </c>
      <c r="S23" s="109">
        <v>37.987882601761321</v>
      </c>
      <c r="T23" s="107">
        <v>28.966223665223666</v>
      </c>
      <c r="U23" s="108">
        <v>27.173424242424243</v>
      </c>
      <c r="V23" s="108">
        <v>44.603298826777092</v>
      </c>
      <c r="W23" s="109">
        <v>22.352227272727273</v>
      </c>
      <c r="X23" s="107">
        <v>19.666327467218775</v>
      </c>
      <c r="Y23" s="108">
        <v>24.212647907647906</v>
      </c>
      <c r="Z23" s="108">
        <v>33.038720841959972</v>
      </c>
      <c r="AA23" s="109">
        <v>26.915079365079364</v>
      </c>
      <c r="AB23" s="107">
        <v>23.530602108036891</v>
      </c>
      <c r="AC23" s="108">
        <v>26.756243083003952</v>
      </c>
      <c r="AD23" s="108">
        <v>31.172035886818495</v>
      </c>
      <c r="AE23" s="110">
        <v>24.191666666666666</v>
      </c>
      <c r="AF23" s="107">
        <v>33.263863636363631</v>
      </c>
      <c r="AG23" s="108">
        <v>37.012236652236652</v>
      </c>
      <c r="AH23" s="108">
        <v>61.0366594021285</v>
      </c>
      <c r="AI23" s="110">
        <v>34.389870255348519</v>
      </c>
      <c r="AJ23" s="107">
        <v>28.408819624819625</v>
      </c>
      <c r="AK23" s="108">
        <v>28.332515151515153</v>
      </c>
      <c r="AL23" s="108">
        <v>139.77860606060605</v>
      </c>
      <c r="AM23" s="110">
        <v>28.401929261559697</v>
      </c>
      <c r="AN23" s="107">
        <v>23.41148484848485</v>
      </c>
      <c r="AO23" s="108">
        <v>24.00236363636364</v>
      </c>
      <c r="AP23" s="108">
        <v>34.117784679089027</v>
      </c>
      <c r="AQ23" s="110">
        <v>26.409606060606063</v>
      </c>
      <c r="AR23" s="107">
        <v>616.33680434782593</v>
      </c>
      <c r="AS23" s="108">
        <v>39.735909090909097</v>
      </c>
      <c r="AT23" s="108">
        <v>52.118875901875903</v>
      </c>
      <c r="AU23" s="110">
        <v>49.794354727398208</v>
      </c>
      <c r="AV23" s="107">
        <v>42.725226017943406</v>
      </c>
      <c r="AW23" s="108">
        <v>83.186406926406917</v>
      </c>
      <c r="AX23" s="108">
        <v>130.4041231884058</v>
      </c>
      <c r="AY23" s="110">
        <v>54.665506822612087</v>
      </c>
      <c r="AZ23" s="107">
        <v>28.419023342670403</v>
      </c>
      <c r="BA23" s="108">
        <v>60.695641882483983</v>
      </c>
      <c r="BB23" s="108">
        <v>190.38419746376812</v>
      </c>
      <c r="BC23" s="109">
        <v>34.224842662211081</v>
      </c>
      <c r="BD23" s="107">
        <v>33.074595238095242</v>
      </c>
      <c r="BE23" s="111">
        <v>40.452619047619045</v>
      </c>
      <c r="BF23" s="111">
        <v>83.172222222222217</v>
      </c>
      <c r="BG23" s="112">
        <v>44.493333333333339</v>
      </c>
      <c r="BH23" s="111">
        <v>63.109999999999992</v>
      </c>
      <c r="BI23" s="111">
        <v>53.666666666666664</v>
      </c>
      <c r="BJ23" s="111">
        <v>102.77</v>
      </c>
      <c r="BK23" s="112">
        <v>43.273333333333333</v>
      </c>
      <c r="BL23" s="111">
        <v>67.17</v>
      </c>
      <c r="BM23" s="111">
        <v>48.903333333333336</v>
      </c>
      <c r="BN23" s="111">
        <v>91.498333333333335</v>
      </c>
      <c r="BO23" s="26">
        <v>40.781666666666666</v>
      </c>
      <c r="BP23" s="111">
        <v>89.04</v>
      </c>
    </row>
    <row r="24" spans="3:68" x14ac:dyDescent="0.25">
      <c r="C24" s="3" t="s">
        <v>18</v>
      </c>
      <c r="D24" s="107">
        <v>48.552580745341608</v>
      </c>
      <c r="E24" s="108">
        <v>42.863860028860039</v>
      </c>
      <c r="F24" s="108">
        <v>118.03929158040029</v>
      </c>
      <c r="G24" s="109">
        <v>31.501587301587296</v>
      </c>
      <c r="H24" s="107">
        <v>25.70785714285714</v>
      </c>
      <c r="I24" s="108">
        <v>36.668650793650791</v>
      </c>
      <c r="J24" s="108">
        <v>40.919159856162139</v>
      </c>
      <c r="K24" s="108">
        <v>32.611573153899243</v>
      </c>
      <c r="L24" s="107">
        <v>30.022885281385282</v>
      </c>
      <c r="M24" s="108">
        <v>40.382393939393936</v>
      </c>
      <c r="N24" s="108">
        <v>41.15</v>
      </c>
      <c r="O24" s="109">
        <v>36.901423740510694</v>
      </c>
      <c r="P24" s="107">
        <v>57.654835497835499</v>
      </c>
      <c r="Q24" s="108">
        <v>44.606933621933621</v>
      </c>
      <c r="R24" s="108">
        <v>43.45064935064935</v>
      </c>
      <c r="S24" s="109">
        <v>37.779490326607032</v>
      </c>
      <c r="T24" s="107">
        <v>28.846520923520924</v>
      </c>
      <c r="U24" s="108">
        <v>27.983318181818181</v>
      </c>
      <c r="V24" s="108">
        <v>45.16209109730849</v>
      </c>
      <c r="W24" s="109">
        <v>23.348848484848485</v>
      </c>
      <c r="X24" s="107">
        <v>19.788601794340924</v>
      </c>
      <c r="Y24" s="108">
        <v>25.422994227994227</v>
      </c>
      <c r="Z24" s="108">
        <v>34.085319530710834</v>
      </c>
      <c r="AA24" s="109">
        <v>29.578571428571426</v>
      </c>
      <c r="AB24" s="107">
        <v>26.240406455862978</v>
      </c>
      <c r="AC24" s="108">
        <v>31.657652832674575</v>
      </c>
      <c r="AD24" s="108">
        <v>33.395969634230504</v>
      </c>
      <c r="AE24" s="110">
        <v>27.406469696969697</v>
      </c>
      <c r="AF24" s="107">
        <v>34.36210606060606</v>
      </c>
      <c r="AG24" s="108">
        <v>36.079552669552669</v>
      </c>
      <c r="AH24" s="108">
        <v>60.642647197704413</v>
      </c>
      <c r="AI24" s="110">
        <v>33.425697722567286</v>
      </c>
      <c r="AJ24" s="107">
        <v>28.952184704184702</v>
      </c>
      <c r="AK24" s="108">
        <v>27.478318181818178</v>
      </c>
      <c r="AL24" s="108">
        <v>138.30477272727271</v>
      </c>
      <c r="AM24" s="110">
        <v>28.838486887508626</v>
      </c>
      <c r="AN24" s="107">
        <v>23.300424242424242</v>
      </c>
      <c r="AO24" s="108">
        <v>24.113560606060606</v>
      </c>
      <c r="AP24" s="108">
        <v>33.098495514147686</v>
      </c>
      <c r="AQ24" s="110">
        <v>27.098833333333332</v>
      </c>
      <c r="AR24" s="107">
        <v>612.47918115942025</v>
      </c>
      <c r="AS24" s="108">
        <v>39.127287878787875</v>
      </c>
      <c r="AT24" s="108">
        <v>50.339663059163058</v>
      </c>
      <c r="AU24" s="110">
        <v>48.041124913733604</v>
      </c>
      <c r="AV24" s="107">
        <v>39.241324361628713</v>
      </c>
      <c r="AW24" s="108">
        <v>84.279300144300151</v>
      </c>
      <c r="AX24" s="108">
        <v>122.74847826086956</v>
      </c>
      <c r="AY24" s="110">
        <v>55.086695906432745</v>
      </c>
      <c r="AZ24" s="107">
        <v>27.850406629318396</v>
      </c>
      <c r="BA24" s="108">
        <v>61.445821498189922</v>
      </c>
      <c r="BB24" s="108">
        <v>182.31917210144931</v>
      </c>
      <c r="BC24" s="109">
        <v>34.662017543859655</v>
      </c>
      <c r="BD24" s="107">
        <v>31.372873015873015</v>
      </c>
      <c r="BE24" s="111">
        <v>44.914894179894169</v>
      </c>
      <c r="BF24" s="111">
        <v>80.762222222222235</v>
      </c>
      <c r="BG24" s="112">
        <v>47.49</v>
      </c>
      <c r="BH24" s="111">
        <v>59.126666666666658</v>
      </c>
      <c r="BI24" s="111">
        <v>60.00333333333333</v>
      </c>
      <c r="BJ24" s="111">
        <v>93.526666666666685</v>
      </c>
      <c r="BK24" s="112">
        <v>47.586666666666666</v>
      </c>
      <c r="BL24" s="111">
        <v>63.508333333333333</v>
      </c>
      <c r="BM24" s="111">
        <v>52.683333333333337</v>
      </c>
      <c r="BN24" s="111">
        <v>85.498333333333335</v>
      </c>
      <c r="BO24" s="26">
        <v>44.781666666666666</v>
      </c>
      <c r="BP24" s="111">
        <v>85.52</v>
      </c>
    </row>
    <row r="25" spans="3:68" x14ac:dyDescent="0.25">
      <c r="C25" s="3" t="s">
        <v>19</v>
      </c>
      <c r="D25" s="107">
        <v>32.663358886346302</v>
      </c>
      <c r="E25" s="108">
        <v>36.830741019214706</v>
      </c>
      <c r="F25" s="108">
        <v>42.495681922196802</v>
      </c>
      <c r="G25" s="109">
        <v>33.267460317460312</v>
      </c>
      <c r="H25" s="107">
        <v>25.177772727272725</v>
      </c>
      <c r="I25" s="108">
        <v>26.110843434343433</v>
      </c>
      <c r="J25" s="108">
        <v>35.688963713631907</v>
      </c>
      <c r="K25" s="108">
        <v>30.851594202898553</v>
      </c>
      <c r="L25" s="107">
        <v>32.417417293233079</v>
      </c>
      <c r="M25" s="108">
        <v>38.861090909090905</v>
      </c>
      <c r="N25" s="108">
        <v>40.912848484848489</v>
      </c>
      <c r="O25" s="109">
        <v>37.550814814814821</v>
      </c>
      <c r="P25" s="107">
        <v>48.285580618212201</v>
      </c>
      <c r="Q25" s="108">
        <v>43.183047619047613</v>
      </c>
      <c r="R25" s="108">
        <v>42.577183261183258</v>
      </c>
      <c r="S25" s="109">
        <v>36.261014492753624</v>
      </c>
      <c r="T25" s="107">
        <v>25.045448963317384</v>
      </c>
      <c r="U25" s="108">
        <v>27.170484126984125</v>
      </c>
      <c r="V25" s="108">
        <v>32.405230880230881</v>
      </c>
      <c r="W25" s="109">
        <v>23.792275132275133</v>
      </c>
      <c r="X25" s="107">
        <v>19.077714513556618</v>
      </c>
      <c r="Y25" s="108">
        <v>23.08920634920635</v>
      </c>
      <c r="Z25" s="108">
        <v>34.484472049689437</v>
      </c>
      <c r="AA25" s="109">
        <v>25.20268588137009</v>
      </c>
      <c r="AB25" s="107">
        <v>23.137650648360033</v>
      </c>
      <c r="AC25" s="108">
        <v>33.210269360269358</v>
      </c>
      <c r="AD25" s="108">
        <v>43.386954545454536</v>
      </c>
      <c r="AE25" s="110">
        <v>30.439433305485935</v>
      </c>
      <c r="AF25" s="107">
        <v>26.472130325814536</v>
      </c>
      <c r="AG25" s="108">
        <v>26.959252297410188</v>
      </c>
      <c r="AH25" s="108">
        <v>76.622672006102206</v>
      </c>
      <c r="AI25" s="110">
        <v>37.12746842952793</v>
      </c>
      <c r="AJ25" s="107">
        <v>39.055278195488718</v>
      </c>
      <c r="AK25" s="108">
        <v>19.011936090225564</v>
      </c>
      <c r="AL25" s="108">
        <v>39.936530303030302</v>
      </c>
      <c r="AM25" s="110">
        <v>32.425937198067636</v>
      </c>
      <c r="AN25" s="107">
        <v>18.955659983291564</v>
      </c>
      <c r="AO25" s="108">
        <v>19.493791486291485</v>
      </c>
      <c r="AP25" s="108">
        <v>115.50586580086581</v>
      </c>
      <c r="AQ25" s="110">
        <v>34.796089466089462</v>
      </c>
      <c r="AR25" s="107">
        <v>41.936003051106027</v>
      </c>
      <c r="AS25" s="108">
        <v>72.473729399255717</v>
      </c>
      <c r="AT25" s="108">
        <v>83.255526695526683</v>
      </c>
      <c r="AU25" s="110">
        <v>48.465750208855475</v>
      </c>
      <c r="AV25" s="107">
        <v>38.144971777269262</v>
      </c>
      <c r="AW25" s="108">
        <v>69.655007936507943</v>
      </c>
      <c r="AX25" s="108">
        <v>137.98381884057972</v>
      </c>
      <c r="AY25" s="110">
        <v>125.69961319966585</v>
      </c>
      <c r="AZ25" s="107">
        <v>90.187020213577412</v>
      </c>
      <c r="BA25" s="108">
        <v>44.427911445279868</v>
      </c>
      <c r="BB25" s="108">
        <v>99.911398550724641</v>
      </c>
      <c r="BC25" s="109">
        <v>51.030568086883875</v>
      </c>
      <c r="BD25" s="107">
        <v>38.254964494569755</v>
      </c>
      <c r="BE25" s="111">
        <v>22.436315789473685</v>
      </c>
      <c r="BF25" s="111">
        <v>102.57</v>
      </c>
      <c r="BG25" s="112">
        <v>55.293333333333329</v>
      </c>
      <c r="BH25" s="111">
        <v>54.02</v>
      </c>
      <c r="BI25" s="111">
        <v>30.97666666666667</v>
      </c>
      <c r="BJ25" s="111">
        <v>131.04</v>
      </c>
      <c r="BK25" s="112">
        <v>59.083333333333336</v>
      </c>
      <c r="BL25" s="111">
        <v>56.323333333333345</v>
      </c>
      <c r="BM25" s="111">
        <v>30.013333333333335</v>
      </c>
      <c r="BN25" s="111">
        <v>132.05833333333334</v>
      </c>
      <c r="BO25" s="26">
        <v>61.375</v>
      </c>
      <c r="BP25" s="111">
        <v>79.91</v>
      </c>
    </row>
    <row r="26" spans="3:68" x14ac:dyDescent="0.25">
      <c r="C26" s="3" t="s">
        <v>20</v>
      </c>
      <c r="D26" s="107">
        <v>36.168065980167817</v>
      </c>
      <c r="E26" s="108">
        <v>36.805018379281535</v>
      </c>
      <c r="F26" s="108">
        <v>41.914982456140343</v>
      </c>
      <c r="G26" s="109">
        <v>34.048980785296578</v>
      </c>
      <c r="H26" s="107">
        <v>27.603166666666667</v>
      </c>
      <c r="I26" s="108">
        <v>31.034534632034632</v>
      </c>
      <c r="J26" s="108">
        <v>41.873407431622532</v>
      </c>
      <c r="K26" s="108">
        <v>40.712124108224522</v>
      </c>
      <c r="L26" s="107">
        <v>48.445362433862442</v>
      </c>
      <c r="M26" s="108">
        <v>52.271924242424241</v>
      </c>
      <c r="N26" s="108">
        <v>48.686090909090915</v>
      </c>
      <c r="O26" s="109">
        <v>46.791283371472161</v>
      </c>
      <c r="P26" s="107">
        <v>57.916716791979951</v>
      </c>
      <c r="Q26" s="108">
        <v>52.101349206349205</v>
      </c>
      <c r="R26" s="108">
        <v>52.007852965747702</v>
      </c>
      <c r="S26" s="109">
        <v>47.052028985507242</v>
      </c>
      <c r="T26" s="107">
        <v>33.261517027863782</v>
      </c>
      <c r="U26" s="108">
        <v>32.666683982683985</v>
      </c>
      <c r="V26" s="108">
        <v>38.551370851370848</v>
      </c>
      <c r="W26" s="109">
        <v>31.887063492063493</v>
      </c>
      <c r="X26" s="107">
        <v>25.000727272727275</v>
      </c>
      <c r="Y26" s="108">
        <v>25.547864357864359</v>
      </c>
      <c r="Z26" s="108">
        <v>37.905858178053826</v>
      </c>
      <c r="AA26" s="109">
        <v>34.949522826674531</v>
      </c>
      <c r="AB26" s="107">
        <v>29.066596745486908</v>
      </c>
      <c r="AC26" s="108">
        <v>32.579288119288115</v>
      </c>
      <c r="AD26" s="108">
        <v>47.457706349206347</v>
      </c>
      <c r="AE26" s="110">
        <v>47.836729751729756</v>
      </c>
      <c r="AF26" s="107">
        <v>37.45354824561403</v>
      </c>
      <c r="AG26" s="108">
        <v>29.095850877192984</v>
      </c>
      <c r="AH26" s="108">
        <v>81.09576524644946</v>
      </c>
      <c r="AI26" s="110">
        <v>54.488541062801936</v>
      </c>
      <c r="AJ26" s="107">
        <v>52.206183375104423</v>
      </c>
      <c r="AK26" s="108">
        <v>24.403190476190474</v>
      </c>
      <c r="AL26" s="108">
        <v>38.50418181818182</v>
      </c>
      <c r="AM26" s="110">
        <v>42.478431561996778</v>
      </c>
      <c r="AN26" s="107">
        <v>28.817482142857141</v>
      </c>
      <c r="AO26" s="108">
        <v>21.07639766081871</v>
      </c>
      <c r="AP26" s="108">
        <v>72.96054329004329</v>
      </c>
      <c r="AQ26" s="110">
        <v>42.695293650793651</v>
      </c>
      <c r="AR26" s="107">
        <v>47.607101000583299</v>
      </c>
      <c r="AS26" s="108">
        <v>43.744720893141938</v>
      </c>
      <c r="AT26" s="108">
        <v>75.448412698412696</v>
      </c>
      <c r="AU26" s="110">
        <v>62.261228070175434</v>
      </c>
      <c r="AV26" s="107">
        <v>45.508017429193906</v>
      </c>
      <c r="AW26" s="108">
        <v>63.46270634920635</v>
      </c>
      <c r="AX26" s="108">
        <v>114.65768688024407</v>
      </c>
      <c r="AY26" s="110">
        <v>135.68897089947089</v>
      </c>
      <c r="AZ26" s="107">
        <v>93.542285714285711</v>
      </c>
      <c r="BA26" s="108">
        <v>33.459898913951548</v>
      </c>
      <c r="BB26" s="108">
        <v>70.281079710144923</v>
      </c>
      <c r="BC26" s="109">
        <v>51.366866028708131</v>
      </c>
      <c r="BD26" s="107">
        <v>33.590166666666661</v>
      </c>
      <c r="BE26" s="111">
        <v>10.167919799498748</v>
      </c>
      <c r="BF26" s="111">
        <v>66.842222222222219</v>
      </c>
      <c r="BG26" s="112">
        <v>56.026666666666664</v>
      </c>
      <c r="BH26" s="111">
        <v>51.79</v>
      </c>
      <c r="BI26" s="111">
        <v>17.7</v>
      </c>
      <c r="BJ26" s="111">
        <v>79.089999999999989</v>
      </c>
      <c r="BK26" s="112">
        <v>62.129999999999995</v>
      </c>
      <c r="BL26" s="111">
        <v>57.931666666666672</v>
      </c>
      <c r="BM26" s="111">
        <v>17.28</v>
      </c>
      <c r="BN26" s="111">
        <v>79.841666666666654</v>
      </c>
      <c r="BO26" s="26">
        <v>62.518333333333338</v>
      </c>
      <c r="BP26" s="111">
        <v>83.46</v>
      </c>
    </row>
    <row r="27" spans="3:68" x14ac:dyDescent="0.25">
      <c r="C27" s="3" t="s">
        <v>21</v>
      </c>
      <c r="D27" s="107">
        <v>35.648116250221513</v>
      </c>
      <c r="E27" s="108">
        <v>34.741754385964917</v>
      </c>
      <c r="F27" s="108">
        <v>39.454583877995645</v>
      </c>
      <c r="G27" s="109">
        <v>35.080000000000005</v>
      </c>
      <c r="H27" s="107">
        <v>27.030287037037038</v>
      </c>
      <c r="I27" s="108">
        <v>26.672527233115463</v>
      </c>
      <c r="J27" s="108">
        <v>37.800419871794873</v>
      </c>
      <c r="K27" s="108">
        <v>39.22861363636364</v>
      </c>
      <c r="L27" s="107">
        <v>41.066619047619049</v>
      </c>
      <c r="M27" s="108">
        <v>45.098592592592603</v>
      </c>
      <c r="N27" s="108">
        <v>46.408107662318194</v>
      </c>
      <c r="O27" s="109">
        <v>46.985105820105815</v>
      </c>
      <c r="P27" s="107">
        <v>58.022955541190839</v>
      </c>
      <c r="Q27" s="108">
        <v>52.969525054466231</v>
      </c>
      <c r="R27" s="108">
        <v>51.274590811965815</v>
      </c>
      <c r="S27" s="109">
        <v>48.420045454545459</v>
      </c>
      <c r="T27" s="107">
        <v>34.347026143790849</v>
      </c>
      <c r="U27" s="108">
        <v>37.806163292847508</v>
      </c>
      <c r="V27" s="108">
        <v>39.717314814814813</v>
      </c>
      <c r="W27" s="109">
        <v>33.379707329707337</v>
      </c>
      <c r="X27" s="107">
        <v>26.381703703703703</v>
      </c>
      <c r="Y27" s="108">
        <v>27.5707671957672</v>
      </c>
      <c r="Z27" s="108">
        <v>38.791110731373891</v>
      </c>
      <c r="AA27" s="109">
        <v>37.6602380952381</v>
      </c>
      <c r="AB27" s="107">
        <v>31.80037037037037</v>
      </c>
      <c r="AC27" s="108">
        <v>40.633227513227517</v>
      </c>
      <c r="AD27" s="108">
        <v>59.176759259259256</v>
      </c>
      <c r="AE27" s="110">
        <v>51.672666666666657</v>
      </c>
      <c r="AF27" s="107">
        <v>38.411666666666669</v>
      </c>
      <c r="AG27" s="108">
        <v>34.947499999999998</v>
      </c>
      <c r="AH27" s="108">
        <v>114.650125</v>
      </c>
      <c r="AI27" s="110">
        <v>66.938571428571436</v>
      </c>
      <c r="AJ27" s="107">
        <v>69.35733333333333</v>
      </c>
      <c r="AK27" s="108">
        <v>27.761666666666667</v>
      </c>
      <c r="AL27" s="108">
        <v>44.573388888888893</v>
      </c>
      <c r="AM27" s="110">
        <v>39.654444444444444</v>
      </c>
      <c r="AN27" s="107">
        <v>30.372500000000002</v>
      </c>
      <c r="AO27" s="108">
        <v>27.987777777777779</v>
      </c>
      <c r="AP27" s="108">
        <v>74.903492063492067</v>
      </c>
      <c r="AQ27" s="110">
        <v>47.048749999999998</v>
      </c>
      <c r="AR27" s="107">
        <v>56.639925925925922</v>
      </c>
      <c r="AS27" s="108">
        <v>57.289191919191921</v>
      </c>
      <c r="AT27" s="108">
        <v>105.22222222222223</v>
      </c>
      <c r="AU27" s="110">
        <v>63.010444444444452</v>
      </c>
      <c r="AV27" s="107">
        <v>52.139141414141413</v>
      </c>
      <c r="AW27" s="108">
        <v>79.745277777777787</v>
      </c>
      <c r="AX27" s="108">
        <v>150.26107142857143</v>
      </c>
      <c r="AY27" s="110">
        <v>163.64400000000001</v>
      </c>
      <c r="AZ27" s="107">
        <v>111.64578754578754</v>
      </c>
      <c r="BA27" s="108">
        <v>36.468000000000004</v>
      </c>
      <c r="BB27" s="108">
        <v>68.684134199134192</v>
      </c>
      <c r="BC27" s="109">
        <v>65.968611111111102</v>
      </c>
      <c r="BD27" s="107">
        <v>52.564794871794867</v>
      </c>
      <c r="BE27" s="111">
        <v>25.727333333333331</v>
      </c>
      <c r="BF27" s="111">
        <v>68.86</v>
      </c>
      <c r="BG27" s="112">
        <v>67.84666666666665</v>
      </c>
      <c r="BH27" s="111">
        <v>68.158333333333331</v>
      </c>
      <c r="BI27" s="111">
        <v>35.583333333333336</v>
      </c>
      <c r="BJ27" s="111">
        <v>75.55</v>
      </c>
      <c r="BK27" s="112">
        <v>78.196666666666658</v>
      </c>
      <c r="BL27" s="111">
        <v>75.046666666666667</v>
      </c>
      <c r="BM27" s="111">
        <v>34.83</v>
      </c>
      <c r="BN27" s="111">
        <v>80.741666666666674</v>
      </c>
      <c r="BO27" s="26">
        <v>75.885000000000005</v>
      </c>
      <c r="BP27" s="111">
        <v>105.41</v>
      </c>
    </row>
    <row r="28" spans="3:68" x14ac:dyDescent="0.25">
      <c r="C28" s="3" t="s">
        <v>22</v>
      </c>
      <c r="D28" s="107">
        <v>26.153838291380623</v>
      </c>
      <c r="E28" s="108">
        <v>27.545892230576442</v>
      </c>
      <c r="F28" s="108">
        <v>33.42646910755149</v>
      </c>
      <c r="G28" s="109">
        <v>30.966090225563914</v>
      </c>
      <c r="H28" s="107">
        <v>22.937848484848484</v>
      </c>
      <c r="I28" s="108">
        <v>11.904954545454546</v>
      </c>
      <c r="J28" s="108">
        <v>26.789991645781118</v>
      </c>
      <c r="K28" s="108">
        <v>29.209679633867278</v>
      </c>
      <c r="L28" s="107">
        <v>30.288629908103591</v>
      </c>
      <c r="M28" s="108">
        <v>33.695090909090908</v>
      </c>
      <c r="N28" s="108">
        <v>41.494999999999997</v>
      </c>
      <c r="O28" s="109">
        <v>44.138512077294685</v>
      </c>
      <c r="P28" s="107">
        <v>48.59852965747703</v>
      </c>
      <c r="Q28" s="108">
        <v>34.355944444444447</v>
      </c>
      <c r="R28" s="108">
        <v>40.489533910533908</v>
      </c>
      <c r="S28" s="109">
        <v>33.020434376649206</v>
      </c>
      <c r="T28" s="107">
        <v>20.286055023923442</v>
      </c>
      <c r="U28" s="108">
        <v>29.383735209235212</v>
      </c>
      <c r="V28" s="108">
        <v>31.853174603174605</v>
      </c>
      <c r="W28" s="109">
        <v>22.297169312169313</v>
      </c>
      <c r="X28" s="107">
        <v>17.410492025518341</v>
      </c>
      <c r="Y28" s="108">
        <v>16.611746031746033</v>
      </c>
      <c r="Z28" s="108">
        <v>31.357915113871638</v>
      </c>
      <c r="AA28" s="109">
        <v>26.233267752715125</v>
      </c>
      <c r="AB28" s="107">
        <v>22.729313501144162</v>
      </c>
      <c r="AC28" s="108">
        <v>16.139612794612791</v>
      </c>
      <c r="AD28" s="108">
        <v>38.049893939393939</v>
      </c>
      <c r="AE28" s="110">
        <v>26.880625174046227</v>
      </c>
      <c r="AF28" s="107">
        <v>21.59125313283208</v>
      </c>
      <c r="AG28" s="108">
        <v>16.181652046783626</v>
      </c>
      <c r="AH28" s="108">
        <v>61.160339816933636</v>
      </c>
      <c r="AI28" s="110">
        <v>50.596586998898211</v>
      </c>
      <c r="AJ28" s="107">
        <v>69.486500000000007</v>
      </c>
      <c r="AK28" s="108">
        <v>17.759044695071012</v>
      </c>
      <c r="AL28" s="108">
        <v>31.795090909090913</v>
      </c>
      <c r="AM28" s="110">
        <v>35.667524154589373</v>
      </c>
      <c r="AN28" s="107">
        <v>22.444545834282678</v>
      </c>
      <c r="AO28" s="108">
        <v>13.248720779220781</v>
      </c>
      <c r="AP28" s="108">
        <v>33.266204906204905</v>
      </c>
      <c r="AQ28" s="110">
        <v>30.148511303511302</v>
      </c>
      <c r="AR28" s="107">
        <v>34.196971777269262</v>
      </c>
      <c r="AS28" s="108">
        <v>51.956731221994382</v>
      </c>
      <c r="AT28" s="108">
        <v>90.933455988455989</v>
      </c>
      <c r="AU28" s="110">
        <v>58.887995822890559</v>
      </c>
      <c r="AV28" s="107">
        <v>38.899802822273074</v>
      </c>
      <c r="AW28" s="108">
        <v>59.147325396825387</v>
      </c>
      <c r="AX28" s="108">
        <v>119.61197342995168</v>
      </c>
      <c r="AY28" s="110">
        <v>149.70493065998329</v>
      </c>
      <c r="AZ28" s="107">
        <v>106.35344279176202</v>
      </c>
      <c r="BA28" s="108">
        <v>59.230467836257311</v>
      </c>
      <c r="BB28" s="108">
        <v>98.767391304347825</v>
      </c>
      <c r="BC28" s="109">
        <v>79.247671451355657</v>
      </c>
      <c r="BD28" s="107">
        <v>101.24320634920633</v>
      </c>
      <c r="BE28" s="111">
        <v>33.517838915470492</v>
      </c>
      <c r="BF28" s="111">
        <v>98.196669999999997</v>
      </c>
      <c r="BG28" s="112">
        <v>89.110000000000014</v>
      </c>
      <c r="BH28" s="111">
        <v>95.01</v>
      </c>
      <c r="BI28" s="111">
        <v>38.9</v>
      </c>
      <c r="BJ28" s="111">
        <v>127.19666666666667</v>
      </c>
      <c r="BK28" s="112">
        <v>96.313339999999997</v>
      </c>
      <c r="BL28" s="111">
        <v>95.655000000000015</v>
      </c>
      <c r="BM28" s="111">
        <v>39.423333333333339</v>
      </c>
      <c r="BN28" s="111">
        <v>122.83500333333335</v>
      </c>
      <c r="BO28" s="26">
        <v>94.891666666666666</v>
      </c>
      <c r="BP28" s="111">
        <v>111.3</v>
      </c>
    </row>
    <row r="29" spans="3:68" x14ac:dyDescent="0.25">
      <c r="C29" s="3" t="s">
        <v>23</v>
      </c>
      <c r="D29" s="107">
        <v>41.377194616977221</v>
      </c>
      <c r="E29" s="108">
        <v>37.158643578643584</v>
      </c>
      <c r="F29" s="108">
        <v>122.20415493443754</v>
      </c>
      <c r="G29" s="109">
        <v>26.450952380952383</v>
      </c>
      <c r="H29" s="107">
        <v>21.810281385281385</v>
      </c>
      <c r="I29" s="108">
        <v>36.74608225108225</v>
      </c>
      <c r="J29" s="108">
        <v>42.310074461516102</v>
      </c>
      <c r="K29" s="108">
        <v>31.183078329882676</v>
      </c>
      <c r="L29" s="107">
        <v>28.549800144300146</v>
      </c>
      <c r="M29" s="108">
        <v>38.466378787878789</v>
      </c>
      <c r="N29" s="108">
        <v>42.409666666666659</v>
      </c>
      <c r="O29" s="109">
        <v>35.491639751552796</v>
      </c>
      <c r="P29" s="107">
        <v>58.865861471861471</v>
      </c>
      <c r="Q29" s="108">
        <v>43.930822510822509</v>
      </c>
      <c r="R29" s="108">
        <v>42.234278499278496</v>
      </c>
      <c r="S29" s="109">
        <v>37.659233062894394</v>
      </c>
      <c r="T29" s="107">
        <v>29.054282828282826</v>
      </c>
      <c r="U29" s="108">
        <v>27.265833333333337</v>
      </c>
      <c r="V29" s="108">
        <v>44.698681849551413</v>
      </c>
      <c r="W29" s="109">
        <v>22.190984848484849</v>
      </c>
      <c r="X29" s="107">
        <v>19.092650793650794</v>
      </c>
      <c r="Y29" s="108">
        <v>23.348405483405482</v>
      </c>
      <c r="Z29" s="108">
        <v>32.943664596273294</v>
      </c>
      <c r="AA29" s="109">
        <v>27.139206349206347</v>
      </c>
      <c r="AB29" s="107">
        <v>22.479814229249012</v>
      </c>
      <c r="AC29" s="108">
        <v>25.649453227931488</v>
      </c>
      <c r="AD29" s="108">
        <v>30.489399585921323</v>
      </c>
      <c r="AE29" s="110">
        <v>23.914621212121208</v>
      </c>
      <c r="AF29" s="107">
        <v>31.881151515151515</v>
      </c>
      <c r="AG29" s="108">
        <v>30.33647186147186</v>
      </c>
      <c r="AH29" s="108">
        <v>59.94892666448731</v>
      </c>
      <c r="AI29" s="110">
        <v>32.909213940648726</v>
      </c>
      <c r="AJ29" s="107">
        <v>27.336385281385279</v>
      </c>
      <c r="AK29" s="108">
        <v>26.269484848484847</v>
      </c>
      <c r="AL29" s="108">
        <v>139.05137878787878</v>
      </c>
      <c r="AM29" s="110">
        <v>26.153052795031055</v>
      </c>
      <c r="AN29" s="107">
        <v>21.982545454545455</v>
      </c>
      <c r="AO29" s="108">
        <v>22.402681818181819</v>
      </c>
      <c r="AP29" s="108">
        <v>33.277004830917882</v>
      </c>
      <c r="AQ29" s="110">
        <v>22.044075757575758</v>
      </c>
      <c r="AR29" s="107">
        <v>614.3970652173914</v>
      </c>
      <c r="AS29" s="108">
        <v>35.573348484848488</v>
      </c>
      <c r="AT29" s="108">
        <v>48.403974747474741</v>
      </c>
      <c r="AU29" s="110">
        <v>40.644306418219465</v>
      </c>
      <c r="AV29" s="107">
        <v>35.264289510006904</v>
      </c>
      <c r="AW29" s="108">
        <v>72.146825396825406</v>
      </c>
      <c r="AX29" s="108">
        <v>128.86673188405797</v>
      </c>
      <c r="AY29" s="110">
        <v>49.963927875243662</v>
      </c>
      <c r="AZ29" s="107">
        <v>25.460595238095237</v>
      </c>
      <c r="BA29" s="108">
        <v>58.951555277081589</v>
      </c>
      <c r="BB29" s="108">
        <v>190.72976992753624</v>
      </c>
      <c r="BC29" s="109">
        <v>35.849230019493177</v>
      </c>
      <c r="BD29" s="107">
        <v>35.832484126984127</v>
      </c>
      <c r="BE29" s="111">
        <v>39.847010582010576</v>
      </c>
      <c r="BF29" s="111">
        <v>83.338888888888889</v>
      </c>
      <c r="BG29" s="112">
        <v>51.026666666666664</v>
      </c>
      <c r="BH29" s="111">
        <v>62.77</v>
      </c>
      <c r="BI29" s="111">
        <v>59.31</v>
      </c>
      <c r="BJ29" s="111">
        <v>99.193333333333328</v>
      </c>
      <c r="BK29" s="112">
        <v>52.71</v>
      </c>
      <c r="BL29" s="111">
        <v>68.465000000000003</v>
      </c>
      <c r="BM29" s="111">
        <v>55.926666666666677</v>
      </c>
      <c r="BN29" s="111">
        <v>93.704999999999998</v>
      </c>
      <c r="BO29" s="26">
        <v>49.741666666666674</v>
      </c>
      <c r="BP29" s="111">
        <v>90.44</v>
      </c>
    </row>
    <row r="30" spans="3:68" x14ac:dyDescent="0.25">
      <c r="C30" s="1" t="s">
        <v>24</v>
      </c>
      <c r="D30" s="114"/>
      <c r="E30" s="93"/>
      <c r="F30" s="93"/>
      <c r="G30" s="94"/>
      <c r="H30" s="114"/>
      <c r="I30" s="93"/>
      <c r="J30" s="93"/>
      <c r="K30" s="93"/>
      <c r="L30" s="92"/>
      <c r="M30" s="115"/>
      <c r="N30" s="115"/>
      <c r="O30" s="117"/>
      <c r="P30" s="115"/>
      <c r="Q30" s="115"/>
      <c r="R30" s="115"/>
      <c r="S30" s="117"/>
      <c r="T30" s="115"/>
      <c r="U30" s="118"/>
      <c r="V30" s="118"/>
      <c r="W30" s="119"/>
      <c r="X30" s="115"/>
      <c r="Y30" s="118"/>
      <c r="Z30" s="118"/>
      <c r="AA30" s="119"/>
      <c r="AB30" s="115"/>
      <c r="AC30" s="118"/>
      <c r="AD30" s="118"/>
      <c r="AE30" s="119"/>
      <c r="AF30" s="115"/>
      <c r="AG30" s="118"/>
      <c r="AH30" s="118"/>
      <c r="AI30" s="119"/>
      <c r="AJ30" s="115"/>
      <c r="AK30" s="118"/>
      <c r="AL30" s="118"/>
      <c r="AM30" s="119"/>
      <c r="AN30" s="118"/>
      <c r="AO30" s="118"/>
      <c r="AP30" s="118"/>
      <c r="AQ30" s="119"/>
      <c r="AR30" s="118"/>
      <c r="AS30" s="118"/>
      <c r="AT30" s="118"/>
      <c r="AU30" s="119"/>
      <c r="AV30" s="118"/>
      <c r="AW30" s="118"/>
      <c r="AX30" s="118"/>
      <c r="AY30" s="119"/>
      <c r="AZ30" s="121"/>
      <c r="BA30" s="121"/>
      <c r="BB30" s="121"/>
      <c r="BC30" s="122"/>
      <c r="BD30" s="118"/>
      <c r="BE30" s="118"/>
      <c r="BF30" s="118"/>
      <c r="BG30" s="119"/>
      <c r="BH30" s="118"/>
      <c r="BI30" s="118"/>
      <c r="BJ30" s="118"/>
      <c r="BK30" s="119"/>
      <c r="BL30" s="118"/>
      <c r="BM30" s="118"/>
      <c r="BN30" s="118"/>
      <c r="BO30" s="36"/>
      <c r="BP30" s="118"/>
    </row>
    <row r="31" spans="3:68" x14ac:dyDescent="0.25">
      <c r="C31" s="3" t="s">
        <v>7</v>
      </c>
      <c r="D31" s="107">
        <v>51.296866359447002</v>
      </c>
      <c r="E31" s="108">
        <v>37.848691756272395</v>
      </c>
      <c r="F31" s="108">
        <v>39.487150537634406</v>
      </c>
      <c r="G31" s="109">
        <v>32.54365949820788</v>
      </c>
      <c r="H31" s="107">
        <v>27.603770856507236</v>
      </c>
      <c r="I31" s="108">
        <v>22.925189964157706</v>
      </c>
      <c r="J31" s="108">
        <v>30.909390681003583</v>
      </c>
      <c r="K31" s="108">
        <v>38.534706093189968</v>
      </c>
      <c r="L31" s="107">
        <v>73.472530721966208</v>
      </c>
      <c r="M31" s="108">
        <v>34.163784946236554</v>
      </c>
      <c r="N31" s="108">
        <v>30.396476702508963</v>
      </c>
      <c r="O31" s="109">
        <v>50.455003584229395</v>
      </c>
      <c r="P31" s="108">
        <v>124.76260368663596</v>
      </c>
      <c r="Q31" s="108">
        <v>32.368480286738354</v>
      </c>
      <c r="R31" s="108">
        <v>26.807985663082434</v>
      </c>
      <c r="S31" s="109">
        <v>31.098681003584232</v>
      </c>
      <c r="T31" s="108">
        <v>75.979220430107532</v>
      </c>
      <c r="U31" s="108">
        <v>18.786734767025091</v>
      </c>
      <c r="V31" s="108">
        <v>22.47921146953405</v>
      </c>
      <c r="W31" s="109">
        <v>20.068053763440858</v>
      </c>
      <c r="X31" s="108">
        <v>22.432013348164627</v>
      </c>
      <c r="Y31" s="108">
        <v>18.637881720430109</v>
      </c>
      <c r="Z31" s="108">
        <v>21.726508960573472</v>
      </c>
      <c r="AA31" s="109">
        <v>28.685555555555556</v>
      </c>
      <c r="AB31" s="108">
        <v>30.078360215053763</v>
      </c>
      <c r="AC31" s="108">
        <v>22.796591397849465</v>
      </c>
      <c r="AD31" s="108">
        <v>19.339096774193546</v>
      </c>
      <c r="AE31" s="110">
        <v>40.938265232974906</v>
      </c>
      <c r="AF31" s="108">
        <v>55.177005376344084</v>
      </c>
      <c r="AG31" s="108">
        <v>27.375885304659501</v>
      </c>
      <c r="AH31" s="108">
        <v>30.551161290322579</v>
      </c>
      <c r="AI31" s="110">
        <v>41.079598566308242</v>
      </c>
      <c r="AJ31" s="108">
        <v>39.050039426523291</v>
      </c>
      <c r="AK31" s="108">
        <v>21.593573476702506</v>
      </c>
      <c r="AL31" s="108">
        <v>21.001247311827957</v>
      </c>
      <c r="AM31" s="110">
        <v>28.389189964157705</v>
      </c>
      <c r="AN31" s="108">
        <v>18.584808676307009</v>
      </c>
      <c r="AO31" s="108">
        <v>16.940093189964159</v>
      </c>
      <c r="AP31" s="108">
        <v>17.676243727598564</v>
      </c>
      <c r="AQ31" s="110">
        <v>26.185519713261652</v>
      </c>
      <c r="AR31" s="108">
        <v>45.302378136200723</v>
      </c>
      <c r="AS31" s="108">
        <v>24.473648745519711</v>
      </c>
      <c r="AT31" s="108">
        <v>36.748724014336922</v>
      </c>
      <c r="AU31" s="110">
        <v>53.057878136200713</v>
      </c>
      <c r="AV31" s="108">
        <v>101.5824539170507</v>
      </c>
      <c r="AW31" s="108">
        <v>65.072724014336913</v>
      </c>
      <c r="AX31" s="108">
        <v>74.159089852923003</v>
      </c>
      <c r="AY31" s="110">
        <v>72.748222222222225</v>
      </c>
      <c r="AZ31" s="108">
        <v>44.912369431643619</v>
      </c>
      <c r="BA31" s="108">
        <v>25.160627240143366</v>
      </c>
      <c r="BB31" s="108">
        <v>29.893921146953403</v>
      </c>
      <c r="BC31" s="109">
        <v>30.864130824372761</v>
      </c>
      <c r="BD31" s="108">
        <v>36.943845454545453</v>
      </c>
      <c r="BE31" s="108">
        <v>24.162336093857832</v>
      </c>
      <c r="BF31" s="108">
        <v>33.552999999999997</v>
      </c>
      <c r="BG31" s="109">
        <v>53.597000000000001</v>
      </c>
      <c r="BH31" s="108">
        <v>94.631666666666661</v>
      </c>
      <c r="BI31" s="108">
        <v>38.211666666666666</v>
      </c>
      <c r="BJ31" s="108">
        <v>40.548000000000002</v>
      </c>
      <c r="BK31" s="109">
        <v>59.952999999999996</v>
      </c>
      <c r="BL31" s="108">
        <v>92.025666666666666</v>
      </c>
      <c r="BM31" s="108">
        <v>36.255333333333333</v>
      </c>
      <c r="BN31" s="108">
        <v>40.957166666666666</v>
      </c>
      <c r="BO31" s="109">
        <v>51.912833333333332</v>
      </c>
      <c r="BP31" s="108">
        <v>111.008</v>
      </c>
    </row>
    <row r="32" spans="3:68" x14ac:dyDescent="0.25">
      <c r="C32" s="3" t="s">
        <v>8</v>
      </c>
      <c r="D32" s="107">
        <v>37.032868663594463</v>
      </c>
      <c r="E32" s="108">
        <v>32.98023655913979</v>
      </c>
      <c r="F32" s="108">
        <v>34.503304659498205</v>
      </c>
      <c r="G32" s="109">
        <v>29.562806451612904</v>
      </c>
      <c r="H32" s="107">
        <v>24.381701890989987</v>
      </c>
      <c r="I32" s="108">
        <v>21.391197132616487</v>
      </c>
      <c r="J32" s="108">
        <v>27.721376344086021</v>
      </c>
      <c r="K32" s="108">
        <v>31.027853046594984</v>
      </c>
      <c r="L32" s="107">
        <v>36.364420122887871</v>
      </c>
      <c r="M32" s="108">
        <v>30.080548387096773</v>
      </c>
      <c r="N32" s="108">
        <v>28.313258064516134</v>
      </c>
      <c r="O32" s="109">
        <v>29.42195698924731</v>
      </c>
      <c r="P32" s="108">
        <v>73.581209677419352</v>
      </c>
      <c r="Q32" s="108">
        <v>28.369978494623656</v>
      </c>
      <c r="R32" s="108">
        <v>23.791720430107528</v>
      </c>
      <c r="S32" s="109">
        <v>24.710781362007168</v>
      </c>
      <c r="T32" s="108">
        <v>41.529708141321045</v>
      </c>
      <c r="U32" s="108">
        <v>16.369519713261649</v>
      </c>
      <c r="V32" s="108">
        <v>18.573093189964158</v>
      </c>
      <c r="W32" s="109">
        <v>13.684541218637994</v>
      </c>
      <c r="X32" s="108">
        <v>13.619454949944382</v>
      </c>
      <c r="Y32" s="108">
        <v>16.043666666666667</v>
      </c>
      <c r="Z32" s="108">
        <v>20.118397849462365</v>
      </c>
      <c r="AA32" s="109">
        <v>17.12534507477444</v>
      </c>
      <c r="AB32" s="108">
        <v>21.500092165898618</v>
      </c>
      <c r="AC32" s="108">
        <v>14.04462724014337</v>
      </c>
      <c r="AD32" s="108">
        <v>17.20305376344086</v>
      </c>
      <c r="AE32" s="110">
        <v>18.970018945212491</v>
      </c>
      <c r="AF32" s="108">
        <v>29.598152841781872</v>
      </c>
      <c r="AG32" s="108">
        <v>19.864817204301076</v>
      </c>
      <c r="AH32" s="108">
        <v>23.349677419354844</v>
      </c>
      <c r="AI32" s="110">
        <v>24.294716845878138</v>
      </c>
      <c r="AJ32" s="108">
        <v>25.894623655913978</v>
      </c>
      <c r="AK32" s="108">
        <v>15.296720430107527</v>
      </c>
      <c r="AL32" s="108">
        <v>17.764580645161292</v>
      </c>
      <c r="AM32" s="110">
        <v>15.108591397849461</v>
      </c>
      <c r="AN32" s="108">
        <v>12.555784204671859</v>
      </c>
      <c r="AO32" s="108">
        <v>11.622985663082437</v>
      </c>
      <c r="AP32" s="108">
        <v>15.898659498207884</v>
      </c>
      <c r="AQ32" s="110">
        <v>12.472189964157707</v>
      </c>
      <c r="AR32" s="108">
        <v>20.893191244239635</v>
      </c>
      <c r="AS32" s="108">
        <v>13.84461512791991</v>
      </c>
      <c r="AT32" s="108">
        <v>28.71816845878136</v>
      </c>
      <c r="AU32" s="110">
        <v>32.440774193548386</v>
      </c>
      <c r="AV32" s="108">
        <v>57.393548387096764</v>
      </c>
      <c r="AW32" s="108">
        <v>35.149240143369177</v>
      </c>
      <c r="AX32" s="108">
        <v>61.21443010752688</v>
      </c>
      <c r="AY32" s="110">
        <v>39.155445468509981</v>
      </c>
      <c r="AZ32" s="108">
        <v>24.715802611367128</v>
      </c>
      <c r="BA32" s="108">
        <v>17.624915708812257</v>
      </c>
      <c r="BB32" s="108">
        <v>23.509250896057342</v>
      </c>
      <c r="BC32" s="109">
        <v>23.42192300086516</v>
      </c>
      <c r="BD32" s="108">
        <v>30.060170559881346</v>
      </c>
      <c r="BE32" s="111">
        <v>22.331888888888887</v>
      </c>
      <c r="BF32" s="111">
        <v>23.72666666666667</v>
      </c>
      <c r="BG32" s="112"/>
      <c r="BH32" s="111"/>
      <c r="BI32" s="111"/>
      <c r="BJ32" s="111"/>
      <c r="BK32" s="112"/>
      <c r="BL32" s="111"/>
      <c r="BM32" s="111"/>
      <c r="BN32" s="111"/>
      <c r="BO32" s="26"/>
      <c r="BP32" s="111"/>
    </row>
    <row r="33" spans="3:68" x14ac:dyDescent="0.25">
      <c r="C33" s="3" t="s">
        <v>9</v>
      </c>
      <c r="D33" s="107">
        <v>49.832369431643627</v>
      </c>
      <c r="E33" s="108">
        <v>38.196659498207886</v>
      </c>
      <c r="F33" s="108">
        <v>39.869953405017917</v>
      </c>
      <c r="G33" s="109">
        <v>32.446896057347672</v>
      </c>
      <c r="H33" s="107">
        <v>28.417174638487211</v>
      </c>
      <c r="I33" s="108">
        <v>23.559394265232971</v>
      </c>
      <c r="J33" s="108">
        <v>30.394480286738354</v>
      </c>
      <c r="K33" s="108">
        <v>37.821014336917557</v>
      </c>
      <c r="L33" s="107">
        <v>57.854911674347164</v>
      </c>
      <c r="M33" s="108">
        <v>34.56705376344086</v>
      </c>
      <c r="N33" s="108">
        <v>32.063405017921148</v>
      </c>
      <c r="O33" s="109">
        <v>38.270164874551966</v>
      </c>
      <c r="P33" s="108">
        <v>109.67565284178185</v>
      </c>
      <c r="Q33" s="108">
        <v>32.258878136200714</v>
      </c>
      <c r="R33" s="108">
        <v>26.454078853046592</v>
      </c>
      <c r="S33" s="109">
        <v>28.987458781362008</v>
      </c>
      <c r="T33" s="108">
        <v>62.256413210445466</v>
      </c>
      <c r="U33" s="108">
        <v>19.012609318996414</v>
      </c>
      <c r="V33" s="108">
        <v>21.203415770609322</v>
      </c>
      <c r="W33" s="109">
        <v>18.284695340501795</v>
      </c>
      <c r="X33" s="108">
        <v>22.880767519466072</v>
      </c>
      <c r="Y33" s="108">
        <v>20.057222222222222</v>
      </c>
      <c r="Z33" s="108">
        <v>22.48600716845878</v>
      </c>
      <c r="AA33" s="109">
        <v>25.351709430231125</v>
      </c>
      <c r="AB33" s="108">
        <v>30.768744239631342</v>
      </c>
      <c r="AC33" s="108">
        <v>21.996236559139785</v>
      </c>
      <c r="AD33" s="108">
        <v>19.90031899641577</v>
      </c>
      <c r="AE33" s="110">
        <v>29.121787506400409</v>
      </c>
      <c r="AF33" s="108">
        <v>41.133663594470043</v>
      </c>
      <c r="AG33" s="108">
        <v>23.368924731182798</v>
      </c>
      <c r="AH33" s="108">
        <v>26.079046594982078</v>
      </c>
      <c r="AI33" s="110">
        <v>30.732365591397848</v>
      </c>
      <c r="AJ33" s="108">
        <v>33.469243471582182</v>
      </c>
      <c r="AK33" s="108">
        <v>18.819888888888887</v>
      </c>
      <c r="AL33" s="108">
        <v>19.617218637992831</v>
      </c>
      <c r="AM33" s="110">
        <v>21.045688172043011</v>
      </c>
      <c r="AN33" s="108">
        <v>17.643225806451614</v>
      </c>
      <c r="AO33" s="108">
        <v>13.957222222222223</v>
      </c>
      <c r="AP33" s="108">
        <v>17.03194982078853</v>
      </c>
      <c r="AQ33" s="110">
        <v>21.185268817204303</v>
      </c>
      <c r="AR33" s="108">
        <v>37.94180107526882</v>
      </c>
      <c r="AS33" s="108">
        <v>23.607132863675687</v>
      </c>
      <c r="AT33" s="108">
        <v>35.481172043010751</v>
      </c>
      <c r="AU33" s="110">
        <v>44.915075268817198</v>
      </c>
      <c r="AV33" s="108">
        <v>87.243513824884801</v>
      </c>
      <c r="AW33" s="108">
        <v>62.264602150537634</v>
      </c>
      <c r="AX33" s="108">
        <v>72.464491039426534</v>
      </c>
      <c r="AY33" s="110">
        <v>65.566993087557606</v>
      </c>
      <c r="AZ33" s="108">
        <v>36.858421658986167</v>
      </c>
      <c r="BA33" s="108">
        <v>22.970536398467431</v>
      </c>
      <c r="BB33" s="108">
        <v>25.714297491039428</v>
      </c>
      <c r="BC33" s="109">
        <v>27.253833889506861</v>
      </c>
      <c r="BD33" s="108">
        <v>36.448939562476831</v>
      </c>
      <c r="BE33" s="111">
        <v>23.927555555555557</v>
      </c>
      <c r="BF33" s="111">
        <v>28.679777777777776</v>
      </c>
      <c r="BG33" s="112">
        <v>41.163666666666664</v>
      </c>
      <c r="BH33" s="111">
        <v>71.779333333333341</v>
      </c>
      <c r="BI33" s="111">
        <v>34.395000000000003</v>
      </c>
      <c r="BJ33" s="111">
        <v>36.864666666666665</v>
      </c>
      <c r="BK33" s="112">
        <v>49.503000000000007</v>
      </c>
      <c r="BL33" s="111">
        <v>75.526833333333329</v>
      </c>
      <c r="BM33" s="111">
        <v>36.253</v>
      </c>
      <c r="BN33" s="111">
        <v>43.223833333333324</v>
      </c>
      <c r="BO33" s="26">
        <v>48.636833333333335</v>
      </c>
      <c r="BP33" s="111">
        <v>89.843999999999994</v>
      </c>
    </row>
    <row r="34" spans="3:68" x14ac:dyDescent="0.25">
      <c r="C34" s="3" t="s">
        <v>10</v>
      </c>
      <c r="D34" s="107">
        <v>51.161274961597542</v>
      </c>
      <c r="E34" s="108">
        <v>39.794799283154113</v>
      </c>
      <c r="F34" s="108">
        <v>42.363906810035843</v>
      </c>
      <c r="G34" s="109">
        <v>33.005652329749104</v>
      </c>
      <c r="H34" s="107">
        <v>29.190281794586578</v>
      </c>
      <c r="I34" s="108">
        <v>23.921107526881723</v>
      </c>
      <c r="J34" s="108">
        <v>31.51432974910394</v>
      </c>
      <c r="K34" s="108">
        <v>38.191788530465949</v>
      </c>
      <c r="L34" s="107">
        <v>59.372173579109067</v>
      </c>
      <c r="M34" s="108">
        <v>34.966254480286736</v>
      </c>
      <c r="N34" s="108">
        <v>34.444086021505377</v>
      </c>
      <c r="O34" s="109">
        <v>38.17682078853047</v>
      </c>
      <c r="P34" s="108">
        <v>110.80913594470046</v>
      </c>
      <c r="Q34" s="108">
        <v>32.583774193548386</v>
      </c>
      <c r="R34" s="108">
        <v>26.740491039426526</v>
      </c>
      <c r="S34" s="109">
        <v>29.155935483870966</v>
      </c>
      <c r="T34" s="108">
        <v>62.649124423963137</v>
      </c>
      <c r="U34" s="108">
        <v>19.334329749103944</v>
      </c>
      <c r="V34" s="108">
        <v>21.914577060931901</v>
      </c>
      <c r="W34" s="109">
        <v>18.604017921146951</v>
      </c>
      <c r="X34" s="108">
        <v>23.245472747497221</v>
      </c>
      <c r="Y34" s="108">
        <v>20.706</v>
      </c>
      <c r="Z34" s="108">
        <v>23.470032258064517</v>
      </c>
      <c r="AA34" s="109">
        <v>25.644837597330365</v>
      </c>
      <c r="AB34" s="108">
        <v>31.019327956989244</v>
      </c>
      <c r="AC34" s="108">
        <v>23.146419354838713</v>
      </c>
      <c r="AD34" s="108">
        <v>21.334315412186381</v>
      </c>
      <c r="AE34" s="110">
        <v>29.886137480798769</v>
      </c>
      <c r="AF34" s="108">
        <v>43.005145929339477</v>
      </c>
      <c r="AG34" s="108">
        <v>24.130146953405017</v>
      </c>
      <c r="AH34" s="108">
        <v>27.585476702508959</v>
      </c>
      <c r="AI34" s="110">
        <v>31.206659498207888</v>
      </c>
      <c r="AJ34" s="108">
        <v>33.971586021505374</v>
      </c>
      <c r="AK34" s="108">
        <v>20.270584229390682</v>
      </c>
      <c r="AL34" s="108">
        <v>20.802702508960575</v>
      </c>
      <c r="AM34" s="110">
        <v>21.381075268817202</v>
      </c>
      <c r="AN34" s="108">
        <v>18.117141268075638</v>
      </c>
      <c r="AO34" s="108">
        <v>14.259394265232975</v>
      </c>
      <c r="AP34" s="108">
        <v>17.748326164874552</v>
      </c>
      <c r="AQ34" s="110">
        <v>21.52146953405018</v>
      </c>
      <c r="AR34" s="108">
        <v>39.105337941628264</v>
      </c>
      <c r="AS34" s="108">
        <v>24.03318304288716</v>
      </c>
      <c r="AT34" s="108">
        <v>36.836175627240138</v>
      </c>
      <c r="AU34" s="110">
        <v>45.872469534050175</v>
      </c>
      <c r="AV34" s="108">
        <v>88.458678955453152</v>
      </c>
      <c r="AW34" s="108">
        <v>63.297992831541215</v>
      </c>
      <c r="AX34" s="108">
        <v>74.259928315412182</v>
      </c>
      <c r="AY34" s="110">
        <v>66.52692396313364</v>
      </c>
      <c r="AZ34" s="108">
        <v>37.143759600614437</v>
      </c>
      <c r="BA34" s="108">
        <v>23.300735632183905</v>
      </c>
      <c r="BB34" s="108">
        <v>26.238448028673833</v>
      </c>
      <c r="BC34" s="109">
        <v>27.636859349894944</v>
      </c>
      <c r="BD34" s="108">
        <v>37.509284390063037</v>
      </c>
      <c r="BE34" s="111">
        <v>24.476444444444443</v>
      </c>
      <c r="BF34" s="111">
        <v>30.119777777777774</v>
      </c>
      <c r="BG34" s="112">
        <v>42.697000000000003</v>
      </c>
      <c r="BH34" s="111">
        <v>75.779333333333327</v>
      </c>
      <c r="BI34" s="111">
        <v>36.145000000000003</v>
      </c>
      <c r="BJ34" s="111">
        <v>40.048000000000002</v>
      </c>
      <c r="BK34" s="112">
        <v>52.152999999999999</v>
      </c>
      <c r="BL34" s="111">
        <v>77.676833333333335</v>
      </c>
      <c r="BM34" s="111">
        <v>38.919666666666664</v>
      </c>
      <c r="BN34" s="111">
        <v>46.645166666666661</v>
      </c>
      <c r="BO34" s="26">
        <v>50.586500000000001</v>
      </c>
      <c r="BP34" s="111">
        <v>97.278999999999996</v>
      </c>
    </row>
    <row r="35" spans="3:68" x14ac:dyDescent="0.25">
      <c r="C35" s="3" t="s">
        <v>11</v>
      </c>
      <c r="D35" s="107">
        <v>41.578717357910911</v>
      </c>
      <c r="E35" s="108">
        <v>34.073795698924734</v>
      </c>
      <c r="F35" s="108">
        <v>33.979060931899639</v>
      </c>
      <c r="G35" s="109">
        <v>31.896204301075269</v>
      </c>
      <c r="H35" s="107">
        <v>28.550674823878381</v>
      </c>
      <c r="I35" s="108">
        <v>23.868584229390677</v>
      </c>
      <c r="J35" s="108">
        <v>26.3534229390681</v>
      </c>
      <c r="K35" s="108">
        <v>31.292283154121861</v>
      </c>
      <c r="L35" s="107">
        <v>33.64162442396313</v>
      </c>
      <c r="M35" s="108">
        <v>31.076566308243731</v>
      </c>
      <c r="N35" s="108">
        <v>28.67313978494624</v>
      </c>
      <c r="O35" s="109">
        <v>32.954774193548381</v>
      </c>
      <c r="P35" s="108">
        <v>75.767427035330243</v>
      </c>
      <c r="Q35" s="108">
        <v>32.419921146953406</v>
      </c>
      <c r="R35" s="108">
        <v>27.762207885304662</v>
      </c>
      <c r="S35" s="109">
        <v>30.251068100358424</v>
      </c>
      <c r="T35" s="108">
        <v>45.347515360983103</v>
      </c>
      <c r="U35" s="108">
        <v>25.62824014336918</v>
      </c>
      <c r="V35" s="108">
        <v>23.18509318996416</v>
      </c>
      <c r="W35" s="109">
        <v>23.37556630824373</v>
      </c>
      <c r="X35" s="108">
        <v>25.254738598442714</v>
      </c>
      <c r="Y35" s="108">
        <v>21.0236164874552</v>
      </c>
      <c r="Z35" s="108">
        <v>22.789408602150541</v>
      </c>
      <c r="AA35" s="109">
        <v>25.739426523297492</v>
      </c>
      <c r="AB35" s="108">
        <v>26.821432411674351</v>
      </c>
      <c r="AC35" s="108">
        <v>22.619584229390682</v>
      </c>
      <c r="AD35" s="108">
        <v>21.91022580645161</v>
      </c>
      <c r="AE35" s="110">
        <v>27.646648745519713</v>
      </c>
      <c r="AF35" s="108">
        <v>41.514711981566826</v>
      </c>
      <c r="AG35" s="108">
        <v>26.223602150537634</v>
      </c>
      <c r="AH35" s="108">
        <v>24.317541218637995</v>
      </c>
      <c r="AI35" s="110">
        <v>30.413071684587816</v>
      </c>
      <c r="AJ35" s="108">
        <v>27.751643625192013</v>
      </c>
      <c r="AK35" s="108">
        <v>20.281756272401434</v>
      </c>
      <c r="AL35" s="108">
        <v>20.168591397849461</v>
      </c>
      <c r="AM35" s="110">
        <v>22.603118279569895</v>
      </c>
      <c r="AN35" s="108">
        <v>18.024412309974046</v>
      </c>
      <c r="AO35" s="108">
        <v>14.567286738351255</v>
      </c>
      <c r="AP35" s="108">
        <v>16.527161290322582</v>
      </c>
      <c r="AQ35" s="110">
        <v>19.666247311827956</v>
      </c>
      <c r="AR35" s="108">
        <v>27.673275729646701</v>
      </c>
      <c r="AS35" s="108">
        <v>23.018985663082436</v>
      </c>
      <c r="AT35" s="108">
        <v>31.685784946236563</v>
      </c>
      <c r="AU35" s="110">
        <v>46.920946236559139</v>
      </c>
      <c r="AV35" s="108">
        <v>51.972269585253457</v>
      </c>
      <c r="AW35" s="108">
        <v>60.19919713261649</v>
      </c>
      <c r="AX35" s="108">
        <v>67.690129032258071</v>
      </c>
      <c r="AY35" s="110">
        <v>61.581353355580269</v>
      </c>
      <c r="AZ35" s="108">
        <v>29.256540706605222</v>
      </c>
      <c r="BA35" s="108">
        <v>23.281329749103943</v>
      </c>
      <c r="BB35" s="108">
        <v>23.084802867383512</v>
      </c>
      <c r="BC35" s="109">
        <v>32.060279569892479</v>
      </c>
      <c r="BD35" s="108">
        <v>30.478301816833522</v>
      </c>
      <c r="BE35" s="111">
        <v>23.49981609195402</v>
      </c>
      <c r="BF35" s="111">
        <v>25.825333333333333</v>
      </c>
      <c r="BG35" s="112">
        <v>37.613666666666667</v>
      </c>
      <c r="BH35" s="111">
        <v>48.329333333333331</v>
      </c>
      <c r="BI35" s="111">
        <v>31.778333333333336</v>
      </c>
      <c r="BJ35" s="111">
        <v>34.448</v>
      </c>
      <c r="BK35" s="112">
        <v>41.386333333333333</v>
      </c>
      <c r="BL35" s="111">
        <v>52.610166666666665</v>
      </c>
      <c r="BM35" s="111">
        <v>33.222000000000001</v>
      </c>
      <c r="BN35" s="111">
        <v>37.173833333333334</v>
      </c>
      <c r="BO35" s="26">
        <v>43.362833333333334</v>
      </c>
      <c r="BP35" s="111">
        <v>66.408000000000001</v>
      </c>
    </row>
    <row r="36" spans="3:68" x14ac:dyDescent="0.25">
      <c r="C36" s="3" t="s">
        <v>12</v>
      </c>
      <c r="D36" s="107">
        <v>48.083571428571425</v>
      </c>
      <c r="E36" s="108">
        <v>36.092243727598564</v>
      </c>
      <c r="F36" s="108">
        <v>37.203688172043009</v>
      </c>
      <c r="G36" s="109">
        <v>31.937677419354841</v>
      </c>
      <c r="H36" s="107">
        <v>29.177601038190584</v>
      </c>
      <c r="I36" s="108">
        <v>23.388035842293906</v>
      </c>
      <c r="J36" s="108">
        <v>29.063060931899642</v>
      </c>
      <c r="K36" s="108">
        <v>33.259293906810036</v>
      </c>
      <c r="L36" s="107">
        <v>34.311420890937022</v>
      </c>
      <c r="M36" s="108">
        <v>32.601010752688175</v>
      </c>
      <c r="N36" s="108">
        <v>30.45610752688172</v>
      </c>
      <c r="O36" s="109">
        <v>33.582250896057353</v>
      </c>
      <c r="P36" s="108">
        <v>92.80697388632872</v>
      </c>
      <c r="Q36" s="108">
        <v>32.843103942652327</v>
      </c>
      <c r="R36" s="108">
        <v>26.12511111111111</v>
      </c>
      <c r="S36" s="109">
        <v>38.056275985663078</v>
      </c>
      <c r="T36" s="108">
        <v>55.255990783410141</v>
      </c>
      <c r="U36" s="108">
        <v>24.929222222222222</v>
      </c>
      <c r="V36" s="108">
        <v>20.540412186379928</v>
      </c>
      <c r="W36" s="109">
        <v>23.924777777777777</v>
      </c>
      <c r="X36" s="108">
        <v>27.279276974416018</v>
      </c>
      <c r="Y36" s="108">
        <v>19.281114695340502</v>
      </c>
      <c r="Z36" s="108">
        <v>21.88145878136201</v>
      </c>
      <c r="AA36" s="109">
        <v>20.956806451612902</v>
      </c>
      <c r="AB36" s="108">
        <v>28.99066052227343</v>
      </c>
      <c r="AC36" s="108">
        <v>21.984344086021505</v>
      </c>
      <c r="AD36" s="108">
        <v>19.496293906810038</v>
      </c>
      <c r="AE36" s="110">
        <v>30.979917562724012</v>
      </c>
      <c r="AF36" s="108">
        <v>45.176466973886328</v>
      </c>
      <c r="AG36" s="108">
        <v>24.124985663082438</v>
      </c>
      <c r="AH36" s="108">
        <v>24.36968100358423</v>
      </c>
      <c r="AI36" s="110">
        <v>33.634921146953403</v>
      </c>
      <c r="AJ36" s="108">
        <v>28.109600614439326</v>
      </c>
      <c r="AK36" s="108">
        <v>19.133071684587815</v>
      </c>
      <c r="AL36" s="108">
        <v>19.015007168458784</v>
      </c>
      <c r="AM36" s="110">
        <v>19.379817204301077</v>
      </c>
      <c r="AN36" s="108">
        <v>17.356863181312573</v>
      </c>
      <c r="AO36" s="108">
        <v>13.666727598566309</v>
      </c>
      <c r="AP36" s="108">
        <v>15.57025448028674</v>
      </c>
      <c r="AQ36" s="110">
        <v>18.875394265232973</v>
      </c>
      <c r="AR36" s="108">
        <v>32.46409370199693</v>
      </c>
      <c r="AS36" s="108">
        <v>21.19268458781362</v>
      </c>
      <c r="AT36" s="108">
        <v>30.895795698924729</v>
      </c>
      <c r="AU36" s="110">
        <v>42.39137275985663</v>
      </c>
      <c r="AV36" s="108">
        <v>54.478141321044546</v>
      </c>
      <c r="AW36" s="108">
        <v>54.540469534050182</v>
      </c>
      <c r="AX36" s="108">
        <v>64.93725448028674</v>
      </c>
      <c r="AY36" s="110">
        <v>58.797000370782349</v>
      </c>
      <c r="AZ36" s="108">
        <v>26.868467741935486</v>
      </c>
      <c r="BA36" s="108">
        <v>17.471865282412555</v>
      </c>
      <c r="BB36" s="108">
        <v>20.126082437275986</v>
      </c>
      <c r="BC36" s="109">
        <v>24.936168458781356</v>
      </c>
      <c r="BD36" s="108">
        <v>27.067408231368187</v>
      </c>
      <c r="BE36" s="111">
        <v>20.294620689655172</v>
      </c>
      <c r="BF36" s="111">
        <v>25.74088888888889</v>
      </c>
      <c r="BG36" s="112">
        <v>38.06366666666667</v>
      </c>
      <c r="BH36" s="111">
        <v>50.429333333333339</v>
      </c>
      <c r="BI36" s="111">
        <v>31.26166666666667</v>
      </c>
      <c r="BJ36" s="111">
        <v>34.931333333333335</v>
      </c>
      <c r="BK36" s="112">
        <v>41.06966666666667</v>
      </c>
      <c r="BL36" s="111">
        <v>54.310166666666667</v>
      </c>
      <c r="BM36" s="111">
        <v>32.636333333333333</v>
      </c>
      <c r="BN36" s="111">
        <v>37.62383333333333</v>
      </c>
      <c r="BO36" s="26">
        <v>43.426833333333342</v>
      </c>
      <c r="BP36" s="111">
        <v>69.379000000000005</v>
      </c>
    </row>
    <row r="37" spans="3:68" x14ac:dyDescent="0.25">
      <c r="C37" s="3" t="s">
        <v>13</v>
      </c>
      <c r="D37" s="107">
        <v>33.347884024577574</v>
      </c>
      <c r="E37" s="108">
        <v>30.961928315412191</v>
      </c>
      <c r="F37" s="108">
        <v>31.972670250896059</v>
      </c>
      <c r="G37" s="109">
        <v>30.547093189964158</v>
      </c>
      <c r="H37" s="107">
        <v>25.68882461994809</v>
      </c>
      <c r="I37" s="108">
        <v>21.720017921146951</v>
      </c>
      <c r="J37" s="108">
        <v>25.605992831541219</v>
      </c>
      <c r="K37" s="108">
        <v>29.721530465949822</v>
      </c>
      <c r="L37" s="107">
        <v>30.705595238095242</v>
      </c>
      <c r="M37" s="108">
        <v>28.693759856630823</v>
      </c>
      <c r="N37" s="108">
        <v>26.279329749103947</v>
      </c>
      <c r="O37" s="109">
        <v>28.579713261648749</v>
      </c>
      <c r="P37" s="108">
        <v>55.541236559139783</v>
      </c>
      <c r="Q37" s="108">
        <v>30.851795698924729</v>
      </c>
      <c r="R37" s="108">
        <v>26.495060931899644</v>
      </c>
      <c r="S37" s="109">
        <v>30.12110035842294</v>
      </c>
      <c r="T37" s="108">
        <v>33.943471070148483</v>
      </c>
      <c r="U37" s="108">
        <v>24.430885304659498</v>
      </c>
      <c r="V37" s="108">
        <v>22.768344086021504</v>
      </c>
      <c r="W37" s="109">
        <v>22.008093189964157</v>
      </c>
      <c r="X37" s="108">
        <v>21.947886540600667</v>
      </c>
      <c r="Y37" s="108">
        <v>21.22931899641577</v>
      </c>
      <c r="Z37" s="108">
        <v>22.398551971326167</v>
      </c>
      <c r="AA37" s="109">
        <v>25.043734890619206</v>
      </c>
      <c r="AB37" s="108">
        <v>25.45239247311828</v>
      </c>
      <c r="AC37" s="108">
        <v>22.470820788530464</v>
      </c>
      <c r="AD37" s="108">
        <v>22.564992831541218</v>
      </c>
      <c r="AE37" s="110">
        <v>26.184466073414907</v>
      </c>
      <c r="AF37" s="108">
        <v>34.112392985151054</v>
      </c>
      <c r="AG37" s="108">
        <v>27.232039426523301</v>
      </c>
      <c r="AH37" s="108">
        <v>24.363473118279568</v>
      </c>
      <c r="AI37" s="110">
        <v>29.279265232974911</v>
      </c>
      <c r="AJ37" s="108">
        <v>26.956123399897592</v>
      </c>
      <c r="AK37" s="108">
        <v>20.089566308243729</v>
      </c>
      <c r="AL37" s="108">
        <v>20.698157706093195</v>
      </c>
      <c r="AM37" s="110">
        <v>23.335777777777775</v>
      </c>
      <c r="AN37" s="108">
        <v>17.674867383512545</v>
      </c>
      <c r="AO37" s="108">
        <v>14.84194982078853</v>
      </c>
      <c r="AP37" s="108">
        <v>17.344182795698927</v>
      </c>
      <c r="AQ37" s="110">
        <v>19.694526881720432</v>
      </c>
      <c r="AR37" s="108">
        <v>26.50538402457757</v>
      </c>
      <c r="AS37" s="108">
        <v>23.336759856630824</v>
      </c>
      <c r="AT37" s="108">
        <v>32.231960573476705</v>
      </c>
      <c r="AU37" s="110">
        <v>46.117534050179216</v>
      </c>
      <c r="AV37" s="108">
        <v>43.98985407066052</v>
      </c>
      <c r="AW37" s="108">
        <v>57.759818740399375</v>
      </c>
      <c r="AX37" s="108">
        <v>65.376225806451615</v>
      </c>
      <c r="AY37" s="110">
        <v>60.394781362007166</v>
      </c>
      <c r="AZ37" s="108">
        <v>26.509850230414745</v>
      </c>
      <c r="BA37" s="108">
        <v>22.587222222222223</v>
      </c>
      <c r="BB37" s="108">
        <v>23.075562724014336</v>
      </c>
      <c r="BC37" s="109">
        <v>26.13768458781362</v>
      </c>
      <c r="BD37" s="108">
        <v>25.081234705228031</v>
      </c>
      <c r="BE37" s="111">
        <v>23.632151614668857</v>
      </c>
      <c r="BF37" s="111">
        <v>24.471999999999998</v>
      </c>
      <c r="BG37" s="112">
        <v>34.830333333333336</v>
      </c>
      <c r="BH37" s="111">
        <v>42.713833333333334</v>
      </c>
      <c r="BI37" s="111">
        <v>30.278333333333336</v>
      </c>
      <c r="BJ37" s="111">
        <v>32.497999999999998</v>
      </c>
      <c r="BK37" s="112">
        <v>37.586333333333329</v>
      </c>
      <c r="BL37" s="111">
        <v>44.476833333333332</v>
      </c>
      <c r="BM37" s="111">
        <v>31.09866666666667</v>
      </c>
      <c r="BN37" s="111">
        <v>34.545833333333334</v>
      </c>
      <c r="BO37" s="26">
        <v>39.812833333333337</v>
      </c>
      <c r="BP37" s="111">
        <v>56.015000000000001</v>
      </c>
    </row>
    <row r="38" spans="3:68" x14ac:dyDescent="0.25">
      <c r="C38" s="3" t="s">
        <v>14</v>
      </c>
      <c r="D38" s="107">
        <v>33.298033794162826</v>
      </c>
      <c r="E38" s="108">
        <v>31.009340501792114</v>
      </c>
      <c r="F38" s="108">
        <v>32.125118279569897</v>
      </c>
      <c r="G38" s="109">
        <v>30.676046594982079</v>
      </c>
      <c r="H38" s="107">
        <v>25.688591027067108</v>
      </c>
      <c r="I38" s="108">
        <v>21.837681003584233</v>
      </c>
      <c r="J38" s="108">
        <v>25.724408602150536</v>
      </c>
      <c r="K38" s="108">
        <v>29.811258064516128</v>
      </c>
      <c r="L38" s="107">
        <v>30.590199692780342</v>
      </c>
      <c r="M38" s="108">
        <v>28.865225806451615</v>
      </c>
      <c r="N38" s="108">
        <v>26.415559139784946</v>
      </c>
      <c r="O38" s="109">
        <v>28.627401433691755</v>
      </c>
      <c r="P38" s="108">
        <v>55.214420122887866</v>
      </c>
      <c r="Q38" s="108">
        <v>31.09567025089606</v>
      </c>
      <c r="R38" s="108">
        <v>26.585681003584227</v>
      </c>
      <c r="S38" s="109">
        <v>29.954075268817206</v>
      </c>
      <c r="T38" s="108">
        <v>33.825161546338968</v>
      </c>
      <c r="U38" s="108">
        <v>24.376419354838713</v>
      </c>
      <c r="V38" s="108">
        <v>22.842021505376341</v>
      </c>
      <c r="W38" s="109">
        <v>21.997132616487452</v>
      </c>
      <c r="X38" s="108">
        <v>22.072717834631074</v>
      </c>
      <c r="Y38" s="108">
        <v>21.379215053763442</v>
      </c>
      <c r="Z38" s="108">
        <v>22.513336917562725</v>
      </c>
      <c r="AA38" s="109">
        <v>24.973278581139539</v>
      </c>
      <c r="AB38" s="108">
        <v>25.481344086021505</v>
      </c>
      <c r="AC38" s="108">
        <v>22.570086021505375</v>
      </c>
      <c r="AD38" s="108">
        <v>22.690290322580648</v>
      </c>
      <c r="AE38" s="110">
        <v>26.094084538375977</v>
      </c>
      <c r="AF38" s="108">
        <v>33.19622759856631</v>
      </c>
      <c r="AG38" s="108">
        <v>27.39832616487455</v>
      </c>
      <c r="AH38" s="108">
        <v>24.422025089605736</v>
      </c>
      <c r="AI38" s="110">
        <v>29.34837275985663</v>
      </c>
      <c r="AJ38" s="108">
        <v>26.969953149001537</v>
      </c>
      <c r="AK38" s="108">
        <v>20.184967741935484</v>
      </c>
      <c r="AL38" s="108">
        <v>20.775709677419353</v>
      </c>
      <c r="AM38" s="110">
        <v>23.38905376344086</v>
      </c>
      <c r="AN38" s="108">
        <v>17.671227660363368</v>
      </c>
      <c r="AO38" s="108">
        <v>14.852569892473118</v>
      </c>
      <c r="AP38" s="108">
        <v>17.429290322580645</v>
      </c>
      <c r="AQ38" s="110">
        <v>19.5925017921147</v>
      </c>
      <c r="AR38" s="108">
        <v>26.498646953405018</v>
      </c>
      <c r="AS38" s="108">
        <v>23.430964157706089</v>
      </c>
      <c r="AT38" s="108">
        <v>32.313236559139789</v>
      </c>
      <c r="AU38" s="110">
        <v>45.306498207885305</v>
      </c>
      <c r="AV38" s="108">
        <v>43.693049155145935</v>
      </c>
      <c r="AW38" s="108">
        <v>57.612471326164872</v>
      </c>
      <c r="AX38" s="108">
        <v>65.358139784946232</v>
      </c>
      <c r="AY38" s="110">
        <v>59.920229390681008</v>
      </c>
      <c r="AZ38" s="108">
        <v>26.348091397849462</v>
      </c>
      <c r="BA38" s="108">
        <v>22.551111111111112</v>
      </c>
      <c r="BB38" s="108">
        <v>23.140146953405019</v>
      </c>
      <c r="BC38" s="109">
        <v>26.065799283154124</v>
      </c>
      <c r="BD38" s="108">
        <v>25.104175009269557</v>
      </c>
      <c r="BE38" s="111">
        <v>23.491459496442257</v>
      </c>
      <c r="BF38" s="111">
        <v>17.329999999999998</v>
      </c>
      <c r="BG38" s="112"/>
      <c r="BH38" s="111"/>
      <c r="BI38" s="111"/>
      <c r="BJ38" s="111"/>
      <c r="BK38" s="112"/>
      <c r="BL38" s="111"/>
      <c r="BM38" s="111"/>
      <c r="BN38" s="111"/>
      <c r="BO38" s="26"/>
      <c r="BP38" s="111"/>
    </row>
    <row r="39" spans="3:68" x14ac:dyDescent="0.25">
      <c r="C39" s="3" t="s">
        <v>15</v>
      </c>
      <c r="D39" s="107">
        <v>28.365737327188938</v>
      </c>
      <c r="E39" s="108">
        <v>24.09255555555556</v>
      </c>
      <c r="F39" s="108">
        <v>25.695250896057349</v>
      </c>
      <c r="G39" s="109">
        <v>20.597534050179213</v>
      </c>
      <c r="H39" s="107">
        <v>24.09860585836114</v>
      </c>
      <c r="I39" s="108">
        <v>19.812279569892471</v>
      </c>
      <c r="J39" s="108">
        <v>23.774541218637992</v>
      </c>
      <c r="K39" s="108">
        <v>23.10483870967742</v>
      </c>
      <c r="L39" s="107">
        <v>27.405944700460832</v>
      </c>
      <c r="M39" s="108">
        <v>25.874584229390681</v>
      </c>
      <c r="N39" s="108">
        <v>23.870684587813624</v>
      </c>
      <c r="O39" s="109">
        <v>26.149584229390683</v>
      </c>
      <c r="P39" s="108">
        <v>46.07847542242704</v>
      </c>
      <c r="Q39" s="108">
        <v>27.005200716845877</v>
      </c>
      <c r="R39" s="108">
        <v>24.014017921146955</v>
      </c>
      <c r="S39" s="109">
        <v>25.285017921146949</v>
      </c>
      <c r="T39" s="108">
        <v>27.835195852534564</v>
      </c>
      <c r="U39" s="108">
        <v>18.379376344086022</v>
      </c>
      <c r="V39" s="108">
        <v>21.306949820788532</v>
      </c>
      <c r="W39" s="109">
        <v>19.738121863799282</v>
      </c>
      <c r="X39" s="108">
        <v>19.842135706340382</v>
      </c>
      <c r="Y39" s="108">
        <v>18.19563082437276</v>
      </c>
      <c r="Z39" s="108">
        <v>21.276777777777777</v>
      </c>
      <c r="AA39" s="109">
        <v>23.444842293906813</v>
      </c>
      <c r="AB39" s="108">
        <v>23.188306451612902</v>
      </c>
      <c r="AC39" s="108">
        <v>20.113939068100358</v>
      </c>
      <c r="AD39" s="108">
        <v>18.337401433691756</v>
      </c>
      <c r="AE39" s="110">
        <v>21.493344086021505</v>
      </c>
      <c r="AF39" s="108">
        <v>22.854642857142853</v>
      </c>
      <c r="AG39" s="108">
        <v>18.778000000000002</v>
      </c>
      <c r="AH39" s="108">
        <v>22.038691756272403</v>
      </c>
      <c r="AI39" s="110">
        <v>24.745315412186375</v>
      </c>
      <c r="AJ39" s="108">
        <v>22.725783410138249</v>
      </c>
      <c r="AK39" s="108">
        <v>18.287035842293907</v>
      </c>
      <c r="AL39" s="108">
        <v>17.056290322580647</v>
      </c>
      <c r="AM39" s="110">
        <v>16.94454480286738</v>
      </c>
      <c r="AN39" s="108">
        <v>16.37061920652577</v>
      </c>
      <c r="AO39" s="108">
        <v>12.41815770609319</v>
      </c>
      <c r="AP39" s="108">
        <v>15.267154121863799</v>
      </c>
      <c r="AQ39" s="110">
        <v>16.659799283154122</v>
      </c>
      <c r="AR39" s="108">
        <v>24.988302611367128</v>
      </c>
      <c r="AS39" s="108">
        <v>21.212881720430108</v>
      </c>
      <c r="AT39" s="108">
        <v>30.059279569892471</v>
      </c>
      <c r="AU39" s="110">
        <v>36.044835125448024</v>
      </c>
      <c r="AV39" s="108">
        <v>35.337546082949309</v>
      </c>
      <c r="AW39" s="108">
        <v>47.594390681003581</v>
      </c>
      <c r="AX39" s="108">
        <v>60.494186379928315</v>
      </c>
      <c r="AY39" s="110">
        <v>43.373978494623657</v>
      </c>
      <c r="AZ39" s="108">
        <v>22.818207117255508</v>
      </c>
      <c r="BA39" s="108">
        <v>15.336743789395625</v>
      </c>
      <c r="BB39" s="108">
        <v>21.778172043010755</v>
      </c>
      <c r="BC39" s="109">
        <v>20.639609318996417</v>
      </c>
      <c r="BD39" s="108">
        <v>22.894942528735637</v>
      </c>
      <c r="BE39" s="111">
        <v>15.612743295019158</v>
      </c>
      <c r="BF39" s="111">
        <v>19.508666666666667</v>
      </c>
      <c r="BG39" s="112">
        <v>28.213666666666665</v>
      </c>
      <c r="BH39" s="111">
        <v>36.529333333333334</v>
      </c>
      <c r="BI39" s="111">
        <v>24.728333333333335</v>
      </c>
      <c r="BJ39" s="111">
        <v>29.231333333333335</v>
      </c>
      <c r="BK39" s="112">
        <v>30.153000000000002</v>
      </c>
      <c r="BL39" s="111">
        <v>37.625666666666667</v>
      </c>
      <c r="BM39" s="111">
        <v>26.203000000000003</v>
      </c>
      <c r="BN39" s="111">
        <v>30.357166666666668</v>
      </c>
      <c r="BO39" s="26">
        <v>31.743500000000001</v>
      </c>
      <c r="BP39" s="111">
        <v>48.878999999999998</v>
      </c>
    </row>
    <row r="40" spans="3:68" x14ac:dyDescent="0.25">
      <c r="C40" s="3" t="s">
        <v>16</v>
      </c>
      <c r="D40" s="107">
        <v>28.792995391705066</v>
      </c>
      <c r="E40" s="108">
        <v>26.111336917562724</v>
      </c>
      <c r="F40" s="108">
        <v>26.0621935483871</v>
      </c>
      <c r="G40" s="109">
        <v>21.418881720430107</v>
      </c>
      <c r="H40" s="107">
        <v>17.818427882832779</v>
      </c>
      <c r="I40" s="108">
        <v>15.593275985663084</v>
      </c>
      <c r="J40" s="108">
        <v>19.09759139784946</v>
      </c>
      <c r="K40" s="108">
        <v>21.150172043010752</v>
      </c>
      <c r="L40" s="107">
        <v>22.638437019969277</v>
      </c>
      <c r="M40" s="108">
        <v>25.558698924731186</v>
      </c>
      <c r="N40" s="108">
        <v>24.006551971326164</v>
      </c>
      <c r="O40" s="109">
        <v>25.971541218637991</v>
      </c>
      <c r="P40" s="108">
        <v>32.398306451612903</v>
      </c>
      <c r="Q40" s="108">
        <v>29.50877419354839</v>
      </c>
      <c r="R40" s="108">
        <v>26.784053763440863</v>
      </c>
      <c r="S40" s="109">
        <v>23.937885304659499</v>
      </c>
      <c r="T40" s="108">
        <v>19.345460829493092</v>
      </c>
      <c r="U40" s="108">
        <v>18.209286738351253</v>
      </c>
      <c r="V40" s="108">
        <v>18.644146953405016</v>
      </c>
      <c r="W40" s="109">
        <v>15.067688172043011</v>
      </c>
      <c r="X40" s="108">
        <v>12.695928809788654</v>
      </c>
      <c r="Y40" s="108">
        <v>12.968508960573478</v>
      </c>
      <c r="Z40" s="108">
        <v>18.550523297491036</v>
      </c>
      <c r="AA40" s="109">
        <v>16.590422939068102</v>
      </c>
      <c r="AB40" s="108">
        <v>17.379857910906299</v>
      </c>
      <c r="AC40" s="108">
        <v>20.988688172043013</v>
      </c>
      <c r="AD40" s="108">
        <v>19.935666666666666</v>
      </c>
      <c r="AE40" s="110">
        <v>18.296793968607094</v>
      </c>
      <c r="AF40" s="108">
        <v>21.803218125960058</v>
      </c>
      <c r="AG40" s="108">
        <v>21.155616487455195</v>
      </c>
      <c r="AH40" s="108">
        <v>27.129236559139784</v>
      </c>
      <c r="AI40" s="110">
        <v>25.555974910394266</v>
      </c>
      <c r="AJ40" s="108">
        <v>20.077050691244239</v>
      </c>
      <c r="AK40" s="108">
        <v>19.028960573476706</v>
      </c>
      <c r="AL40" s="108">
        <v>21.584390681003583</v>
      </c>
      <c r="AM40" s="110">
        <v>17.980663082437275</v>
      </c>
      <c r="AN40" s="108">
        <v>14.836277345198368</v>
      </c>
      <c r="AO40" s="108">
        <v>13.490698924731182</v>
      </c>
      <c r="AP40" s="108">
        <v>18.018763440860212</v>
      </c>
      <c r="AQ40" s="110">
        <v>18.575293906810035</v>
      </c>
      <c r="AR40" s="108">
        <v>513.02547619047607</v>
      </c>
      <c r="AS40" s="108">
        <v>22.95231541218638</v>
      </c>
      <c r="AT40" s="108">
        <v>31.178316648127549</v>
      </c>
      <c r="AU40" s="110">
        <v>31.927272401433687</v>
      </c>
      <c r="AV40" s="108">
        <v>31.520698924731182</v>
      </c>
      <c r="AW40" s="108">
        <v>60.236752688172039</v>
      </c>
      <c r="AX40" s="108">
        <v>62.690230503028062</v>
      </c>
      <c r="AY40" s="110">
        <v>45.069310344827585</v>
      </c>
      <c r="AZ40" s="108">
        <v>18.907290476190472</v>
      </c>
      <c r="BA40" s="108">
        <v>22.281172413793104</v>
      </c>
      <c r="BB40" s="108">
        <v>52.040743021346465</v>
      </c>
      <c r="BC40" s="109">
        <v>21.811176105137395</v>
      </c>
      <c r="BD40" s="108">
        <v>20.655462241997281</v>
      </c>
      <c r="BE40" s="111">
        <v>22.131288724685277</v>
      </c>
      <c r="BF40" s="111">
        <v>44.148666666666664</v>
      </c>
      <c r="BG40" s="112">
        <v>30.200333333333333</v>
      </c>
      <c r="BH40" s="111">
        <v>51.675999999999995</v>
      </c>
      <c r="BI40" s="111">
        <v>38.634999999999998</v>
      </c>
      <c r="BJ40" s="111">
        <v>53.44466666666667</v>
      </c>
      <c r="BK40" s="112">
        <v>38.953000000000003</v>
      </c>
      <c r="BL40" s="111">
        <v>52.436833333333333</v>
      </c>
      <c r="BM40" s="111">
        <v>35.365333333333332</v>
      </c>
      <c r="BN40" s="111">
        <v>52.770500000000006</v>
      </c>
      <c r="BO40" s="26">
        <v>38.422833333333337</v>
      </c>
      <c r="BP40" s="111">
        <v>69.897999999999996</v>
      </c>
    </row>
    <row r="41" spans="3:68" x14ac:dyDescent="0.25">
      <c r="C41" s="3" t="s">
        <v>17</v>
      </c>
      <c r="D41" s="107">
        <v>29.003844086021502</v>
      </c>
      <c r="E41" s="108">
        <v>26.346229390681003</v>
      </c>
      <c r="F41" s="108">
        <v>26.107856630824376</v>
      </c>
      <c r="G41" s="109">
        <v>21.513906810035845</v>
      </c>
      <c r="H41" s="107">
        <v>17.816566555431962</v>
      </c>
      <c r="I41" s="108">
        <v>15.571286738351255</v>
      </c>
      <c r="J41" s="108">
        <v>19.02774551971326</v>
      </c>
      <c r="K41" s="108">
        <v>21.266666666666666</v>
      </c>
      <c r="L41" s="107">
        <v>22.624662058371737</v>
      </c>
      <c r="M41" s="108">
        <v>25.451759856630826</v>
      </c>
      <c r="N41" s="108">
        <v>23.878240143369172</v>
      </c>
      <c r="O41" s="109">
        <v>25.720634408602152</v>
      </c>
      <c r="P41" s="108">
        <v>32.577872503840247</v>
      </c>
      <c r="Q41" s="108">
        <v>29.44930465949821</v>
      </c>
      <c r="R41" s="108">
        <v>26.556881720430109</v>
      </c>
      <c r="S41" s="109">
        <v>24.043465949820789</v>
      </c>
      <c r="T41" s="108">
        <v>19.339297235023043</v>
      </c>
      <c r="U41" s="108">
        <v>18.067842293906811</v>
      </c>
      <c r="V41" s="108">
        <v>18.545322580645159</v>
      </c>
      <c r="W41" s="109">
        <v>14.238308243727596</v>
      </c>
      <c r="X41" s="108">
        <v>12.646262513904338</v>
      </c>
      <c r="Y41" s="108">
        <v>12.810566308243727</v>
      </c>
      <c r="Z41" s="108">
        <v>18.317469534050179</v>
      </c>
      <c r="AA41" s="109">
        <v>15.990107526881722</v>
      </c>
      <c r="AB41" s="108">
        <v>16.282837941628262</v>
      </c>
      <c r="AC41" s="108">
        <v>18.168369175627237</v>
      </c>
      <c r="AD41" s="108">
        <v>19.25232258064516</v>
      </c>
      <c r="AE41" s="110">
        <v>16.476257570139662</v>
      </c>
      <c r="AF41" s="108">
        <v>21.37513440860215</v>
      </c>
      <c r="AG41" s="108">
        <v>20.672218637992831</v>
      </c>
      <c r="AH41" s="108">
        <v>26.916129032258066</v>
      </c>
      <c r="AI41" s="110">
        <v>25.50283870967742</v>
      </c>
      <c r="AJ41" s="108">
        <v>19.817665130568354</v>
      </c>
      <c r="AK41" s="108">
        <v>18.587881720430108</v>
      </c>
      <c r="AL41" s="108">
        <v>21.263225806451612</v>
      </c>
      <c r="AM41" s="110">
        <v>17.345541218637994</v>
      </c>
      <c r="AN41" s="108">
        <v>14.66602892102336</v>
      </c>
      <c r="AO41" s="108">
        <v>12.988505376344087</v>
      </c>
      <c r="AP41" s="108">
        <v>17.702774193548386</v>
      </c>
      <c r="AQ41" s="110">
        <v>18.241125448028676</v>
      </c>
      <c r="AR41" s="108">
        <v>512.98281490015358</v>
      </c>
      <c r="AS41" s="108">
        <v>21.789426523297493</v>
      </c>
      <c r="AT41" s="108">
        <v>31.067011494252871</v>
      </c>
      <c r="AU41" s="110">
        <v>31.017989247311828</v>
      </c>
      <c r="AV41" s="108">
        <v>30.00269969278034</v>
      </c>
      <c r="AW41" s="108">
        <v>53.835942652329749</v>
      </c>
      <c r="AX41" s="108">
        <v>62.740220615498707</v>
      </c>
      <c r="AY41" s="110">
        <v>43.947701149425285</v>
      </c>
      <c r="AZ41" s="108">
        <v>18.192825396825395</v>
      </c>
      <c r="BA41" s="108">
        <v>21.009445295870584</v>
      </c>
      <c r="BB41" s="108">
        <v>51.036227422003286</v>
      </c>
      <c r="BC41" s="109">
        <v>20.604227160493824</v>
      </c>
      <c r="BD41" s="108">
        <v>20.226492769744159</v>
      </c>
      <c r="BE41" s="111">
        <v>20.040283251231525</v>
      </c>
      <c r="BF41" s="111">
        <v>44.344222222222221</v>
      </c>
      <c r="BG41" s="112">
        <v>30.423666666666666</v>
      </c>
      <c r="BH41" s="111">
        <v>48.557166666666667</v>
      </c>
      <c r="BI41" s="111">
        <v>33.055</v>
      </c>
      <c r="BJ41" s="111">
        <v>56.514666666666663</v>
      </c>
      <c r="BK41" s="112">
        <v>33.453000000000003</v>
      </c>
      <c r="BL41" s="111">
        <v>51.383499999999998</v>
      </c>
      <c r="BM41" s="111">
        <v>31.448666666666668</v>
      </c>
      <c r="BN41" s="111">
        <v>51.058500000000002</v>
      </c>
      <c r="BO41" s="26">
        <v>33.737500000000004</v>
      </c>
      <c r="BP41" s="111">
        <v>66.456999999999994</v>
      </c>
    </row>
    <row r="42" spans="3:68" x14ac:dyDescent="0.25">
      <c r="C42" s="3" t="s">
        <v>18</v>
      </c>
      <c r="D42" s="107">
        <v>29.307730414746544</v>
      </c>
      <c r="E42" s="108">
        <v>25.41595340501792</v>
      </c>
      <c r="F42" s="108">
        <v>25.988645161290322</v>
      </c>
      <c r="G42" s="109">
        <v>21.65830107526882</v>
      </c>
      <c r="H42" s="107">
        <v>17.777211716722285</v>
      </c>
      <c r="I42" s="108">
        <v>15.539756272401434</v>
      </c>
      <c r="J42" s="108">
        <v>19.10936917562724</v>
      </c>
      <c r="K42" s="108">
        <v>21.240896057347669</v>
      </c>
      <c r="L42" s="107">
        <v>22.531132872503843</v>
      </c>
      <c r="M42" s="108">
        <v>25.333698924731181</v>
      </c>
      <c r="N42" s="108">
        <v>23.979591397849461</v>
      </c>
      <c r="O42" s="109">
        <v>25.927888888888891</v>
      </c>
      <c r="P42" s="108">
        <v>32.387584485407068</v>
      </c>
      <c r="Q42" s="108">
        <v>29.294706093189962</v>
      </c>
      <c r="R42" s="108">
        <v>26.635136200716847</v>
      </c>
      <c r="S42" s="109">
        <v>23.917440860215052</v>
      </c>
      <c r="T42" s="108">
        <v>19.304354838709674</v>
      </c>
      <c r="U42" s="108">
        <v>18.188609318996416</v>
      </c>
      <c r="V42" s="108">
        <v>18.671107526881723</v>
      </c>
      <c r="W42" s="109">
        <v>14.719444444444443</v>
      </c>
      <c r="X42" s="108">
        <v>12.527096774193547</v>
      </c>
      <c r="Y42" s="108">
        <v>12.826999999999998</v>
      </c>
      <c r="Z42" s="108">
        <v>18.289566308243725</v>
      </c>
      <c r="AA42" s="109">
        <v>16.416759856630822</v>
      </c>
      <c r="AB42" s="108">
        <v>16.314665898617513</v>
      </c>
      <c r="AC42" s="108">
        <v>19.308118279569893</v>
      </c>
      <c r="AD42" s="108">
        <v>19.839706093189964</v>
      </c>
      <c r="AE42" s="110">
        <v>17.755352490421455</v>
      </c>
      <c r="AF42" s="108">
        <v>22.018913210445465</v>
      </c>
      <c r="AG42" s="108">
        <v>21.435057347670249</v>
      </c>
      <c r="AH42" s="108">
        <v>27.206935483870968</v>
      </c>
      <c r="AI42" s="110">
        <v>25.106508960573478</v>
      </c>
      <c r="AJ42" s="108">
        <v>19.930218894009219</v>
      </c>
      <c r="AK42" s="108">
        <v>18.221025089605735</v>
      </c>
      <c r="AL42" s="108">
        <v>21.483820788530466</v>
      </c>
      <c r="AM42" s="110">
        <v>18.204440860215055</v>
      </c>
      <c r="AN42" s="108">
        <v>15.030177975528366</v>
      </c>
      <c r="AO42" s="108">
        <v>13.468537634408603</v>
      </c>
      <c r="AP42" s="108">
        <v>17.787867383512545</v>
      </c>
      <c r="AQ42" s="110">
        <v>17.943448028673831</v>
      </c>
      <c r="AR42" s="108">
        <v>510.20155913978493</v>
      </c>
      <c r="AS42" s="108">
        <v>21.441974910394265</v>
      </c>
      <c r="AT42" s="108">
        <v>30.441086392287726</v>
      </c>
      <c r="AU42" s="110">
        <v>29.854992831541221</v>
      </c>
      <c r="AV42" s="108">
        <v>27.697215821812595</v>
      </c>
      <c r="AW42" s="108">
        <v>52.691172043010745</v>
      </c>
      <c r="AX42" s="108">
        <v>62.033410579656412</v>
      </c>
      <c r="AY42" s="110">
        <v>44.400804597701153</v>
      </c>
      <c r="AZ42" s="108">
        <v>18.369550793650792</v>
      </c>
      <c r="BA42" s="108">
        <v>21.479169433801616</v>
      </c>
      <c r="BB42" s="108">
        <v>50.330623973727427</v>
      </c>
      <c r="BC42" s="109">
        <v>21.945762007168458</v>
      </c>
      <c r="BD42" s="108">
        <v>20.123234705228029</v>
      </c>
      <c r="BE42" s="111">
        <v>22.238017515051997</v>
      </c>
      <c r="BF42" s="111">
        <v>44.322000000000003</v>
      </c>
      <c r="BG42" s="112">
        <v>32.103666666666669</v>
      </c>
      <c r="BH42" s="111">
        <v>49.43933333333333</v>
      </c>
      <c r="BI42" s="111">
        <v>35.961666666666666</v>
      </c>
      <c r="BJ42" s="111">
        <v>59.074666666666666</v>
      </c>
      <c r="BK42" s="112">
        <v>37.029666666666664</v>
      </c>
      <c r="BL42" s="111">
        <v>54.070166666666665</v>
      </c>
      <c r="BM42" s="111">
        <v>36.312999999999995</v>
      </c>
      <c r="BN42" s="111">
        <v>52.62716666666666</v>
      </c>
      <c r="BO42" s="26">
        <v>34.625166666666665</v>
      </c>
      <c r="BP42" s="111">
        <v>72.108000000000004</v>
      </c>
    </row>
    <row r="43" spans="3:68" x14ac:dyDescent="0.25">
      <c r="C43" s="3" t="s">
        <v>19</v>
      </c>
      <c r="D43" s="107">
        <v>20.989451563691841</v>
      </c>
      <c r="E43" s="108">
        <v>14.849151515151513</v>
      </c>
      <c r="F43" s="108">
        <v>24.741949275362316</v>
      </c>
      <c r="G43" s="109">
        <v>24.262559314954057</v>
      </c>
      <c r="H43" s="107">
        <v>19.155257575757577</v>
      </c>
      <c r="I43" s="108">
        <v>16.328321789321787</v>
      </c>
      <c r="J43" s="108">
        <v>20.926206094947513</v>
      </c>
      <c r="K43" s="109">
        <v>25.647444698703282</v>
      </c>
      <c r="L43" s="107">
        <v>26.908888053466995</v>
      </c>
      <c r="M43" s="108">
        <v>27.335878787878784</v>
      </c>
      <c r="N43" s="108">
        <v>26.463727272727272</v>
      </c>
      <c r="O43" s="109">
        <v>31.073770531400964</v>
      </c>
      <c r="P43" s="108">
        <v>39.368287385129491</v>
      </c>
      <c r="Q43" s="108">
        <v>32.674200083542189</v>
      </c>
      <c r="R43" s="108">
        <v>32.55665656565656</v>
      </c>
      <c r="S43" s="109">
        <v>30.011954288961959</v>
      </c>
      <c r="T43" s="108">
        <v>22.38304465709729</v>
      </c>
      <c r="U43" s="108">
        <v>21.426091630591628</v>
      </c>
      <c r="V43" s="108">
        <v>23.656327561327561</v>
      </c>
      <c r="W43" s="109">
        <v>20.409894179894177</v>
      </c>
      <c r="X43" s="108">
        <v>17.046860446570971</v>
      </c>
      <c r="Y43" s="108">
        <v>16.609292929292931</v>
      </c>
      <c r="Z43" s="108">
        <v>22.506254313319531</v>
      </c>
      <c r="AA43" s="109">
        <v>22.253646616541356</v>
      </c>
      <c r="AB43" s="108">
        <v>21.032033492822968</v>
      </c>
      <c r="AC43" s="108">
        <v>22.83050505050505</v>
      </c>
      <c r="AD43" s="108">
        <v>24.718803030303025</v>
      </c>
      <c r="AE43" s="110">
        <v>24.505534670008355</v>
      </c>
      <c r="AF43" s="108">
        <v>24.928521303258147</v>
      </c>
      <c r="AG43" s="108">
        <v>19.439353383458648</v>
      </c>
      <c r="AH43" s="108">
        <v>32.849931731502664</v>
      </c>
      <c r="AI43" s="110">
        <v>34.045535638613437</v>
      </c>
      <c r="AJ43" s="108">
        <v>37.928294068504599</v>
      </c>
      <c r="AK43" s="108">
        <v>14.95165162907268</v>
      </c>
      <c r="AL43" s="108">
        <v>22.892712121212117</v>
      </c>
      <c r="AM43" s="110">
        <v>28.293421900161032</v>
      </c>
      <c r="AN43" s="108">
        <v>21.179055593529274</v>
      </c>
      <c r="AO43" s="108">
        <v>17.163253968253969</v>
      </c>
      <c r="AP43" s="108">
        <v>37.381248196248201</v>
      </c>
      <c r="AQ43" s="110">
        <v>28.951308321308321</v>
      </c>
      <c r="AR43" s="108">
        <v>39.14651411136537</v>
      </c>
      <c r="AS43" s="108">
        <v>35.742676767676762</v>
      </c>
      <c r="AT43" s="108">
        <v>49.872604617604622</v>
      </c>
      <c r="AU43" s="110">
        <v>46.433987886382624</v>
      </c>
      <c r="AV43" s="108">
        <v>41.855087337909993</v>
      </c>
      <c r="AW43" s="108">
        <v>66.260388888888883</v>
      </c>
      <c r="AX43" s="108">
        <v>85.078994824016561</v>
      </c>
      <c r="AY43" s="110">
        <v>119.44634795321637</v>
      </c>
      <c r="AZ43" s="108">
        <v>91.846847826086957</v>
      </c>
      <c r="BA43" s="108">
        <v>42.127301587301588</v>
      </c>
      <c r="BB43" s="108">
        <v>56.599007246376821</v>
      </c>
      <c r="BC43" s="109">
        <v>50.674330143540658</v>
      </c>
      <c r="BD43" s="108">
        <v>44.364428571428569</v>
      </c>
      <c r="BE43" s="111">
        <v>24.906148325358853</v>
      </c>
      <c r="BF43" s="111">
        <v>57.748666666666658</v>
      </c>
      <c r="BG43" s="112">
        <v>57.206999999999994</v>
      </c>
      <c r="BH43" s="111">
        <v>60.208333333333336</v>
      </c>
      <c r="BI43" s="111">
        <v>41.601666666666667</v>
      </c>
      <c r="BJ43" s="111">
        <v>79.011333333333326</v>
      </c>
      <c r="BK43" s="112">
        <v>64.992999999999995</v>
      </c>
      <c r="BL43" s="111">
        <v>65.176833333333335</v>
      </c>
      <c r="BM43" s="111">
        <v>41.975333333333332</v>
      </c>
      <c r="BN43" s="111">
        <v>87.483833333333337</v>
      </c>
      <c r="BO43" s="26">
        <v>68.552833333333339</v>
      </c>
      <c r="BP43" s="111">
        <v>96.427999999999997</v>
      </c>
    </row>
    <row r="44" spans="3:68" x14ac:dyDescent="0.25">
      <c r="C44" s="3" t="s">
        <v>20</v>
      </c>
      <c r="D44" s="107">
        <v>22.127334858886346</v>
      </c>
      <c r="E44" s="108">
        <v>13.350181818181818</v>
      </c>
      <c r="F44" s="108">
        <v>25.059927536231882</v>
      </c>
      <c r="G44" s="109">
        <v>24.971964076858814</v>
      </c>
      <c r="H44" s="107">
        <v>20.408272727272728</v>
      </c>
      <c r="I44" s="108">
        <v>18.388093073593073</v>
      </c>
      <c r="J44" s="108">
        <v>23.608646236804134</v>
      </c>
      <c r="K44" s="108">
        <v>29.146674718196454</v>
      </c>
      <c r="L44" s="107">
        <v>38.534333333333336</v>
      </c>
      <c r="M44" s="108">
        <v>36.508088751289989</v>
      </c>
      <c r="N44" s="108">
        <v>34.90521843825249</v>
      </c>
      <c r="O44" s="109">
        <v>38.032250233426701</v>
      </c>
      <c r="P44" s="108">
        <v>47.02996365914786</v>
      </c>
      <c r="Q44" s="108">
        <v>38.568959694989104</v>
      </c>
      <c r="R44" s="108">
        <v>38.907664473684214</v>
      </c>
      <c r="S44" s="109">
        <v>37.020208333333336</v>
      </c>
      <c r="T44" s="108">
        <v>27.473252136752137</v>
      </c>
      <c r="U44" s="108">
        <v>27.601428571428571</v>
      </c>
      <c r="V44" s="108">
        <v>30.380361111111114</v>
      </c>
      <c r="W44" s="109">
        <v>27.161861111111108</v>
      </c>
      <c r="X44" s="108">
        <v>21.459458333333334</v>
      </c>
      <c r="Y44" s="108">
        <v>20.368954248366013</v>
      </c>
      <c r="Z44" s="108">
        <v>29.029335839599</v>
      </c>
      <c r="AA44" s="109">
        <v>28.461124183006536</v>
      </c>
      <c r="AB44" s="108">
        <v>24.177423245614037</v>
      </c>
      <c r="AC44" s="108">
        <v>25.267759259259261</v>
      </c>
      <c r="AD44" s="108">
        <v>33.730138888888888</v>
      </c>
      <c r="AE44" s="110">
        <v>34.067380952380951</v>
      </c>
      <c r="AF44" s="108">
        <v>31.483999999999998</v>
      </c>
      <c r="AG44" s="108">
        <v>23.269603174603176</v>
      </c>
      <c r="AH44" s="108">
        <v>42.804829059829054</v>
      </c>
      <c r="AI44" s="110">
        <v>47.844141414141411</v>
      </c>
      <c r="AJ44" s="108">
        <v>48.233333333333327</v>
      </c>
      <c r="AK44" s="108">
        <v>22.206</v>
      </c>
      <c r="AL44" s="108">
        <v>29.849067599067599</v>
      </c>
      <c r="AM44" s="110">
        <v>36.166287878787877</v>
      </c>
      <c r="AN44" s="108">
        <v>25.186666666666667</v>
      </c>
      <c r="AO44" s="108">
        <v>16.94488888888889</v>
      </c>
      <c r="AP44" s="108">
        <v>46.142714285714284</v>
      </c>
      <c r="AQ44" s="110">
        <v>38.042222222222222</v>
      </c>
      <c r="AR44" s="108">
        <v>78.562121212121212</v>
      </c>
      <c r="AS44" s="108">
        <v>37.064923076923073</v>
      </c>
      <c r="AT44" s="108">
        <v>57.398179487179483</v>
      </c>
      <c r="AU44" s="110">
        <v>56.125595238095237</v>
      </c>
      <c r="AV44" s="108">
        <v>46.687681818181822</v>
      </c>
      <c r="AW44" s="108">
        <v>65.39991666666667</v>
      </c>
      <c r="AX44" s="108">
        <v>86.690388888888876</v>
      </c>
      <c r="AY44" s="110">
        <v>127.57222222222224</v>
      </c>
      <c r="AZ44" s="108">
        <v>102.93873626373626</v>
      </c>
      <c r="BA44" s="108">
        <v>38.709694989106758</v>
      </c>
      <c r="BB44" s="108">
        <v>52.231697478991599</v>
      </c>
      <c r="BC44" s="109">
        <v>59.033888888888896</v>
      </c>
      <c r="BD44" s="108">
        <v>44.776404040404053</v>
      </c>
      <c r="BE44" s="111">
        <v>26.504185463659145</v>
      </c>
      <c r="BF44" s="111">
        <v>49.886444444444443</v>
      </c>
      <c r="BG44" s="112">
        <v>59.043666666666667</v>
      </c>
      <c r="BH44" s="111">
        <v>62.19166666666667</v>
      </c>
      <c r="BI44" s="111">
        <v>37.718333333333334</v>
      </c>
      <c r="BJ44" s="111">
        <v>66.194666666666663</v>
      </c>
      <c r="BK44" s="112">
        <v>68.376333333333335</v>
      </c>
      <c r="BL44" s="111">
        <v>69.8035</v>
      </c>
      <c r="BM44" s="111">
        <v>40.025333333333329</v>
      </c>
      <c r="BN44" s="111">
        <v>74.000499999999988</v>
      </c>
      <c r="BO44" s="26">
        <v>73.086166666666671</v>
      </c>
      <c r="BP44" s="111">
        <v>98.778000000000006</v>
      </c>
    </row>
    <row r="45" spans="3:68" x14ac:dyDescent="0.25">
      <c r="C45" s="3" t="s">
        <v>21</v>
      </c>
      <c r="D45" s="107">
        <v>21.658611111111114</v>
      </c>
      <c r="E45" s="108">
        <v>9.6194052287581702</v>
      </c>
      <c r="F45" s="108">
        <v>24.193944444444444</v>
      </c>
      <c r="G45" s="109">
        <v>26.605211640211639</v>
      </c>
      <c r="H45" s="107">
        <v>20.140202020202022</v>
      </c>
      <c r="I45" s="108">
        <v>17.586916666666667</v>
      </c>
      <c r="J45" s="108">
        <v>22.187713675213672</v>
      </c>
      <c r="K45" s="108">
        <v>28.533804487179484</v>
      </c>
      <c r="L45" s="107">
        <v>34.392973901098891</v>
      </c>
      <c r="M45" s="108">
        <v>33.279719169719165</v>
      </c>
      <c r="N45" s="108">
        <v>34.749194139194138</v>
      </c>
      <c r="O45" s="109">
        <v>39.196435185185187</v>
      </c>
      <c r="P45" s="108">
        <v>48.911060606060609</v>
      </c>
      <c r="Q45" s="108">
        <v>39.273771043771042</v>
      </c>
      <c r="R45" s="108">
        <v>38.924444444444447</v>
      </c>
      <c r="S45" s="109">
        <v>36.6</v>
      </c>
      <c r="T45" s="108">
        <v>28.31</v>
      </c>
      <c r="U45" s="108">
        <v>27.900000000000002</v>
      </c>
      <c r="V45" s="108"/>
      <c r="W45" s="109">
        <v>29.168333333333333</v>
      </c>
      <c r="X45" s="108">
        <v>17.7</v>
      </c>
      <c r="Y45" s="108">
        <v>18.666666666666668</v>
      </c>
      <c r="Z45" s="108">
        <v>30.319444444444443</v>
      </c>
      <c r="AA45" s="109">
        <v>29.027777777777775</v>
      </c>
      <c r="AB45" s="108">
        <v>28.625</v>
      </c>
      <c r="AC45" s="108">
        <v>22.375</v>
      </c>
      <c r="AD45" s="108">
        <v>31.25</v>
      </c>
      <c r="AE45" s="110"/>
      <c r="AF45" s="108"/>
      <c r="AG45" s="108"/>
      <c r="AH45" s="108"/>
      <c r="AI45" s="110"/>
      <c r="AJ45" s="108">
        <v>65.658333333333331</v>
      </c>
      <c r="AK45" s="108"/>
      <c r="AL45" s="108"/>
      <c r="AM45" s="110"/>
      <c r="AN45" s="108"/>
      <c r="AO45" s="108"/>
      <c r="AP45" s="108"/>
      <c r="AQ45" s="110"/>
      <c r="AR45" s="108">
        <v>158.04999999999998</v>
      </c>
      <c r="AS45" s="108">
        <v>36</v>
      </c>
      <c r="AT45" s="108"/>
      <c r="AU45" s="110">
        <v>52</v>
      </c>
      <c r="AV45" s="108">
        <v>44.666666666666664</v>
      </c>
      <c r="AW45" s="108"/>
      <c r="AX45" s="108"/>
      <c r="AY45" s="110"/>
      <c r="AZ45" s="108">
        <v>70</v>
      </c>
      <c r="BA45" s="108">
        <v>24</v>
      </c>
      <c r="BB45" s="108">
        <v>44.479166666666671</v>
      </c>
      <c r="BC45" s="109">
        <v>60.3</v>
      </c>
      <c r="BD45" s="108">
        <v>146.66666666666666</v>
      </c>
      <c r="BE45" s="111"/>
      <c r="BF45" s="111">
        <v>53.433</v>
      </c>
      <c r="BG45" s="112">
        <v>65.060333333333332</v>
      </c>
      <c r="BH45" s="111">
        <v>67.838333333333352</v>
      </c>
      <c r="BI45" s="111">
        <v>43.528333333333336</v>
      </c>
      <c r="BJ45" s="111">
        <v>66.128</v>
      </c>
      <c r="BK45" s="112">
        <v>74.609666666666669</v>
      </c>
      <c r="BL45" s="111">
        <v>76.085666666666668</v>
      </c>
      <c r="BM45" s="111">
        <v>46.158666666666669</v>
      </c>
      <c r="BN45" s="111">
        <v>76.433833333333325</v>
      </c>
      <c r="BO45" s="26">
        <v>80.886166666666668</v>
      </c>
      <c r="BP45" s="111">
        <v>107.27800000000001</v>
      </c>
    </row>
    <row r="46" spans="3:68" x14ac:dyDescent="0.25">
      <c r="C46" s="3" t="s">
        <v>22</v>
      </c>
      <c r="D46" s="123">
        <v>15.853194889397406</v>
      </c>
      <c r="E46" s="124">
        <v>3.5539393939393942</v>
      </c>
      <c r="F46" s="124">
        <v>17.875231884057971</v>
      </c>
      <c r="G46" s="125">
        <v>27.452083124477866</v>
      </c>
      <c r="H46" s="123">
        <v>19.306015151515151</v>
      </c>
      <c r="I46" s="124">
        <v>-4.7837662337662325E-2</v>
      </c>
      <c r="J46" s="124">
        <v>14.080325088082526</v>
      </c>
      <c r="K46" s="124">
        <v>24.986628527841344</v>
      </c>
      <c r="L46" s="123">
        <v>27.86434962406015</v>
      </c>
      <c r="M46" s="124">
        <v>16.729742424242421</v>
      </c>
      <c r="N46" s="124">
        <v>25.292666666666662</v>
      </c>
      <c r="O46" s="125">
        <v>34.797674718196454</v>
      </c>
      <c r="P46" s="124">
        <v>40.334193817878024</v>
      </c>
      <c r="Q46" s="124">
        <v>11.424515873015872</v>
      </c>
      <c r="R46" s="124">
        <v>29.903761183261185</v>
      </c>
      <c r="S46" s="125">
        <v>28.144519546949216</v>
      </c>
      <c r="T46" s="124">
        <v>15.090196172248804</v>
      </c>
      <c r="U46" s="124">
        <v>22.063629870129873</v>
      </c>
      <c r="V46" s="124">
        <v>23.19210678210678</v>
      </c>
      <c r="W46" s="125">
        <v>20.35431216931217</v>
      </c>
      <c r="X46" s="124">
        <v>15.267507974481658</v>
      </c>
      <c r="Y46" s="124">
        <v>10.421464646464647</v>
      </c>
      <c r="Z46" s="124">
        <v>22.990583160800551</v>
      </c>
      <c r="AA46" s="125">
        <v>19.566411445279865</v>
      </c>
      <c r="AB46" s="124">
        <v>15.932524790236462</v>
      </c>
      <c r="AC46" s="124">
        <v>1.9659259259259263</v>
      </c>
      <c r="AD46" s="124">
        <v>24.159954545454543</v>
      </c>
      <c r="AE46" s="126">
        <v>23.530912002227794</v>
      </c>
      <c r="AF46" s="124">
        <v>16.7052798663325</v>
      </c>
      <c r="AG46" s="124">
        <v>5.1253358395989972</v>
      </c>
      <c r="AH46" s="124">
        <v>30.704371090770405</v>
      </c>
      <c r="AI46" s="126">
        <v>43.097686668361725</v>
      </c>
      <c r="AJ46" s="124">
        <v>62.480718462823724</v>
      </c>
      <c r="AK46" s="124">
        <v>12.694347535505429</v>
      </c>
      <c r="AL46" s="124">
        <v>24.059106060606059</v>
      </c>
      <c r="AM46" s="126">
        <v>29.681182769726249</v>
      </c>
      <c r="AN46" s="124">
        <v>18.864641148325362</v>
      </c>
      <c r="AO46" s="124">
        <v>7.0575057720057712</v>
      </c>
      <c r="AP46" s="124">
        <v>16.296334776334778</v>
      </c>
      <c r="AQ46" s="126">
        <v>25.561132756132753</v>
      </c>
      <c r="AR46" s="124">
        <v>28.072074752097638</v>
      </c>
      <c r="AS46" s="124">
        <v>31.181957545378598</v>
      </c>
      <c r="AT46" s="124">
        <v>45.886392496392489</v>
      </c>
      <c r="AU46" s="126">
        <v>45.727908103592313</v>
      </c>
      <c r="AV46" s="124">
        <v>34.666482837528605</v>
      </c>
      <c r="AW46" s="124">
        <v>41.768920634920633</v>
      </c>
      <c r="AX46" s="124">
        <v>62.453201173222908</v>
      </c>
      <c r="AY46" s="126">
        <v>133.58834419381787</v>
      </c>
      <c r="AZ46" s="124">
        <v>100.25704538520215</v>
      </c>
      <c r="BA46" s="124">
        <v>44.369314954051788</v>
      </c>
      <c r="BB46" s="124">
        <v>50.917260869565212</v>
      </c>
      <c r="BC46" s="125">
        <v>64.21924242424241</v>
      </c>
      <c r="BD46" s="124">
        <v>79.346634920634926</v>
      </c>
      <c r="BE46" s="127">
        <v>26.752256778309413</v>
      </c>
      <c r="BF46" s="127">
        <v>49.168666666666667</v>
      </c>
      <c r="BG46" s="128">
        <v>70.177000000000007</v>
      </c>
      <c r="BH46" s="127">
        <v>77.95716666666668</v>
      </c>
      <c r="BI46" s="127">
        <v>33.911666666666669</v>
      </c>
      <c r="BJ46" s="127">
        <v>67.438000000000002</v>
      </c>
      <c r="BK46" s="128">
        <v>81.443006666666676</v>
      </c>
      <c r="BL46" s="127">
        <v>84.739003333333343</v>
      </c>
      <c r="BM46" s="127">
        <v>33.535333333333334</v>
      </c>
      <c r="BN46" s="127">
        <v>73.827166666666656</v>
      </c>
      <c r="BO46" s="51">
        <v>84.622836666666672</v>
      </c>
      <c r="BP46" s="127">
        <v>98.177989999999994</v>
      </c>
    </row>
    <row r="47" spans="3:68" x14ac:dyDescent="0.25">
      <c r="C47" s="3" t="s">
        <v>23</v>
      </c>
      <c r="D47" s="123">
        <v>19.985549155145932</v>
      </c>
      <c r="E47" s="124">
        <v>12.548634408602153</v>
      </c>
      <c r="F47" s="124">
        <v>25.58903225806452</v>
      </c>
      <c r="G47" s="125">
        <v>15.205093189964158</v>
      </c>
      <c r="H47" s="123">
        <v>12.79</v>
      </c>
      <c r="I47" s="124">
        <v>11.478275985663082</v>
      </c>
      <c r="J47" s="124">
        <v>18.0467311827957</v>
      </c>
      <c r="K47" s="124">
        <v>18.45724372759857</v>
      </c>
      <c r="L47" s="123">
        <v>20.108966973886329</v>
      </c>
      <c r="M47" s="124">
        <v>22.777971326164874</v>
      </c>
      <c r="N47" s="124">
        <v>23.914996415770606</v>
      </c>
      <c r="O47" s="125">
        <v>25.287232974910395</v>
      </c>
      <c r="P47" s="124">
        <v>32.584043778801849</v>
      </c>
      <c r="Q47" s="124">
        <v>29.419641577060929</v>
      </c>
      <c r="R47" s="124">
        <v>26.507587813620074</v>
      </c>
      <c r="S47" s="125">
        <v>23.808146953405018</v>
      </c>
      <c r="T47" s="124">
        <v>19.392753456221197</v>
      </c>
      <c r="U47" s="124">
        <v>18.055315412186378</v>
      </c>
      <c r="V47" s="124">
        <v>18.548544802867383</v>
      </c>
      <c r="W47" s="125">
        <v>13.892340501792114</v>
      </c>
      <c r="X47" s="124">
        <v>12.307619577308119</v>
      </c>
      <c r="Y47" s="124">
        <v>12.378688172043011</v>
      </c>
      <c r="Z47" s="124">
        <v>18.189164874551974</v>
      </c>
      <c r="AA47" s="125">
        <v>15.707799283154122</v>
      </c>
      <c r="AB47" s="124">
        <v>13.998310291858681</v>
      </c>
      <c r="AC47" s="124">
        <v>16.686964157706093</v>
      </c>
      <c r="AD47" s="124">
        <v>19.225845878136202</v>
      </c>
      <c r="AE47" s="110">
        <v>15.937682363119514</v>
      </c>
      <c r="AF47" s="124">
        <v>19.4427688172043</v>
      </c>
      <c r="AG47" s="124">
        <v>16.229175627240142</v>
      </c>
      <c r="AH47" s="124">
        <v>26.71393189964158</v>
      </c>
      <c r="AI47" s="110">
        <v>24.071724014336919</v>
      </c>
      <c r="AJ47" s="124">
        <v>18.551117511520737</v>
      </c>
      <c r="AK47" s="124">
        <v>17.169412186379926</v>
      </c>
      <c r="AL47" s="124">
        <v>20.695071684587816</v>
      </c>
      <c r="AM47" s="110">
        <v>15.421043010752689</v>
      </c>
      <c r="AN47" s="124">
        <v>12.662365591397849</v>
      </c>
      <c r="AO47" s="124">
        <v>11.537845878136201</v>
      </c>
      <c r="AP47" s="124">
        <v>17.37268100358423</v>
      </c>
      <c r="AQ47" s="110">
        <v>14.2456164874552</v>
      </c>
      <c r="AR47" s="124">
        <v>512.24398233486943</v>
      </c>
      <c r="AS47" s="124">
        <v>19.448559139784948</v>
      </c>
      <c r="AT47" s="124">
        <v>29.713055246570264</v>
      </c>
      <c r="AU47" s="110">
        <v>23.791387096774191</v>
      </c>
      <c r="AV47" s="124">
        <v>24.241482334869431</v>
      </c>
      <c r="AW47" s="124">
        <v>49.451161290322581</v>
      </c>
      <c r="AX47" s="124">
        <v>62.753097886540594</v>
      </c>
      <c r="AY47" s="110">
        <v>42.741609195402297</v>
      </c>
      <c r="AZ47" s="124">
        <v>20.350577777777776</v>
      </c>
      <c r="BA47" s="124">
        <v>22.340263942103022</v>
      </c>
      <c r="BB47" s="124">
        <v>53.78913382594417</v>
      </c>
      <c r="BC47" s="109">
        <v>25.26274950219036</v>
      </c>
      <c r="BD47" s="124">
        <v>26.592841923124457</v>
      </c>
      <c r="BE47" s="111">
        <v>21.345093048713739</v>
      </c>
      <c r="BF47" s="111">
        <v>47.386444444444443</v>
      </c>
      <c r="BG47" s="112">
        <v>35.677</v>
      </c>
      <c r="BH47" s="111">
        <v>53.392666666666663</v>
      </c>
      <c r="BI47" s="111">
        <v>37.178333333333335</v>
      </c>
      <c r="BJ47" s="111">
        <v>56.157999999999994</v>
      </c>
      <c r="BK47" s="112">
        <v>38.273000000000003</v>
      </c>
      <c r="BL47" s="111">
        <v>53.37683333333333</v>
      </c>
      <c r="BM47" s="111">
        <v>32.459666666666671</v>
      </c>
      <c r="BN47" s="111">
        <v>50.793833333333339</v>
      </c>
      <c r="BO47" s="26">
        <v>37.1145</v>
      </c>
      <c r="BP47" s="111">
        <v>70.787999999999997</v>
      </c>
    </row>
    <row r="48" spans="3:68" x14ac:dyDescent="0.25">
      <c r="C48" s="3"/>
      <c r="D48" s="48"/>
      <c r="E48" s="49"/>
      <c r="F48" s="49"/>
      <c r="G48" s="50"/>
      <c r="H48" s="48"/>
      <c r="I48" s="49"/>
      <c r="J48" s="49"/>
      <c r="K48" s="49"/>
      <c r="L48" s="48"/>
      <c r="M48" s="49"/>
      <c r="N48" s="49"/>
      <c r="O48" s="50"/>
      <c r="P48" s="49"/>
      <c r="Q48" s="49"/>
      <c r="R48" s="49"/>
      <c r="S48" s="50"/>
      <c r="T48" s="49"/>
      <c r="U48" s="49"/>
      <c r="V48" s="49"/>
      <c r="W48" s="50"/>
      <c r="X48" s="49"/>
      <c r="Y48" s="49"/>
      <c r="Z48" s="49"/>
      <c r="AA48" s="50"/>
      <c r="AB48" s="49"/>
      <c r="AC48" s="49"/>
      <c r="AD48" s="49"/>
      <c r="AE48" s="24"/>
      <c r="AF48" s="49"/>
      <c r="AG48" s="49"/>
      <c r="AH48" s="49"/>
      <c r="AI48" s="24"/>
      <c r="AJ48" s="49"/>
      <c r="AK48" s="49"/>
      <c r="AL48" s="49"/>
      <c r="AM48" s="24"/>
      <c r="AN48" s="49"/>
      <c r="AO48" s="49"/>
      <c r="AP48" s="49"/>
      <c r="AQ48" s="24"/>
      <c r="AR48" s="49"/>
      <c r="AS48" s="49"/>
      <c r="AT48" s="49"/>
      <c r="AU48" s="24"/>
      <c r="AV48" s="49"/>
      <c r="AW48" s="49"/>
      <c r="AX48" s="49"/>
      <c r="AY48" s="24"/>
      <c r="AZ48" s="49"/>
      <c r="BA48" s="49"/>
      <c r="BB48" s="49"/>
      <c r="BC48" s="23"/>
      <c r="BD48" s="49"/>
      <c r="BE48" s="25"/>
      <c r="BF48" s="25"/>
      <c r="BG48" s="26"/>
      <c r="BH48" s="25"/>
      <c r="BI48" s="25"/>
      <c r="BJ48" s="25"/>
      <c r="BK48" s="26"/>
      <c r="BL48" s="25"/>
      <c r="BM48" s="25"/>
      <c r="BN48" s="25"/>
      <c r="BO48" s="26"/>
      <c r="BP48" s="25"/>
    </row>
    <row r="49" spans="3:68" x14ac:dyDescent="0.25">
      <c r="C49" t="s">
        <v>0</v>
      </c>
      <c r="D49" s="30"/>
      <c r="E49" s="31"/>
      <c r="F49" s="31"/>
      <c r="G49" s="32"/>
      <c r="H49" s="30"/>
      <c r="I49" s="31"/>
      <c r="J49" s="31"/>
      <c r="K49" s="31"/>
      <c r="L49" s="47"/>
      <c r="M49" s="33"/>
      <c r="N49" s="33"/>
      <c r="O49" s="34"/>
      <c r="P49" s="33"/>
      <c r="Q49" s="33"/>
      <c r="R49" s="33"/>
      <c r="S49" s="34"/>
      <c r="T49" s="33"/>
      <c r="U49" s="35"/>
      <c r="V49" s="35"/>
      <c r="W49" s="36"/>
      <c r="X49" s="33"/>
      <c r="Y49" s="35"/>
      <c r="Z49" s="35"/>
      <c r="AA49" s="36"/>
      <c r="AB49" s="33"/>
      <c r="AC49" s="35"/>
      <c r="AD49" s="35"/>
      <c r="AE49" s="37"/>
      <c r="AF49" s="33"/>
      <c r="AG49" s="35"/>
      <c r="AH49" s="35"/>
      <c r="AI49" s="37"/>
      <c r="AJ49" s="33"/>
      <c r="AK49" s="35"/>
      <c r="AL49" s="35"/>
      <c r="AM49" s="37"/>
      <c r="AN49" s="35"/>
      <c r="AO49" s="35"/>
      <c r="AP49" s="35"/>
      <c r="AQ49" s="37"/>
      <c r="AR49" s="35"/>
      <c r="AS49" s="35"/>
      <c r="AT49" s="35"/>
      <c r="AU49" s="36"/>
      <c r="AV49" s="35"/>
      <c r="AW49" s="35"/>
      <c r="AX49" s="35"/>
      <c r="AY49" s="36"/>
      <c r="AZ49" s="38"/>
      <c r="BA49" s="38"/>
      <c r="BB49" s="38"/>
      <c r="BC49" s="39"/>
      <c r="BD49" s="35"/>
      <c r="BE49" s="35"/>
      <c r="BF49" s="35"/>
      <c r="BG49" s="36"/>
      <c r="BH49" s="35"/>
      <c r="BI49" s="35"/>
      <c r="BJ49" s="35"/>
      <c r="BK49" s="36"/>
      <c r="BL49" s="35"/>
      <c r="BM49" s="35"/>
      <c r="BN49" s="35"/>
      <c r="BO49" s="36"/>
      <c r="BP49" s="35"/>
    </row>
    <row r="50" spans="3:68" x14ac:dyDescent="0.25">
      <c r="C50" t="s">
        <v>1</v>
      </c>
      <c r="D50" s="107">
        <v>4.1753749999999998</v>
      </c>
      <c r="E50" s="108">
        <v>4.3679218749999995</v>
      </c>
      <c r="F50" s="108">
        <v>4.1250937499999987</v>
      </c>
      <c r="G50" s="109">
        <v>3.3347142857142864</v>
      </c>
      <c r="H50" s="107">
        <v>2.4596984126984123</v>
      </c>
      <c r="I50" s="108">
        <v>2.2776984126984123</v>
      </c>
      <c r="J50" s="108">
        <v>2.8780317460317462</v>
      </c>
      <c r="K50" s="109">
        <v>3.3929375000000004</v>
      </c>
      <c r="L50" s="107">
        <v>3.4791000000000003</v>
      </c>
      <c r="M50" s="108">
        <v>4.0243281250000011</v>
      </c>
      <c r="N50" s="108">
        <v>3.5578281250000003</v>
      </c>
      <c r="O50" s="109">
        <v>5.1762950819672131</v>
      </c>
      <c r="P50" s="107">
        <v>3.8364218749999996</v>
      </c>
      <c r="Q50" s="108">
        <v>4.6069687499999992</v>
      </c>
      <c r="R50" s="108">
        <v>3.9690625000000006</v>
      </c>
      <c r="S50" s="109">
        <v>3.7758906249999988</v>
      </c>
      <c r="T50" s="107">
        <v>2.8932580645161292</v>
      </c>
      <c r="U50" s="108">
        <v>2.7407301587301576</v>
      </c>
      <c r="V50" s="108">
        <v>2.7644218749999996</v>
      </c>
      <c r="W50" s="109">
        <v>2.1331111111111114</v>
      </c>
      <c r="X50" s="107">
        <v>1.9876885245901643</v>
      </c>
      <c r="Y50" s="108">
        <v>2.135984375</v>
      </c>
      <c r="Z50" s="108">
        <v>2.8751562499999994</v>
      </c>
      <c r="AA50" s="109">
        <v>3.0312419354838709</v>
      </c>
      <c r="AB50" s="107">
        <v>3.0098387096774188</v>
      </c>
      <c r="AC50" s="108">
        <v>3.076171875</v>
      </c>
      <c r="AD50" s="108">
        <v>2.9540158730158725</v>
      </c>
      <c r="AE50" s="109">
        <v>2.8899677419354837</v>
      </c>
      <c r="AF50" s="107">
        <v>3.1108032786885249</v>
      </c>
      <c r="AG50" s="108">
        <v>2.8491874999999998</v>
      </c>
      <c r="AH50" s="108">
        <v>2.9273333333333329</v>
      </c>
      <c r="AI50" s="109">
        <v>3.7737377049180312</v>
      </c>
      <c r="AJ50" s="107">
        <v>2.9192786885245896</v>
      </c>
      <c r="AK50" s="108">
        <v>2.56753125</v>
      </c>
      <c r="AL50" s="108">
        <v>2.3805396825396823</v>
      </c>
      <c r="AM50" s="109">
        <v>2.3886451612903232</v>
      </c>
      <c r="AN50" s="107">
        <v>1.9105967741935488</v>
      </c>
      <c r="AO50" s="108">
        <v>1.7036875</v>
      </c>
      <c r="AP50" s="108">
        <v>1.9918593750000002</v>
      </c>
      <c r="AQ50" s="109">
        <v>2.505349206349206</v>
      </c>
      <c r="AR50" s="107">
        <v>3.4972950819672133</v>
      </c>
      <c r="AS50" s="108">
        <v>2.9291746031746024</v>
      </c>
      <c r="AT50" s="108">
        <v>4.3259692307692301</v>
      </c>
      <c r="AU50" s="109">
        <v>4.8006290322580636</v>
      </c>
      <c r="AV50" s="107">
        <v>4.6413870967741939</v>
      </c>
      <c r="AW50" s="108">
        <v>7.4767741935483878</v>
      </c>
      <c r="AX50" s="108">
        <v>8.0281249999999975</v>
      </c>
      <c r="AY50" s="109">
        <v>5.5991967213114755</v>
      </c>
      <c r="AZ50" s="107">
        <v>2.663338709677419</v>
      </c>
      <c r="BA50" s="108">
        <v>2.1546349206349205</v>
      </c>
      <c r="BB50" s="108">
        <v>2.5882741935483855</v>
      </c>
      <c r="BC50" s="109">
        <v>2.7488852459016395</v>
      </c>
      <c r="BD50" s="107">
        <v>2.16444262295082</v>
      </c>
      <c r="BE50" s="108">
        <v>1.9087424242424245</v>
      </c>
      <c r="BF50" s="108">
        <v>2.7940000000000005</v>
      </c>
      <c r="BG50" s="109">
        <v>3.2173333333333329</v>
      </c>
      <c r="BH50" s="107">
        <v>2.9961671627892565</v>
      </c>
      <c r="BI50" s="108">
        <v>2.6633368609686441</v>
      </c>
      <c r="BJ50" s="108">
        <v>3.8985685522759068</v>
      </c>
      <c r="BK50" s="109">
        <v>4.4892607571661918</v>
      </c>
      <c r="BL50" s="107">
        <v>3.333024455187144</v>
      </c>
      <c r="BM50" s="108">
        <v>2.962774240455234</v>
      </c>
      <c r="BN50" s="108">
        <v>4.3368822962676292</v>
      </c>
      <c r="BO50" s="109">
        <v>4.9939856744899931</v>
      </c>
    </row>
    <row r="51" spans="3:68" x14ac:dyDescent="0.25">
      <c r="C51" t="s">
        <v>2</v>
      </c>
      <c r="D51" s="107">
        <v>77.237500000000026</v>
      </c>
      <c r="E51" s="108">
        <v>78.430769230769243</v>
      </c>
      <c r="F51" s="108">
        <v>80.007142857142853</v>
      </c>
      <c r="G51" s="109">
        <v>78.934615384615398</v>
      </c>
      <c r="H51" s="107">
        <v>70.069230769230771</v>
      </c>
      <c r="I51" s="108">
        <v>59.92307692307692</v>
      </c>
      <c r="J51" s="108">
        <v>61.334615384615397</v>
      </c>
      <c r="K51" s="109">
        <v>66.634615384615373</v>
      </c>
      <c r="L51" s="107">
        <v>66.511538461538478</v>
      </c>
      <c r="M51" s="108">
        <v>66.914615384615374</v>
      </c>
      <c r="N51" s="108">
        <v>64.0053846153846</v>
      </c>
      <c r="O51" s="109">
        <v>63.813846153846164</v>
      </c>
      <c r="P51" s="107">
        <v>62.446153846153841</v>
      </c>
      <c r="Q51" s="108">
        <v>60.582307692307708</v>
      </c>
      <c r="R51" s="108">
        <v>57.336923076923085</v>
      </c>
      <c r="S51" s="109">
        <v>56.106923076923081</v>
      </c>
      <c r="T51" s="107">
        <v>53.513846153846139</v>
      </c>
      <c r="U51" s="108">
        <v>52.858461538461547</v>
      </c>
      <c r="V51" s="108">
        <v>50.784615384615385</v>
      </c>
      <c r="W51" s="109">
        <v>46.303846153846159</v>
      </c>
      <c r="X51" s="107">
        <v>42.380769230769232</v>
      </c>
      <c r="Y51" s="108">
        <v>41.192307692307693</v>
      </c>
      <c r="Z51" s="108">
        <v>40.928571428571438</v>
      </c>
      <c r="AA51" s="109">
        <v>44.896153846153844</v>
      </c>
      <c r="AB51" s="107">
        <v>50.057692307692314</v>
      </c>
      <c r="AC51" s="108">
        <v>52.46153846153846</v>
      </c>
      <c r="AD51" s="108">
        <v>52.98846153846155</v>
      </c>
      <c r="AE51" s="109">
        <v>58.261538461538478</v>
      </c>
      <c r="AF51" s="107">
        <v>60.850000000000009</v>
      </c>
      <c r="AG51" s="108">
        <v>62.115384615384606</v>
      </c>
      <c r="AH51" s="108">
        <v>71.8</v>
      </c>
      <c r="AI51" s="109">
        <v>78.615384615384613</v>
      </c>
      <c r="AJ51" s="107">
        <v>81.107692307692332</v>
      </c>
      <c r="AK51" s="108">
        <v>70.788461538461533</v>
      </c>
      <c r="AL51" s="108">
        <v>62.142307692307682</v>
      </c>
      <c r="AM51" s="109">
        <v>63.776923076923062</v>
      </c>
      <c r="AN51" s="107">
        <v>58.253846153846141</v>
      </c>
      <c r="AO51" s="108">
        <v>55.203846153846143</v>
      </c>
      <c r="AP51" s="108">
        <v>56.123076923076923</v>
      </c>
      <c r="AQ51" s="109">
        <v>55.476923076923079</v>
      </c>
      <c r="AR51" s="107">
        <v>56.434615384615384</v>
      </c>
      <c r="AS51" s="108">
        <v>60.453846153846136</v>
      </c>
      <c r="AT51" s="108">
        <v>63.623076923076908</v>
      </c>
      <c r="AU51" s="109">
        <v>83.439285714285717</v>
      </c>
      <c r="AV51" s="107">
        <v>90.30416666666666</v>
      </c>
      <c r="AW51" s="108">
        <v>121.53461538461536</v>
      </c>
      <c r="AX51" s="108">
        <v>184.76785714285714</v>
      </c>
      <c r="AY51" s="109">
        <v>191.02307692307699</v>
      </c>
      <c r="AZ51" s="107">
        <v>124.73461538461537</v>
      </c>
      <c r="BA51" s="108">
        <v>77.515384615384619</v>
      </c>
      <c r="BB51" s="108">
        <v>67.41538461538461</v>
      </c>
      <c r="BC51" s="109">
        <v>73.3</v>
      </c>
      <c r="BD51" s="107">
        <v>74</v>
      </c>
      <c r="BE51" s="108">
        <v>79.360000000000014</v>
      </c>
      <c r="BF51" s="108">
        <v>82.04</v>
      </c>
      <c r="BG51" s="109">
        <v>82.04</v>
      </c>
      <c r="BH51" s="107">
        <v>80.397256174395167</v>
      </c>
      <c r="BI51" s="108">
        <v>86.220625000000041</v>
      </c>
      <c r="BJ51" s="108">
        <v>89.132309412802456</v>
      </c>
      <c r="BK51" s="109">
        <v>89.132309412802329</v>
      </c>
      <c r="BL51" s="107">
        <v>74</v>
      </c>
      <c r="BM51" s="108">
        <v>79.360000000000014</v>
      </c>
      <c r="BN51" s="108">
        <v>82.04000000000002</v>
      </c>
      <c r="BO51" s="109">
        <v>82.039999999999907</v>
      </c>
    </row>
    <row r="52" spans="3:68" x14ac:dyDescent="0.25">
      <c r="C52" t="s">
        <v>3</v>
      </c>
      <c r="D52" s="107">
        <v>13.887499999999998</v>
      </c>
      <c r="E52" s="108">
        <v>12.738461538461538</v>
      </c>
      <c r="F52" s="108">
        <v>14.228571428571428</v>
      </c>
      <c r="G52" s="109">
        <v>13.626923076923076</v>
      </c>
      <c r="H52" s="107">
        <v>9.8423076923076955</v>
      </c>
      <c r="I52" s="108">
        <v>9.1000000000000014</v>
      </c>
      <c r="J52" s="108">
        <v>8.8346153846153861</v>
      </c>
      <c r="K52" s="109">
        <v>10.123076923076923</v>
      </c>
      <c r="L52" s="107">
        <v>10.238461538461538</v>
      </c>
      <c r="M52" s="108">
        <v>10.513846153846153</v>
      </c>
      <c r="N52" s="108">
        <v>10.403846153846152</v>
      </c>
      <c r="O52" s="109">
        <v>10.982307692307691</v>
      </c>
      <c r="P52" s="107">
        <v>12.356153846153846</v>
      </c>
      <c r="Q52" s="108">
        <v>12.986153846153845</v>
      </c>
      <c r="R52" s="108">
        <v>11.965384615384615</v>
      </c>
      <c r="S52" s="109">
        <v>11.526923076923076</v>
      </c>
      <c r="T52" s="107">
        <v>11.592307692307692</v>
      </c>
      <c r="U52" s="108">
        <v>11.55</v>
      </c>
      <c r="V52" s="108">
        <v>11.592307692307692</v>
      </c>
      <c r="W52" s="109">
        <v>11.342307692307694</v>
      </c>
      <c r="X52" s="107">
        <v>9.7807692307692307</v>
      </c>
      <c r="Y52" s="108">
        <v>9.1807692307692292</v>
      </c>
      <c r="Z52" s="108">
        <v>8.6428571428571441</v>
      </c>
      <c r="AA52" s="109">
        <v>9.3461538461538467</v>
      </c>
      <c r="AB52" s="107">
        <v>11.473076923076921</v>
      </c>
      <c r="AC52" s="108">
        <v>11.597692307692309</v>
      </c>
      <c r="AD52" s="108">
        <v>11.516153846153847</v>
      </c>
      <c r="AE52" s="109">
        <v>11.923076923076922</v>
      </c>
      <c r="AF52" s="107">
        <v>12.296153846153848</v>
      </c>
      <c r="AG52" s="108">
        <v>12.407692307692308</v>
      </c>
      <c r="AH52" s="108">
        <v>12.546153846153848</v>
      </c>
      <c r="AI52" s="109">
        <v>12.007692307692306</v>
      </c>
      <c r="AJ52" s="107">
        <v>12.334615384615384</v>
      </c>
      <c r="AK52" s="108">
        <v>12.507692307692309</v>
      </c>
      <c r="AL52" s="108">
        <v>12.146153846153844</v>
      </c>
      <c r="AM52" s="109">
        <v>12.007692307692309</v>
      </c>
      <c r="AN52" s="107">
        <v>11.684615384615386</v>
      </c>
      <c r="AO52" s="108">
        <v>11.553846153846154</v>
      </c>
      <c r="AP52" s="108">
        <v>11.730769230769226</v>
      </c>
      <c r="AQ52" s="109">
        <v>11.650000000000002</v>
      </c>
      <c r="AR52" s="107">
        <v>11.61153846153846</v>
      </c>
      <c r="AS52" s="108">
        <v>12.023076923076925</v>
      </c>
      <c r="AT52" s="108">
        <v>12.246153846153847</v>
      </c>
      <c r="AU52" s="109">
        <v>22.021428571428572</v>
      </c>
      <c r="AV52" s="107">
        <v>23.204166666666669</v>
      </c>
      <c r="AW52" s="108">
        <v>15.965384615384616</v>
      </c>
      <c r="AX52" s="108">
        <v>16.332142857142852</v>
      </c>
      <c r="AY52" s="109">
        <v>16.526923076923076</v>
      </c>
      <c r="AZ52" s="107">
        <v>15.315384615384618</v>
      </c>
      <c r="BA52" s="108">
        <v>14.900000000000004</v>
      </c>
      <c r="BB52" s="108">
        <v>14.303846153846154</v>
      </c>
      <c r="BC52" s="109">
        <v>14.003846153846155</v>
      </c>
      <c r="BD52" s="107">
        <v>14</v>
      </c>
      <c r="BE52" s="108">
        <v>12.433333333333332</v>
      </c>
      <c r="BF52" s="108">
        <v>11.65</v>
      </c>
      <c r="BG52" s="109">
        <v>11.65</v>
      </c>
      <c r="BH52" s="107">
        <v>16.489175603217149</v>
      </c>
      <c r="BI52" s="108">
        <v>14.643958333333323</v>
      </c>
      <c r="BJ52" s="108">
        <v>13.721349698391414</v>
      </c>
      <c r="BK52" s="109">
        <v>13.72134969839143</v>
      </c>
      <c r="BL52" s="107">
        <v>14</v>
      </c>
      <c r="BM52" s="108">
        <v>12.433333333333332</v>
      </c>
      <c r="BN52" s="108">
        <v>11.65</v>
      </c>
      <c r="BO52" s="109">
        <v>11.650000000000015</v>
      </c>
    </row>
    <row r="53" spans="3:68" x14ac:dyDescent="0.25">
      <c r="C53" t="s">
        <v>4</v>
      </c>
      <c r="D53" s="107">
        <v>73.291666666666657</v>
      </c>
      <c r="E53" s="108">
        <v>77.380769230769218</v>
      </c>
      <c r="F53" s="108">
        <v>77.203571428571422</v>
      </c>
      <c r="G53" s="109">
        <v>76.461538461538453</v>
      </c>
      <c r="H53" s="107">
        <v>66.565769230769234</v>
      </c>
      <c r="I53" s="108">
        <v>56.926923076923075</v>
      </c>
      <c r="J53" s="108">
        <v>58.267884615384624</v>
      </c>
      <c r="K53" s="109">
        <v>63.302884615384599</v>
      </c>
      <c r="L53" s="107">
        <v>63.185961538461548</v>
      </c>
      <c r="M53" s="108">
        <v>63.568884615384604</v>
      </c>
      <c r="N53" s="108">
        <v>60.80511538461537</v>
      </c>
      <c r="O53" s="109">
        <v>60.623153846153855</v>
      </c>
      <c r="P53" s="107">
        <v>59.323846153846148</v>
      </c>
      <c r="Q53" s="108">
        <v>57.553192307692321</v>
      </c>
      <c r="R53" s="108">
        <v>54.470076923076931</v>
      </c>
      <c r="S53" s="109">
        <v>53.301576923076922</v>
      </c>
      <c r="T53" s="107">
        <v>50.83815384615383</v>
      </c>
      <c r="U53" s="108">
        <v>50.215538461538465</v>
      </c>
      <c r="V53" s="108">
        <v>48.245384615384616</v>
      </c>
      <c r="W53" s="109">
        <v>43.988653846153852</v>
      </c>
      <c r="X53" s="107">
        <v>40.261730769230766</v>
      </c>
      <c r="Y53" s="108">
        <v>39.132692307692309</v>
      </c>
      <c r="Z53" s="108">
        <v>38.882142857142867</v>
      </c>
      <c r="AA53" s="109">
        <v>42.651346153846148</v>
      </c>
      <c r="AB53" s="107">
        <v>47.554807692307698</v>
      </c>
      <c r="AC53" s="108">
        <v>49.838461538461537</v>
      </c>
      <c r="AD53" s="108">
        <v>50.339038461538472</v>
      </c>
      <c r="AE53" s="109">
        <v>55.348461538461549</v>
      </c>
      <c r="AF53" s="107">
        <v>57.807500000000005</v>
      </c>
      <c r="AG53" s="108">
        <v>59.009615384615373</v>
      </c>
      <c r="AH53" s="108">
        <v>68.209999999999994</v>
      </c>
      <c r="AI53" s="109">
        <v>74.684615384615384</v>
      </c>
      <c r="AJ53" s="107">
        <v>77.052307692307707</v>
      </c>
      <c r="AK53" s="108">
        <v>67.249038461538447</v>
      </c>
      <c r="AL53" s="108">
        <v>59.035192307692299</v>
      </c>
      <c r="AM53" s="109">
        <v>60.588076923076905</v>
      </c>
      <c r="AN53" s="107">
        <v>55.34115384615383</v>
      </c>
      <c r="AO53" s="108">
        <v>52.443653846153836</v>
      </c>
      <c r="AP53" s="108">
        <v>53.316923076923075</v>
      </c>
      <c r="AQ53" s="109">
        <v>52.703076923076921</v>
      </c>
      <c r="AR53" s="107">
        <v>53.612884615384615</v>
      </c>
      <c r="AS53" s="108">
        <v>57.431153846153826</v>
      </c>
      <c r="AT53" s="108">
        <v>60.441923076923061</v>
      </c>
      <c r="AU53" s="109">
        <v>79.267321428571421</v>
      </c>
      <c r="AV53" s="107">
        <v>85.788958333333326</v>
      </c>
      <c r="AW53" s="108">
        <v>115.45788461538459</v>
      </c>
      <c r="AX53" s="108">
        <v>175.52946428571428</v>
      </c>
      <c r="AY53" s="109">
        <v>181.47192307692313</v>
      </c>
      <c r="AZ53" s="107">
        <v>118.49788461538459</v>
      </c>
      <c r="BA53" s="108">
        <v>73.639615384615382</v>
      </c>
      <c r="BB53" s="108">
        <v>64.044615384615383</v>
      </c>
      <c r="BC53" s="109">
        <v>69.634999999999991</v>
      </c>
      <c r="BD53" s="107">
        <v>70.3</v>
      </c>
      <c r="BE53" s="108">
        <v>75.39200000000001</v>
      </c>
      <c r="BF53" s="108">
        <v>77.938000000000002</v>
      </c>
      <c r="BG53" s="109">
        <v>77.938000000000002</v>
      </c>
      <c r="BH53" s="107">
        <v>76.377393365675402</v>
      </c>
      <c r="BI53" s="108">
        <v>81.909593750000042</v>
      </c>
      <c r="BJ53" s="108">
        <v>84.675693942162326</v>
      </c>
      <c r="BK53" s="109">
        <v>84.675693942162212</v>
      </c>
      <c r="BL53" s="107">
        <v>70.3</v>
      </c>
      <c r="BM53" s="108">
        <v>75.39200000000001</v>
      </c>
      <c r="BN53" s="108">
        <v>77.938000000000017</v>
      </c>
      <c r="BO53" s="109">
        <v>77.937999999999903</v>
      </c>
    </row>
    <row r="54" spans="3:68" x14ac:dyDescent="0.25">
      <c r="C54" t="s">
        <v>5</v>
      </c>
      <c r="D54" s="107">
        <v>47.5</v>
      </c>
      <c r="E54" s="108">
        <v>47.730769230769234</v>
      </c>
      <c r="F54" s="108">
        <v>47.8</v>
      </c>
      <c r="G54" s="109">
        <v>48.323076923076918</v>
      </c>
      <c r="H54" s="107">
        <v>49.048461538461538</v>
      </c>
      <c r="I54" s="108">
        <v>41.946153846153841</v>
      </c>
      <c r="J54" s="108">
        <v>42.934230769230773</v>
      </c>
      <c r="K54" s="109">
        <v>46.644230769230759</v>
      </c>
      <c r="L54" s="107">
        <v>46.558076923076932</v>
      </c>
      <c r="M54" s="108">
        <v>46.840230769230757</v>
      </c>
      <c r="N54" s="108">
        <v>44.80376923076922</v>
      </c>
      <c r="O54" s="109">
        <v>44.669692307692316</v>
      </c>
      <c r="P54" s="107">
        <v>43.712307692307689</v>
      </c>
      <c r="Q54" s="108">
        <v>42.40761538461539</v>
      </c>
      <c r="R54" s="108">
        <v>40.13584615384616</v>
      </c>
      <c r="S54" s="109">
        <v>39.274846153846156</v>
      </c>
      <c r="T54" s="107">
        <v>37.459692307692293</v>
      </c>
      <c r="U54" s="108">
        <v>37.00092307692308</v>
      </c>
      <c r="V54" s="108">
        <v>35.549230769230768</v>
      </c>
      <c r="W54" s="109">
        <v>32.412692307692311</v>
      </c>
      <c r="X54" s="107">
        <v>29.666538461538462</v>
      </c>
      <c r="Y54" s="108">
        <v>28.834615384615383</v>
      </c>
      <c r="Z54" s="108">
        <v>28.650000000000006</v>
      </c>
      <c r="AA54" s="109">
        <v>31.427307692307689</v>
      </c>
      <c r="AB54" s="107">
        <v>35.040384615384617</v>
      </c>
      <c r="AC54" s="108">
        <v>36.723076923076917</v>
      </c>
      <c r="AD54" s="108">
        <v>37.091923076923081</v>
      </c>
      <c r="AE54" s="109">
        <v>40.783076923076933</v>
      </c>
      <c r="AF54" s="107">
        <v>42.595000000000006</v>
      </c>
      <c r="AG54" s="108">
        <v>43.480769230769219</v>
      </c>
      <c r="AH54" s="108">
        <v>50.26</v>
      </c>
      <c r="AI54" s="109">
        <v>55.030769230769224</v>
      </c>
      <c r="AJ54" s="107">
        <v>56.775384615384631</v>
      </c>
      <c r="AK54" s="108">
        <v>49.551923076923067</v>
      </c>
      <c r="AL54" s="108">
        <v>43.499615384615375</v>
      </c>
      <c r="AM54" s="109">
        <v>44.643846153846141</v>
      </c>
      <c r="AN54" s="107">
        <v>40.777692307692298</v>
      </c>
      <c r="AO54" s="108">
        <v>38.6426923076923</v>
      </c>
      <c r="AP54" s="108">
        <v>39.286153846153844</v>
      </c>
      <c r="AQ54" s="109">
        <v>38.833846153846153</v>
      </c>
      <c r="AR54" s="107">
        <v>39.504230769230766</v>
      </c>
      <c r="AS54" s="108">
        <v>42.31769230769229</v>
      </c>
      <c r="AT54" s="108">
        <v>44.53615384615383</v>
      </c>
      <c r="AU54" s="109">
        <v>58.407499999999999</v>
      </c>
      <c r="AV54" s="107">
        <v>63.212916666666658</v>
      </c>
      <c r="AW54" s="108">
        <v>85.074230769230752</v>
      </c>
      <c r="AX54" s="108">
        <v>129.33749999999998</v>
      </c>
      <c r="AY54" s="109">
        <v>133.71615384615387</v>
      </c>
      <c r="AZ54" s="107">
        <v>87.314230769230747</v>
      </c>
      <c r="BA54" s="108">
        <v>54.260769230769228</v>
      </c>
      <c r="BB54" s="108">
        <v>47.190769230769227</v>
      </c>
      <c r="BC54" s="109">
        <v>51.309999999999995</v>
      </c>
      <c r="BD54" s="107">
        <v>51.8</v>
      </c>
      <c r="BE54" s="108">
        <v>55.552000000000007</v>
      </c>
      <c r="BF54" s="108">
        <v>57.427999999999997</v>
      </c>
      <c r="BG54" s="109">
        <v>57.427999999999997</v>
      </c>
      <c r="BH54" s="107">
        <v>56.278079322076614</v>
      </c>
      <c r="BI54" s="108">
        <v>60.354437500000024</v>
      </c>
      <c r="BJ54" s="108">
        <v>62.392616588961715</v>
      </c>
      <c r="BK54" s="109">
        <v>62.392616588961623</v>
      </c>
      <c r="BL54" s="107">
        <v>51.8</v>
      </c>
      <c r="BM54" s="108">
        <v>55.552000000000007</v>
      </c>
      <c r="BN54" s="108">
        <v>57.428000000000011</v>
      </c>
      <c r="BO54" s="109">
        <v>57.427999999999933</v>
      </c>
    </row>
    <row r="55" spans="3:68" x14ac:dyDescent="0.25">
      <c r="C55" s="3" t="s">
        <v>206</v>
      </c>
      <c r="D55" s="107"/>
      <c r="E55" s="108"/>
      <c r="F55" s="108"/>
      <c r="G55" s="109"/>
      <c r="H55" s="107"/>
      <c r="I55" s="108"/>
      <c r="J55" s="108"/>
      <c r="K55" s="109"/>
      <c r="L55" s="107"/>
      <c r="M55" s="108"/>
      <c r="N55" s="108"/>
      <c r="O55" s="109"/>
      <c r="P55" s="107"/>
      <c r="Q55" s="108"/>
      <c r="R55" s="108"/>
      <c r="S55" s="109"/>
      <c r="T55" s="107"/>
      <c r="U55" s="108"/>
      <c r="V55" s="108"/>
      <c r="W55" s="109"/>
      <c r="X55" s="107"/>
      <c r="Y55" s="108"/>
      <c r="Z55" s="108"/>
      <c r="AA55" s="109"/>
      <c r="AB55" s="107"/>
      <c r="AC55" s="108"/>
      <c r="AD55" s="108"/>
      <c r="AE55" s="109"/>
      <c r="AF55" s="107"/>
      <c r="AG55" s="108"/>
      <c r="AH55" s="108"/>
      <c r="AI55" s="109"/>
      <c r="AJ55" s="107"/>
      <c r="AK55" s="108"/>
      <c r="AL55" s="108"/>
      <c r="AM55" s="109"/>
      <c r="AN55" s="107"/>
      <c r="AO55" s="108"/>
      <c r="AP55" s="108"/>
      <c r="AQ55" s="109"/>
      <c r="AR55" s="107"/>
      <c r="AS55" s="108"/>
      <c r="AT55" s="108"/>
      <c r="AU55" s="109"/>
      <c r="AV55" s="107"/>
      <c r="AW55" s="108"/>
      <c r="AX55" s="108"/>
      <c r="AY55" s="109"/>
      <c r="AZ55" s="107"/>
      <c r="BA55" s="108"/>
      <c r="BB55" s="108"/>
      <c r="BC55" s="109"/>
      <c r="BD55" s="107"/>
      <c r="BE55" s="108"/>
      <c r="BF55" s="108"/>
      <c r="BG55" s="109"/>
      <c r="BH55" s="107"/>
      <c r="BI55" s="108"/>
      <c r="BJ55" s="108"/>
      <c r="BK55" s="109"/>
      <c r="BL55" s="107"/>
      <c r="BM55" s="108"/>
      <c r="BN55" s="108"/>
      <c r="BO55" s="109"/>
    </row>
    <row r="56" spans="3:68" x14ac:dyDescent="0.25">
      <c r="C56" s="3" t="s">
        <v>207</v>
      </c>
      <c r="D56" s="107"/>
      <c r="E56" s="108"/>
      <c r="F56" s="108"/>
      <c r="G56" s="109"/>
      <c r="H56" s="107"/>
      <c r="I56" s="108"/>
      <c r="J56" s="108"/>
      <c r="K56" s="109"/>
      <c r="L56" s="107"/>
      <c r="M56" s="108"/>
      <c r="N56" s="108"/>
      <c r="O56" s="109"/>
      <c r="P56" s="107"/>
      <c r="Q56" s="108"/>
      <c r="R56" s="108"/>
      <c r="S56" s="109"/>
      <c r="T56" s="107"/>
      <c r="U56" s="108"/>
      <c r="V56" s="108"/>
      <c r="W56" s="109"/>
      <c r="X56" s="107"/>
      <c r="Y56" s="108"/>
      <c r="Z56" s="108"/>
      <c r="AA56" s="109"/>
      <c r="AB56" s="107"/>
      <c r="AC56" s="108"/>
      <c r="AD56" s="108"/>
      <c r="AE56" s="109"/>
      <c r="AF56" s="107"/>
      <c r="AG56" s="108"/>
      <c r="AH56" s="108"/>
      <c r="AI56" s="109"/>
      <c r="AJ56" s="107"/>
      <c r="AK56" s="108"/>
      <c r="AL56" s="108"/>
      <c r="AM56" s="109"/>
      <c r="AN56" s="107"/>
      <c r="AO56" s="108"/>
      <c r="AP56" s="108"/>
      <c r="AQ56" s="109"/>
      <c r="AR56" s="107"/>
      <c r="AS56" s="108"/>
      <c r="AT56" s="108"/>
      <c r="AU56" s="109"/>
      <c r="AV56" s="107"/>
      <c r="AW56" s="108"/>
      <c r="AX56" s="108"/>
      <c r="AY56" s="109"/>
      <c r="AZ56" s="107"/>
      <c r="BA56" s="108"/>
      <c r="BB56" s="108"/>
      <c r="BC56" s="109"/>
      <c r="BD56" s="107"/>
      <c r="BE56" s="108"/>
      <c r="BF56" s="108"/>
      <c r="BG56" s="109"/>
      <c r="BH56" s="107"/>
      <c r="BI56" s="108"/>
      <c r="BJ56" s="108"/>
      <c r="BK56" s="109"/>
      <c r="BL56" s="107"/>
      <c r="BM56" s="108"/>
      <c r="BN56" s="108"/>
      <c r="BO56" s="109"/>
    </row>
    <row r="57" spans="3:68" x14ac:dyDescent="0.25">
      <c r="C57" s="3" t="s">
        <v>209</v>
      </c>
      <c r="D57" s="107"/>
      <c r="E57" s="108"/>
      <c r="F57" s="108"/>
      <c r="G57" s="109"/>
      <c r="H57" s="107"/>
      <c r="I57" s="108"/>
      <c r="J57" s="108"/>
      <c r="K57" s="109"/>
      <c r="L57" s="107"/>
      <c r="M57" s="108"/>
      <c r="N57" s="108"/>
      <c r="O57" s="109"/>
      <c r="P57" s="107"/>
      <c r="Q57" s="108"/>
      <c r="R57" s="108"/>
      <c r="S57" s="109"/>
      <c r="T57" s="107"/>
      <c r="U57" s="108"/>
      <c r="V57" s="108"/>
      <c r="W57" s="109"/>
      <c r="X57" s="107"/>
      <c r="Y57" s="108"/>
      <c r="Z57" s="108"/>
      <c r="AA57" s="109"/>
      <c r="AB57" s="107"/>
      <c r="AC57" s="108"/>
      <c r="AD57" s="108"/>
      <c r="AE57" s="109"/>
      <c r="AF57" s="107"/>
      <c r="AG57" s="108"/>
      <c r="AH57" s="108"/>
      <c r="AI57" s="109"/>
      <c r="AJ57" s="107"/>
      <c r="AK57" s="108"/>
      <c r="AL57" s="108"/>
      <c r="AM57" s="109"/>
      <c r="AN57" s="107"/>
      <c r="AO57" s="108"/>
      <c r="AP57" s="108"/>
      <c r="AQ57" s="109"/>
      <c r="AR57" s="107"/>
      <c r="AS57" s="108"/>
      <c r="AT57" s="108"/>
      <c r="AU57" s="109"/>
      <c r="AV57" s="107"/>
      <c r="AW57" s="108"/>
      <c r="AX57" s="108"/>
      <c r="AY57" s="109"/>
      <c r="AZ57" s="107"/>
      <c r="BA57" s="108"/>
      <c r="BB57" s="108"/>
      <c r="BC57" s="109"/>
      <c r="BD57" s="107"/>
      <c r="BE57" s="108"/>
      <c r="BF57" s="108"/>
      <c r="BG57" s="109"/>
      <c r="BH57" s="107"/>
      <c r="BI57" s="108"/>
      <c r="BJ57" s="108"/>
      <c r="BK57" s="109"/>
      <c r="BL57" s="107"/>
      <c r="BM57" s="108"/>
      <c r="BN57" s="108"/>
      <c r="BO57" s="109"/>
    </row>
    <row r="58" spans="3:68" x14ac:dyDescent="0.25">
      <c r="C58" s="3" t="s">
        <v>214</v>
      </c>
      <c r="D58" s="107"/>
      <c r="E58" s="108"/>
      <c r="F58" s="108"/>
      <c r="G58" s="109"/>
      <c r="H58" s="107"/>
      <c r="I58" s="108"/>
      <c r="J58" s="108"/>
      <c r="K58" s="109"/>
      <c r="L58" s="107"/>
      <c r="M58" s="108"/>
      <c r="N58" s="108"/>
      <c r="O58" s="109"/>
      <c r="P58" s="107"/>
      <c r="Q58" s="108"/>
      <c r="R58" s="108"/>
      <c r="S58" s="109"/>
      <c r="T58" s="107"/>
      <c r="U58" s="108"/>
      <c r="V58" s="108"/>
      <c r="W58" s="109"/>
      <c r="X58" s="107"/>
      <c r="Y58" s="108"/>
      <c r="Z58" s="108"/>
      <c r="AA58" s="109"/>
      <c r="AB58" s="107"/>
      <c r="AC58" s="108"/>
      <c r="AD58" s="108"/>
      <c r="AE58" s="109"/>
      <c r="AF58" s="107"/>
      <c r="AG58" s="108"/>
      <c r="AH58" s="108"/>
      <c r="AI58" s="109"/>
      <c r="AJ58" s="107"/>
      <c r="AK58" s="108"/>
      <c r="AL58" s="108"/>
      <c r="AM58" s="109"/>
      <c r="AN58" s="107"/>
      <c r="AO58" s="108"/>
      <c r="AP58" s="108"/>
      <c r="AQ58" s="109"/>
      <c r="AR58" s="107"/>
      <c r="AS58" s="108"/>
      <c r="AT58" s="108"/>
      <c r="AU58" s="109"/>
      <c r="AV58" s="107"/>
      <c r="AW58" s="108"/>
      <c r="AX58" s="108"/>
      <c r="AY58" s="109"/>
      <c r="AZ58" s="107"/>
      <c r="BA58" s="108"/>
      <c r="BB58" s="108"/>
      <c r="BC58" s="109"/>
      <c r="BD58" s="107"/>
      <c r="BE58" s="108"/>
      <c r="BF58" s="108"/>
      <c r="BG58" s="109"/>
      <c r="BH58" s="107"/>
      <c r="BI58" s="108"/>
      <c r="BJ58" s="108"/>
      <c r="BK58" s="109"/>
      <c r="BL58" s="107"/>
      <c r="BM58" s="108"/>
      <c r="BN58" s="108"/>
      <c r="BO58" s="109"/>
    </row>
    <row r="59" spans="3:68" x14ac:dyDescent="0.25">
      <c r="C59" t="s">
        <v>6</v>
      </c>
      <c r="D59" s="107"/>
      <c r="E59" s="108"/>
      <c r="F59" s="108"/>
      <c r="G59" s="109"/>
      <c r="H59" s="107"/>
      <c r="I59" s="108"/>
      <c r="J59" s="108"/>
      <c r="K59" s="109"/>
      <c r="L59" s="107"/>
      <c r="M59" s="108"/>
      <c r="N59" s="108"/>
      <c r="O59" s="109"/>
      <c r="P59" s="107"/>
      <c r="Q59" s="108"/>
      <c r="R59" s="108"/>
      <c r="S59" s="109"/>
      <c r="T59" s="107"/>
      <c r="U59" s="108"/>
      <c r="V59" s="108"/>
      <c r="W59" s="109"/>
      <c r="X59" s="107"/>
      <c r="Y59" s="108"/>
      <c r="Z59" s="108"/>
      <c r="AA59" s="109"/>
      <c r="AB59" s="107"/>
      <c r="AC59" s="108"/>
      <c r="AD59" s="108"/>
      <c r="AE59" s="109"/>
      <c r="AF59" s="107"/>
      <c r="AG59" s="108"/>
      <c r="AH59" s="108"/>
      <c r="AI59" s="109"/>
      <c r="AJ59" s="107"/>
      <c r="AK59" s="108"/>
      <c r="AL59" s="108"/>
      <c r="AM59" s="109"/>
      <c r="AN59" s="107"/>
      <c r="AO59" s="108"/>
      <c r="AP59" s="108"/>
      <c r="AQ59" s="109"/>
      <c r="AR59" s="107"/>
      <c r="AS59" s="108"/>
      <c r="AT59" s="108"/>
      <c r="AU59" s="109"/>
      <c r="AV59" s="107"/>
      <c r="AW59" s="108"/>
      <c r="AX59" s="108"/>
      <c r="AY59" s="109"/>
      <c r="AZ59" s="107"/>
      <c r="BA59" s="108"/>
      <c r="BB59" s="108"/>
      <c r="BC59" s="109"/>
      <c r="BD59" s="107"/>
      <c r="BE59" s="108"/>
      <c r="BF59" s="108"/>
      <c r="BG59" s="109"/>
      <c r="BH59" s="107"/>
      <c r="BI59" s="108"/>
      <c r="BJ59" s="108"/>
      <c r="BK59" s="109"/>
      <c r="BL59" s="107"/>
      <c r="BM59" s="108"/>
      <c r="BN59" s="108"/>
      <c r="BO59" s="109"/>
    </row>
    <row r="60" spans="3:68" x14ac:dyDescent="0.25">
      <c r="C60" t="s">
        <v>7</v>
      </c>
      <c r="D60" s="107">
        <v>63.793710937500023</v>
      </c>
      <c r="E60" s="108">
        <v>48.444853515625013</v>
      </c>
      <c r="F60" s="108">
        <v>55.141689453125004</v>
      </c>
      <c r="G60" s="109">
        <v>41.796567460317455</v>
      </c>
      <c r="H60" s="107">
        <v>33.353476562500006</v>
      </c>
      <c r="I60" s="108">
        <v>34.616933593750005</v>
      </c>
      <c r="J60" s="108">
        <v>46.289513888888905</v>
      </c>
      <c r="K60" s="109">
        <v>50.846972656250003</v>
      </c>
      <c r="L60" s="107">
        <v>89.765515873015843</v>
      </c>
      <c r="M60" s="108">
        <v>45.063007812499997</v>
      </c>
      <c r="N60" s="108">
        <v>54.984013671875012</v>
      </c>
      <c r="O60" s="109">
        <v>167.3350595238096</v>
      </c>
      <c r="P60" s="107">
        <v>67.341074218749995</v>
      </c>
      <c r="Q60" s="108">
        <v>44.335244140625001</v>
      </c>
      <c r="R60" s="108">
        <v>41.33302734374999</v>
      </c>
      <c r="S60" s="109">
        <v>48.027636718749996</v>
      </c>
      <c r="T60" s="107">
        <v>87.659980158730164</v>
      </c>
      <c r="U60" s="108">
        <v>28.370332031249998</v>
      </c>
      <c r="V60" s="108">
        <v>42.395605769230762</v>
      </c>
      <c r="W60" s="109">
        <v>33.065136718749997</v>
      </c>
      <c r="X60" s="107">
        <v>30.31946289062499</v>
      </c>
      <c r="Y60" s="108">
        <v>28.207148437500003</v>
      </c>
      <c r="Z60" s="108">
        <v>42.730703124999998</v>
      </c>
      <c r="AA60" s="109">
        <v>38.680972222222231</v>
      </c>
      <c r="AB60" s="107">
        <v>33.978535156249983</v>
      </c>
      <c r="AC60" s="108">
        <v>33.298916015625018</v>
      </c>
      <c r="AD60" s="108">
        <v>31.712827380952376</v>
      </c>
      <c r="AE60" s="109">
        <v>52.552301587301585</v>
      </c>
      <c r="AF60" s="107">
        <v>62.437333984375016</v>
      </c>
      <c r="AG60" s="108">
        <v>35.096416015625003</v>
      </c>
      <c r="AH60" s="108">
        <v>43.041160714285702</v>
      </c>
      <c r="AI60" s="109">
        <v>50.329980468750001</v>
      </c>
      <c r="AJ60" s="107">
        <v>45.39648538961039</v>
      </c>
      <c r="AK60" s="108">
        <v>26.314228515625004</v>
      </c>
      <c r="AL60" s="108">
        <v>26.655839843750005</v>
      </c>
      <c r="AM60" s="109">
        <v>37.427333984374997</v>
      </c>
      <c r="AN60" s="107">
        <v>22.788583984375002</v>
      </c>
      <c r="AO60" s="108">
        <v>20.631455078124997</v>
      </c>
      <c r="AP60" s="108">
        <v>26.25682692307694</v>
      </c>
      <c r="AQ60" s="109">
        <v>35.830644531250009</v>
      </c>
      <c r="AR60" s="107">
        <v>53.904365079365085</v>
      </c>
      <c r="AS60" s="108">
        <v>32.369072265624986</v>
      </c>
      <c r="AT60" s="108">
        <v>51.308261718750003</v>
      </c>
      <c r="AU60" s="109">
        <v>63.331942307692309</v>
      </c>
      <c r="AV60" s="107">
        <v>112.20933593749999</v>
      </c>
      <c r="AW60" s="108">
        <v>72.895156249999985</v>
      </c>
      <c r="AX60" s="108">
        <v>92.972822265625041</v>
      </c>
      <c r="AY60" s="109">
        <v>83.271041666666676</v>
      </c>
      <c r="AZ60" s="107">
        <v>46.788046874999992</v>
      </c>
      <c r="BA60" s="108">
        <v>32.413671874999991</v>
      </c>
      <c r="BB60" s="108">
        <v>40.106951278659615</v>
      </c>
      <c r="BC60" s="109">
        <v>36.491408730158724</v>
      </c>
      <c r="BD60" s="107">
        <v>43.264238281250016</v>
      </c>
      <c r="BE60" s="108">
        <v>30.791240530303028</v>
      </c>
      <c r="BF60" s="108">
        <v>54.25</v>
      </c>
      <c r="BG60" s="109">
        <v>60.1</v>
      </c>
      <c r="BH60" s="107">
        <v>61.748993539694467</v>
      </c>
      <c r="BI60" s="108">
        <v>44.398989716930757</v>
      </c>
      <c r="BJ60" s="108">
        <v>78.225013044636484</v>
      </c>
      <c r="BK60" s="109">
        <v>86.660337031938298</v>
      </c>
      <c r="BL60" s="107">
        <v>61.748993539694467</v>
      </c>
      <c r="BM60" s="108">
        <v>44.398989716930757</v>
      </c>
      <c r="BN60" s="108">
        <v>78.225013044636484</v>
      </c>
      <c r="BO60" s="109">
        <v>86.660337031938298</v>
      </c>
    </row>
    <row r="61" spans="3:68" x14ac:dyDescent="0.25">
      <c r="C61" t="s">
        <v>8</v>
      </c>
      <c r="D61" s="107">
        <v>40.630429687500012</v>
      </c>
      <c r="E61" s="108">
        <v>42.511806640624982</v>
      </c>
      <c r="F61" s="108">
        <v>47.368398437499991</v>
      </c>
      <c r="G61" s="109">
        <v>36.792847222222221</v>
      </c>
      <c r="H61" s="107">
        <v>30.628144531250001</v>
      </c>
      <c r="I61" s="108">
        <v>34.255439453125</v>
      </c>
      <c r="J61" s="108">
        <v>41.418353174603176</v>
      </c>
      <c r="K61" s="109">
        <v>39.001152343749993</v>
      </c>
      <c r="L61" s="107">
        <v>45.623531746031745</v>
      </c>
      <c r="M61" s="108">
        <v>40.663671874999991</v>
      </c>
      <c r="N61" s="108">
        <v>53.937705078124999</v>
      </c>
      <c r="O61" s="109">
        <v>105.87010912698416</v>
      </c>
      <c r="P61" s="107">
        <v>46.228017578124991</v>
      </c>
      <c r="Q61" s="108">
        <v>44.886210937499996</v>
      </c>
      <c r="R61" s="108">
        <v>43.024843750000009</v>
      </c>
      <c r="S61" s="109">
        <v>39.284560546874999</v>
      </c>
      <c r="T61" s="107">
        <v>53.16058531746031</v>
      </c>
      <c r="U61" s="108">
        <v>38.357529296875022</v>
      </c>
      <c r="V61" s="108">
        <v>40.580288461538458</v>
      </c>
      <c r="W61" s="109">
        <v>34.609042968749996</v>
      </c>
      <c r="X61" s="107">
        <v>30.752001953124992</v>
      </c>
      <c r="Y61" s="108">
        <v>35.769550781249997</v>
      </c>
      <c r="Z61" s="108">
        <v>46.082998046874998</v>
      </c>
      <c r="AA61" s="109">
        <v>27.32274801587301</v>
      </c>
      <c r="AB61" s="107">
        <v>27.648046875000006</v>
      </c>
      <c r="AC61" s="108">
        <v>33.630214843749989</v>
      </c>
      <c r="AD61" s="108">
        <v>34.760575396825409</v>
      </c>
      <c r="AE61" s="109">
        <v>35.233521825396821</v>
      </c>
      <c r="AF61" s="107">
        <v>36.453183593749991</v>
      </c>
      <c r="AG61" s="108">
        <v>36.833710937500001</v>
      </c>
      <c r="AH61" s="108">
        <v>41.871894841269828</v>
      </c>
      <c r="AI61" s="109">
        <v>36.246835937500002</v>
      </c>
      <c r="AJ61" s="107">
        <v>33.755982142857142</v>
      </c>
      <c r="AK61" s="108">
        <v>31.294990234375003</v>
      </c>
      <c r="AL61" s="108">
        <v>33.064990234374996</v>
      </c>
      <c r="AM61" s="109">
        <v>29.202626953125005</v>
      </c>
      <c r="AN61" s="107">
        <v>18.665722656250008</v>
      </c>
      <c r="AO61" s="108">
        <v>20.715585937500002</v>
      </c>
      <c r="AP61" s="108">
        <v>27.979971153846154</v>
      </c>
      <c r="AQ61" s="109">
        <v>21.842763671874994</v>
      </c>
      <c r="AR61" s="107">
        <v>25.899017857142859</v>
      </c>
      <c r="AS61" s="108">
        <v>25.555986328124987</v>
      </c>
      <c r="AT61" s="108">
        <v>48.936552734374992</v>
      </c>
      <c r="AU61" s="109">
        <v>49.143096153846137</v>
      </c>
      <c r="AV61" s="107">
        <v>62.414521484374987</v>
      </c>
      <c r="AW61" s="108">
        <v>58.443574218749987</v>
      </c>
      <c r="AX61" s="108">
        <v>83.35432617187503</v>
      </c>
      <c r="AY61" s="109">
        <v>47.555029761904756</v>
      </c>
      <c r="AZ61" s="107">
        <v>24.228115234375007</v>
      </c>
      <c r="BA61" s="108">
        <v>22.053837890624994</v>
      </c>
      <c r="BB61" s="108">
        <v>35.917966269841273</v>
      </c>
      <c r="BC61" s="109">
        <v>28.78121031746031</v>
      </c>
      <c r="BD61" s="107">
        <v>32.956162109375001</v>
      </c>
      <c r="BE61" s="108">
        <v>30.120369318181819</v>
      </c>
      <c r="BF61" s="108">
        <v>48.699999999999996</v>
      </c>
      <c r="BG61" s="109">
        <v>41.65</v>
      </c>
      <c r="BH61" s="107">
        <v>40.752228117822035</v>
      </c>
      <c r="BI61" s="108">
        <v>37.482065347412771</v>
      </c>
      <c r="BJ61" s="108">
        <v>60.602729107877636</v>
      </c>
      <c r="BK61" s="109">
        <v>51.829644093287548</v>
      </c>
      <c r="BL61" s="107">
        <v>45.197925730681568</v>
      </c>
      <c r="BM61" s="108">
        <v>41.571017930772605</v>
      </c>
      <c r="BN61" s="108">
        <v>67.213935919655356</v>
      </c>
      <c r="BO61" s="109">
        <v>57.483787085290459</v>
      </c>
    </row>
    <row r="62" spans="3:68" x14ac:dyDescent="0.25">
      <c r="C62" t="s">
        <v>9</v>
      </c>
      <c r="D62" s="107">
        <v>61.319755859375</v>
      </c>
      <c r="E62" s="108">
        <v>56.261513671875008</v>
      </c>
      <c r="F62" s="108">
        <v>64.744736328125001</v>
      </c>
      <c r="G62" s="109">
        <v>42.035863095238099</v>
      </c>
      <c r="H62" s="107">
        <v>35.479599609374993</v>
      </c>
      <c r="I62" s="108">
        <v>42.463750000000005</v>
      </c>
      <c r="J62" s="108">
        <v>49.926091269841251</v>
      </c>
      <c r="K62" s="109">
        <v>46.815820312500001</v>
      </c>
      <c r="L62" s="107">
        <v>71.969464285714295</v>
      </c>
      <c r="M62" s="108">
        <v>47.40742187499999</v>
      </c>
      <c r="N62" s="108">
        <v>63.43471679687498</v>
      </c>
      <c r="O62" s="109">
        <v>145.08544642857149</v>
      </c>
      <c r="P62" s="107">
        <v>49.675136718749997</v>
      </c>
      <c r="Q62" s="108">
        <v>45.55554687499999</v>
      </c>
      <c r="R62" s="108">
        <v>40.321435546875001</v>
      </c>
      <c r="S62" s="109">
        <v>42.091767578124994</v>
      </c>
      <c r="T62" s="107">
        <v>77.999513888888885</v>
      </c>
      <c r="U62" s="108">
        <v>32.442470703124989</v>
      </c>
      <c r="V62" s="108">
        <v>38.379144230769235</v>
      </c>
      <c r="W62" s="109">
        <v>27.262890625000001</v>
      </c>
      <c r="X62" s="107">
        <v>30.82033203124999</v>
      </c>
      <c r="Y62" s="108">
        <v>28.172070312500008</v>
      </c>
      <c r="Z62" s="108">
        <v>39.596083984375014</v>
      </c>
      <c r="AA62" s="109">
        <v>34.996567460317451</v>
      </c>
      <c r="AB62" s="107">
        <v>34.973046875000001</v>
      </c>
      <c r="AC62" s="108">
        <v>33.375703125000008</v>
      </c>
      <c r="AD62" s="108">
        <v>32.778422619047618</v>
      </c>
      <c r="AE62" s="109">
        <v>41.835218253968264</v>
      </c>
      <c r="AF62" s="107">
        <v>50.315361328125007</v>
      </c>
      <c r="AG62" s="108">
        <v>34.626230468749995</v>
      </c>
      <c r="AH62" s="108">
        <v>40.638591269841257</v>
      </c>
      <c r="AI62" s="109">
        <v>39.415292968750002</v>
      </c>
      <c r="AJ62" s="107">
        <v>39.402341269841259</v>
      </c>
      <c r="AK62" s="108">
        <v>23.524111328125002</v>
      </c>
      <c r="AL62" s="108">
        <v>26.111289062499996</v>
      </c>
      <c r="AM62" s="109">
        <v>28.468027343749991</v>
      </c>
      <c r="AN62" s="107">
        <v>21.053603515625003</v>
      </c>
      <c r="AO62" s="108">
        <v>16.977216796875005</v>
      </c>
      <c r="AP62" s="108">
        <v>23.770480769230765</v>
      </c>
      <c r="AQ62" s="109">
        <v>27.890839843750008</v>
      </c>
      <c r="AR62" s="107">
        <v>40.681011904761924</v>
      </c>
      <c r="AS62" s="108">
        <v>33.496152343749991</v>
      </c>
      <c r="AT62" s="108">
        <v>48.703144531250004</v>
      </c>
      <c r="AU62" s="109">
        <v>55.870798076923073</v>
      </c>
      <c r="AV62" s="107">
        <v>97.648994140625007</v>
      </c>
      <c r="AW62" s="108">
        <v>80.953066406249988</v>
      </c>
      <c r="AX62" s="108">
        <v>107.24587890624996</v>
      </c>
      <c r="AY62" s="109">
        <v>79.221458333333331</v>
      </c>
      <c r="AZ62" s="107">
        <v>42.07116210937501</v>
      </c>
      <c r="BA62" s="108">
        <v>29.055048828124999</v>
      </c>
      <c r="BB62" s="108">
        <v>39.417688492063498</v>
      </c>
      <c r="BC62" s="109">
        <v>32.839454365079369</v>
      </c>
      <c r="BD62" s="107">
        <v>40.821562499999999</v>
      </c>
      <c r="BE62" s="108">
        <v>47.272178030303031</v>
      </c>
      <c r="BF62" s="108">
        <v>80.099999999999994</v>
      </c>
      <c r="BG62" s="109">
        <v>68.650000000000006</v>
      </c>
      <c r="BH62" s="107">
        <v>56.382214575896008</v>
      </c>
      <c r="BI62" s="108">
        <v>65.804056770090114</v>
      </c>
      <c r="BJ62" s="108">
        <v>111.50120783318663</v>
      </c>
      <c r="BK62" s="109">
        <v>95.562520820827274</v>
      </c>
      <c r="BL62" s="107">
        <v>56.382214575896008</v>
      </c>
      <c r="BM62" s="108">
        <v>65.804056770090114</v>
      </c>
      <c r="BN62" s="108">
        <v>111.50120783318663</v>
      </c>
      <c r="BO62" s="109">
        <v>95.562520820827274</v>
      </c>
    </row>
    <row r="63" spans="3:68" x14ac:dyDescent="0.25">
      <c r="C63" t="s">
        <v>10</v>
      </c>
      <c r="D63" s="107">
        <v>70.866767578124993</v>
      </c>
      <c r="E63" s="108">
        <v>61.81411132812498</v>
      </c>
      <c r="F63" s="108">
        <v>68.602324218750013</v>
      </c>
      <c r="G63" s="109">
        <v>45.84968253968254</v>
      </c>
      <c r="H63" s="107">
        <v>40.598867187499984</v>
      </c>
      <c r="I63" s="108">
        <v>44.787695312499999</v>
      </c>
      <c r="J63" s="108">
        <v>52.449682539682534</v>
      </c>
      <c r="K63" s="109">
        <v>48.760292968750008</v>
      </c>
      <c r="L63" s="107">
        <v>82.751825396825382</v>
      </c>
      <c r="M63" s="108">
        <v>51.984208984375009</v>
      </c>
      <c r="N63" s="108">
        <v>67.099775390625013</v>
      </c>
      <c r="O63" s="109">
        <v>156.84135912698406</v>
      </c>
      <c r="P63" s="107">
        <v>50.633037109375017</v>
      </c>
      <c r="Q63" s="108">
        <v>47.093769531249976</v>
      </c>
      <c r="R63" s="108">
        <v>41.267587890624995</v>
      </c>
      <c r="S63" s="109">
        <v>42.321269531250003</v>
      </c>
      <c r="T63" s="107">
        <v>80.378015873015883</v>
      </c>
      <c r="U63" s="108">
        <v>34.555751953125004</v>
      </c>
      <c r="V63" s="108">
        <v>41.128067307692319</v>
      </c>
      <c r="W63" s="109">
        <v>28.156972656249998</v>
      </c>
      <c r="X63" s="107">
        <v>32.810527343750003</v>
      </c>
      <c r="Y63" s="108">
        <v>29.281435546875006</v>
      </c>
      <c r="Z63" s="108">
        <v>42.594873046874994</v>
      </c>
      <c r="AA63" s="109">
        <v>35.888214285714291</v>
      </c>
      <c r="AB63" s="107">
        <v>35.824277343750005</v>
      </c>
      <c r="AC63" s="108">
        <v>38.990224609374998</v>
      </c>
      <c r="AD63" s="108">
        <v>35.719781746031757</v>
      </c>
      <c r="AE63" s="109">
        <v>42.862331349206364</v>
      </c>
      <c r="AF63" s="107">
        <v>61.037626953124992</v>
      </c>
      <c r="AG63" s="108">
        <v>38.236162109375002</v>
      </c>
      <c r="AH63" s="108">
        <v>47.728591269841274</v>
      </c>
      <c r="AI63" s="109">
        <v>43.396132812499992</v>
      </c>
      <c r="AJ63" s="107">
        <v>41.584275793650782</v>
      </c>
      <c r="AK63" s="108">
        <v>29.689101562500007</v>
      </c>
      <c r="AL63" s="108">
        <v>29.990937500000001</v>
      </c>
      <c r="AM63" s="109">
        <v>29.507187500000008</v>
      </c>
      <c r="AN63" s="107">
        <v>25.140136718750004</v>
      </c>
      <c r="AO63" s="108">
        <v>17.679121093749998</v>
      </c>
      <c r="AP63" s="108">
        <v>27.956423076923073</v>
      </c>
      <c r="AQ63" s="109">
        <v>28.630712890625002</v>
      </c>
      <c r="AR63" s="107">
        <v>42.987460317460304</v>
      </c>
      <c r="AS63" s="108">
        <v>35.948750000000004</v>
      </c>
      <c r="AT63" s="108">
        <v>56.998818359374987</v>
      </c>
      <c r="AU63" s="109">
        <v>58.194730769230752</v>
      </c>
      <c r="AV63" s="107">
        <v>103.22112304687501</v>
      </c>
      <c r="AW63" s="108">
        <v>82.977939453125018</v>
      </c>
      <c r="AX63" s="108">
        <v>113.14671874999999</v>
      </c>
      <c r="AY63" s="109">
        <v>81.199285714285693</v>
      </c>
      <c r="AZ63" s="107">
        <v>42.698310546874986</v>
      </c>
      <c r="BA63" s="108">
        <v>29.984570312500001</v>
      </c>
      <c r="BB63" s="108">
        <v>44.44814484126983</v>
      </c>
      <c r="BC63" s="109">
        <v>34.416686507936518</v>
      </c>
      <c r="BD63" s="107">
        <v>48.344560546875009</v>
      </c>
      <c r="BE63" s="108">
        <v>50.205454545454536</v>
      </c>
      <c r="BF63" s="108">
        <v>84.816666666666677</v>
      </c>
      <c r="BG63" s="109">
        <v>71.366666666666674</v>
      </c>
      <c r="BH63" s="107">
        <v>65.653380529383554</v>
      </c>
      <c r="BI63" s="108">
        <v>68.840822514514059</v>
      </c>
      <c r="BJ63" s="108">
        <v>116.29909835765713</v>
      </c>
      <c r="BK63" s="109">
        <v>97.85669859844522</v>
      </c>
      <c r="BL63" s="107">
        <v>65.653380529383554</v>
      </c>
      <c r="BM63" s="108">
        <v>68.840822514514059</v>
      </c>
      <c r="BN63" s="108">
        <v>116.29909835765713</v>
      </c>
      <c r="BO63" s="109">
        <v>97.85669859844522</v>
      </c>
    </row>
    <row r="64" spans="3:68" x14ac:dyDescent="0.25">
      <c r="C64" t="s">
        <v>11</v>
      </c>
      <c r="D64" s="107">
        <v>50.059908115234371</v>
      </c>
      <c r="E64" s="108">
        <v>59.78809870117189</v>
      </c>
      <c r="F64" s="108">
        <v>57.162939843749975</v>
      </c>
      <c r="G64" s="109">
        <v>39.320604523809529</v>
      </c>
      <c r="H64" s="107">
        <v>34.398327744140623</v>
      </c>
      <c r="I64" s="108">
        <v>38.54343235351562</v>
      </c>
      <c r="J64" s="108">
        <v>48.952091091269828</v>
      </c>
      <c r="K64" s="109">
        <v>41.477144667968737</v>
      </c>
      <c r="L64" s="107">
        <v>41.997815863095234</v>
      </c>
      <c r="M64" s="108">
        <v>45.530304316406237</v>
      </c>
      <c r="N64" s="108">
        <v>48.136464199218764</v>
      </c>
      <c r="O64" s="109">
        <v>113.57858770833333</v>
      </c>
      <c r="P64" s="107">
        <v>40.193486718750002</v>
      </c>
      <c r="Q64" s="108">
        <v>50.488559589843774</v>
      </c>
      <c r="R64" s="108">
        <v>41.389708935546885</v>
      </c>
      <c r="S64" s="109">
        <v>40.371172851562484</v>
      </c>
      <c r="T64" s="107">
        <v>56.866776517857168</v>
      </c>
      <c r="U64" s="108">
        <v>39.147263818359377</v>
      </c>
      <c r="V64" s="108">
        <v>39.464831807692299</v>
      </c>
      <c r="W64" s="109">
        <v>31.895178447265625</v>
      </c>
      <c r="X64" s="107">
        <v>30.103148642578116</v>
      </c>
      <c r="Y64" s="108">
        <v>32.701806339843749</v>
      </c>
      <c r="Z64" s="108">
        <v>38.936782353515625</v>
      </c>
      <c r="AA64" s="109">
        <v>33.269796091269853</v>
      </c>
      <c r="AB64" s="107">
        <v>32.144072138671881</v>
      </c>
      <c r="AC64" s="108">
        <v>32.803312458984372</v>
      </c>
      <c r="AD64" s="108">
        <v>35.491018034722238</v>
      </c>
      <c r="AE64" s="109">
        <v>37.447859950396833</v>
      </c>
      <c r="AF64" s="107">
        <v>48.149713212890617</v>
      </c>
      <c r="AG64" s="108">
        <v>40.616642744140627</v>
      </c>
      <c r="AH64" s="108">
        <v>39.359736765873009</v>
      </c>
      <c r="AI64" s="109">
        <v>37.718337177734377</v>
      </c>
      <c r="AJ64" s="107">
        <v>31.989362062499993</v>
      </c>
      <c r="AK64" s="108">
        <v>28.021974775390625</v>
      </c>
      <c r="AL64" s="108">
        <v>31.54453333984376</v>
      </c>
      <c r="AM64" s="109">
        <v>29.950959453124995</v>
      </c>
      <c r="AN64" s="107">
        <v>22.148194208984371</v>
      </c>
      <c r="AO64" s="108">
        <v>21.082735599609382</v>
      </c>
      <c r="AP64" s="108">
        <v>27.867851557692298</v>
      </c>
      <c r="AQ64" s="109">
        <v>26.713783007812488</v>
      </c>
      <c r="AR64" s="107">
        <v>33.725189176587293</v>
      </c>
      <c r="AS64" s="108">
        <v>33.442251123046873</v>
      </c>
      <c r="AT64" s="108">
        <v>51.082908603515619</v>
      </c>
      <c r="AU64" s="109">
        <v>63.039203961538469</v>
      </c>
      <c r="AV64" s="107">
        <v>51.991296542968769</v>
      </c>
      <c r="AW64" s="108">
        <v>96.216991533203142</v>
      </c>
      <c r="AX64" s="108">
        <v>109.68786480468749</v>
      </c>
      <c r="AY64" s="109">
        <v>80.320639464285691</v>
      </c>
      <c r="AZ64" s="107">
        <v>32.367892265624988</v>
      </c>
      <c r="BA64" s="108">
        <v>33.409791826171876</v>
      </c>
      <c r="BB64" s="108">
        <v>41.477453650793642</v>
      </c>
      <c r="BC64" s="109">
        <v>42.268071707341264</v>
      </c>
      <c r="BD64" s="107">
        <v>33.313120143554691</v>
      </c>
      <c r="BE64" s="108">
        <v>38.592616732007578</v>
      </c>
      <c r="BF64" s="108">
        <v>62.050000000000011</v>
      </c>
      <c r="BG64" s="109">
        <v>50.300000000000004</v>
      </c>
      <c r="BH64" s="107">
        <v>41.864904233634903</v>
      </c>
      <c r="BI64" s="108">
        <v>48.817790039265645</v>
      </c>
      <c r="BJ64" s="108">
        <v>78.490243171931681</v>
      </c>
      <c r="BK64" s="109">
        <v>63.627062555167775</v>
      </c>
      <c r="BL64" s="107">
        <v>45.479528697105962</v>
      </c>
      <c r="BM64" s="108">
        <v>53.032728096779564</v>
      </c>
      <c r="BN64" s="108">
        <v>85.267106950951558</v>
      </c>
      <c r="BO64" s="109">
        <v>69.120636255162935</v>
      </c>
    </row>
    <row r="65" spans="3:67" x14ac:dyDescent="0.25">
      <c r="C65" t="s">
        <v>12</v>
      </c>
      <c r="D65" s="107">
        <v>56.349727597656255</v>
      </c>
      <c r="E65" s="108">
        <v>65.570403749999997</v>
      </c>
      <c r="F65" s="108">
        <v>66.498248447265624</v>
      </c>
      <c r="G65" s="109">
        <v>40.979681686507909</v>
      </c>
      <c r="H65" s="107">
        <v>38.512803037109371</v>
      </c>
      <c r="I65" s="108">
        <v>36.974501874023439</v>
      </c>
      <c r="J65" s="108">
        <v>55.885414017857158</v>
      </c>
      <c r="K65" s="109">
        <v>46.126044788085935</v>
      </c>
      <c r="L65" s="107">
        <v>42.607887670634931</v>
      </c>
      <c r="M65" s="108">
        <v>47.166300820312507</v>
      </c>
      <c r="N65" s="108">
        <v>55.200128388671871</v>
      </c>
      <c r="O65" s="109">
        <v>132.34547472222224</v>
      </c>
      <c r="P65" s="107">
        <v>42.192332373046867</v>
      </c>
      <c r="Q65" s="108">
        <v>53.88701666992187</v>
      </c>
      <c r="R65" s="108">
        <v>45.337472450195328</v>
      </c>
      <c r="S65" s="109">
        <v>49.12051941503907</v>
      </c>
      <c r="T65" s="107">
        <v>67.284598143849209</v>
      </c>
      <c r="U65" s="108">
        <v>36.819058058593754</v>
      </c>
      <c r="V65" s="108">
        <v>39.89850856153847</v>
      </c>
      <c r="W65" s="109">
        <v>30.041686161132823</v>
      </c>
      <c r="X65" s="107">
        <v>31.266320479492187</v>
      </c>
      <c r="Y65" s="108">
        <v>28.707086242187497</v>
      </c>
      <c r="Z65" s="108">
        <v>40.605906624023433</v>
      </c>
      <c r="AA65" s="109">
        <v>28.828253920634918</v>
      </c>
      <c r="AB65" s="107">
        <v>33.256564817382809</v>
      </c>
      <c r="AC65" s="108">
        <v>32.387231337890618</v>
      </c>
      <c r="AD65" s="108">
        <v>34.354411583333331</v>
      </c>
      <c r="AE65" s="109">
        <v>39.044797251984129</v>
      </c>
      <c r="AF65" s="107">
        <v>49.504310380859373</v>
      </c>
      <c r="AG65" s="108">
        <v>36.593102222656263</v>
      </c>
      <c r="AH65" s="108">
        <v>44.102546398809523</v>
      </c>
      <c r="AI65" s="109">
        <v>46.726428779296853</v>
      </c>
      <c r="AJ65" s="107">
        <v>32.971834847222233</v>
      </c>
      <c r="AK65" s="108">
        <v>25.831068302734376</v>
      </c>
      <c r="AL65" s="108">
        <v>33.053068002929678</v>
      </c>
      <c r="AM65" s="109">
        <v>24.318309587890624</v>
      </c>
      <c r="AN65" s="107">
        <v>20.520972998046876</v>
      </c>
      <c r="AO65" s="108">
        <v>17.593087941406253</v>
      </c>
      <c r="AP65" s="108">
        <v>31.668320865384612</v>
      </c>
      <c r="AQ65" s="109">
        <v>25.570983962890626</v>
      </c>
      <c r="AR65" s="107">
        <v>38.091326099206348</v>
      </c>
      <c r="AS65" s="108">
        <v>27.102194334960945</v>
      </c>
      <c r="AT65" s="108">
        <v>47.423360076171889</v>
      </c>
      <c r="AU65" s="109">
        <v>53.208447581730766</v>
      </c>
      <c r="AV65" s="107">
        <v>59.631911295898448</v>
      </c>
      <c r="AW65" s="108">
        <v>69.187025800781257</v>
      </c>
      <c r="AX65" s="108">
        <v>107.16011289843746</v>
      </c>
      <c r="AY65" s="109">
        <v>73.545868700396809</v>
      </c>
      <c r="AZ65" s="107">
        <v>30.021680592773443</v>
      </c>
      <c r="BA65" s="108">
        <v>22.412589874999991</v>
      </c>
      <c r="BB65" s="108">
        <v>45.396317395833321</v>
      </c>
      <c r="BC65" s="109">
        <v>31.498514935515871</v>
      </c>
      <c r="BD65" s="107">
        <v>28.492379799804688</v>
      </c>
      <c r="BE65" s="108">
        <v>33.808531357007581</v>
      </c>
      <c r="BF65" s="108">
        <v>58.633333333333333</v>
      </c>
      <c r="BG65" s="109">
        <v>44.433333333333337</v>
      </c>
      <c r="BH65" s="107">
        <v>39.143863693435755</v>
      </c>
      <c r="BI65" s="108">
        <v>46.853794368946808</v>
      </c>
      <c r="BJ65" s="108">
        <v>81.257423286341492</v>
      </c>
      <c r="BK65" s="109">
        <v>61.578251984475919</v>
      </c>
      <c r="BL65" s="107">
        <v>41.56719101606889</v>
      </c>
      <c r="BM65" s="108">
        <v>49.754429854307546</v>
      </c>
      <c r="BN65" s="108">
        <v>86.287926548838257</v>
      </c>
      <c r="BO65" s="109">
        <v>65.390452580785293</v>
      </c>
    </row>
    <row r="66" spans="3:67" x14ac:dyDescent="0.25">
      <c r="C66" t="s">
        <v>13</v>
      </c>
      <c r="D66" s="107">
        <v>41.451086953125014</v>
      </c>
      <c r="E66" s="108">
        <v>51.097349746093769</v>
      </c>
      <c r="F66" s="108">
        <v>50.310268931640643</v>
      </c>
      <c r="G66" s="109">
        <v>37.410923978174601</v>
      </c>
      <c r="H66" s="107">
        <v>32.153772558593758</v>
      </c>
      <c r="I66" s="108">
        <v>34.709669501953115</v>
      </c>
      <c r="J66" s="108">
        <v>44.635360783730164</v>
      </c>
      <c r="K66" s="109">
        <v>38.089502343749999</v>
      </c>
      <c r="L66" s="107">
        <v>38.017161944444446</v>
      </c>
      <c r="M66" s="108">
        <v>41.806956083984382</v>
      </c>
      <c r="N66" s="108">
        <v>41.772417763671875</v>
      </c>
      <c r="O66" s="109">
        <v>79.351583283730179</v>
      </c>
      <c r="P66" s="107">
        <v>36.018476103515631</v>
      </c>
      <c r="Q66" s="108">
        <v>50.487840683593745</v>
      </c>
      <c r="R66" s="108">
        <v>38.234623320312501</v>
      </c>
      <c r="S66" s="109">
        <v>40.068190000000001</v>
      </c>
      <c r="T66" s="107">
        <v>43.107304533730151</v>
      </c>
      <c r="U66" s="108">
        <v>36.571755771484384</v>
      </c>
      <c r="V66" s="108">
        <v>35.906114451923074</v>
      </c>
      <c r="W66" s="109">
        <v>30.830603544921882</v>
      </c>
      <c r="X66" s="107">
        <v>27.466274697265614</v>
      </c>
      <c r="Y66" s="108">
        <v>31.331062939453119</v>
      </c>
      <c r="Z66" s="108">
        <v>37.764263886718759</v>
      </c>
      <c r="AA66" s="109">
        <v>32.442105446428577</v>
      </c>
      <c r="AB66" s="107">
        <v>30.987138056640639</v>
      </c>
      <c r="AC66" s="108">
        <v>33.05749094726562</v>
      </c>
      <c r="AD66" s="108">
        <v>36.590803630952387</v>
      </c>
      <c r="AE66" s="109">
        <v>32.10412905753968</v>
      </c>
      <c r="AF66" s="107">
        <v>39.582188720703122</v>
      </c>
      <c r="AG66" s="108">
        <v>41.904238066406236</v>
      </c>
      <c r="AH66" s="108">
        <v>39.421229632936502</v>
      </c>
      <c r="AI66" s="109">
        <v>38.257041064453134</v>
      </c>
      <c r="AJ66" s="107">
        <v>31.43610829365079</v>
      </c>
      <c r="AK66" s="108">
        <v>28.377392499999996</v>
      </c>
      <c r="AL66" s="108">
        <v>33.447289902343748</v>
      </c>
      <c r="AM66" s="109">
        <v>31.069310029296872</v>
      </c>
      <c r="AN66" s="107">
        <v>22.059420146484378</v>
      </c>
      <c r="AO66" s="108">
        <v>22.001264811523441</v>
      </c>
      <c r="AP66" s="108">
        <v>28.843564067307685</v>
      </c>
      <c r="AQ66" s="109">
        <v>26.351193564453119</v>
      </c>
      <c r="AR66" s="107">
        <v>34.621264027777784</v>
      </c>
      <c r="AS66" s="108">
        <v>35.869099208984373</v>
      </c>
      <c r="AT66" s="108">
        <v>50.634066757812512</v>
      </c>
      <c r="AU66" s="109">
        <v>59.692029105769222</v>
      </c>
      <c r="AV66" s="107">
        <v>47.353783564453131</v>
      </c>
      <c r="AW66" s="108">
        <v>97.966579931640638</v>
      </c>
      <c r="AX66" s="108">
        <v>102.98987596679692</v>
      </c>
      <c r="AY66" s="109">
        <v>77.87553788690478</v>
      </c>
      <c r="AZ66" s="107">
        <v>32.045521113281254</v>
      </c>
      <c r="BA66" s="108">
        <v>33.401455742187494</v>
      </c>
      <c r="BB66" s="108">
        <v>37.978551195436516</v>
      </c>
      <c r="BC66" s="109">
        <v>35.663822867063494</v>
      </c>
      <c r="BD66" s="107">
        <v>31.404473124023443</v>
      </c>
      <c r="BE66" s="108">
        <v>36.525705160984849</v>
      </c>
      <c r="BF66" s="108">
        <v>59.550000000000004</v>
      </c>
      <c r="BG66" s="109">
        <v>46.449999999999996</v>
      </c>
      <c r="BH66" s="107">
        <v>38.603722507619985</v>
      </c>
      <c r="BI66" s="108">
        <v>45.16742829047238</v>
      </c>
      <c r="BJ66" s="108">
        <v>73.639108207298108</v>
      </c>
      <c r="BK66" s="109">
        <v>57.439740994609529</v>
      </c>
      <c r="BL66" s="107">
        <v>40.81555319912011</v>
      </c>
      <c r="BM66" s="108">
        <v>47.755331675418695</v>
      </c>
      <c r="BN66" s="108">
        <v>77.858318921898245</v>
      </c>
      <c r="BO66" s="109">
        <v>60.73079620356296</v>
      </c>
    </row>
    <row r="67" spans="3:67" x14ac:dyDescent="0.25">
      <c r="C67" t="s">
        <v>14</v>
      </c>
      <c r="D67" s="107">
        <v>41.488797080078136</v>
      </c>
      <c r="E67" s="108">
        <v>50.985843300781255</v>
      </c>
      <c r="F67" s="108">
        <v>50.268828780273431</v>
      </c>
      <c r="G67" s="109">
        <v>37.525041934523813</v>
      </c>
      <c r="H67" s="107">
        <v>32.221690878906244</v>
      </c>
      <c r="I67" s="108">
        <v>34.827419687500004</v>
      </c>
      <c r="J67" s="108">
        <v>44.932445357142846</v>
      </c>
      <c r="K67" s="109">
        <v>38.199312265625004</v>
      </c>
      <c r="L67" s="107">
        <v>37.715632986111103</v>
      </c>
      <c r="M67" s="108">
        <v>41.987925156249993</v>
      </c>
      <c r="N67" s="108">
        <v>41.924110576171877</v>
      </c>
      <c r="O67" s="109">
        <v>79.291454067460307</v>
      </c>
      <c r="P67" s="107">
        <v>36.103588144531251</v>
      </c>
      <c r="Q67" s="108">
        <v>50.610264160156234</v>
      </c>
      <c r="R67" s="108">
        <v>38.224814638671887</v>
      </c>
      <c r="S67" s="109">
        <v>39.049467128906258</v>
      </c>
      <c r="T67" s="107">
        <v>42.983203065476189</v>
      </c>
      <c r="U67" s="108">
        <v>35.431994833984376</v>
      </c>
      <c r="V67" s="108">
        <v>35.234762865384596</v>
      </c>
      <c r="W67" s="109">
        <v>30.793894384765622</v>
      </c>
      <c r="X67" s="107">
        <v>27.255926289062497</v>
      </c>
      <c r="Y67" s="108">
        <v>31.587512695312501</v>
      </c>
      <c r="Z67" s="108">
        <v>38.382545029296871</v>
      </c>
      <c r="AA67" s="109">
        <v>32.453721736111113</v>
      </c>
      <c r="AB67" s="107">
        <v>31.073804345703124</v>
      </c>
      <c r="AC67" s="108">
        <v>33.234170273437506</v>
      </c>
      <c r="AD67" s="108">
        <v>36.864877966269844</v>
      </c>
      <c r="AE67" s="109">
        <v>32.037018710317462</v>
      </c>
      <c r="AF67" s="107">
        <v>38.43211967773437</v>
      </c>
      <c r="AG67" s="108">
        <v>42.271576689453127</v>
      </c>
      <c r="AH67" s="108">
        <v>39.444371587301603</v>
      </c>
      <c r="AI67" s="109">
        <v>38.586422685546871</v>
      </c>
      <c r="AJ67" s="107">
        <v>31.493926150793651</v>
      </c>
      <c r="AK67" s="108">
        <v>28.478751738281261</v>
      </c>
      <c r="AL67" s="108">
        <v>33.813751992187498</v>
      </c>
      <c r="AM67" s="109">
        <v>31.287337099609363</v>
      </c>
      <c r="AN67" s="107">
        <v>22.100511777343751</v>
      </c>
      <c r="AO67" s="108">
        <v>22.022013418945317</v>
      </c>
      <c r="AP67" s="108">
        <v>29.212062211538452</v>
      </c>
      <c r="AQ67" s="109">
        <v>26.384724130859375</v>
      </c>
      <c r="AR67" s="107">
        <v>35.00061179563491</v>
      </c>
      <c r="AS67" s="108">
        <v>36.392821035156253</v>
      </c>
      <c r="AT67" s="108">
        <v>50.820207685546869</v>
      </c>
      <c r="AU67" s="109">
        <v>59.065737538461534</v>
      </c>
      <c r="AV67" s="107">
        <v>47.295838554687492</v>
      </c>
      <c r="AW67" s="108">
        <v>98.175654921875022</v>
      </c>
      <c r="AX67" s="108">
        <v>103.11580923828124</v>
      </c>
      <c r="AY67" s="109">
        <v>77.477740089285675</v>
      </c>
      <c r="AZ67" s="107">
        <v>31.9691290234375</v>
      </c>
      <c r="BA67" s="108">
        <v>33.341951933593734</v>
      </c>
      <c r="BB67" s="108">
        <v>38.098583238095237</v>
      </c>
      <c r="BC67" s="109">
        <v>35.485830892857145</v>
      </c>
      <c r="BD67" s="107">
        <v>31.490961844726566</v>
      </c>
      <c r="BE67" s="108">
        <v>38.199913371212119</v>
      </c>
      <c r="BF67" s="108">
        <v>62.883333333333347</v>
      </c>
      <c r="BG67" s="109">
        <v>47.85</v>
      </c>
      <c r="BH67" s="107">
        <v>38.695517106797467</v>
      </c>
      <c r="BI67" s="108">
        <v>47.220989627143481</v>
      </c>
      <c r="BJ67" s="108">
        <v>77.73350693751371</v>
      </c>
      <c r="BK67" s="109">
        <v>59.14998632854536</v>
      </c>
      <c r="BL67" s="107">
        <v>41.794516255079017</v>
      </c>
      <c r="BM67" s="108">
        <v>51.002766369695991</v>
      </c>
      <c r="BN67" s="108">
        <v>83.958932769850648</v>
      </c>
      <c r="BO67" s="109">
        <v>63.887117938574335</v>
      </c>
    </row>
    <row r="68" spans="3:67" x14ac:dyDescent="0.25">
      <c r="C68" t="s">
        <v>15</v>
      </c>
      <c r="D68" s="107">
        <v>39.612896863281264</v>
      </c>
      <c r="E68" s="108">
        <v>45.46599732519531</v>
      </c>
      <c r="F68" s="108">
        <v>47.308313137695315</v>
      </c>
      <c r="G68" s="109">
        <v>31.727422125992067</v>
      </c>
      <c r="H68" s="107">
        <v>30.441801791015621</v>
      </c>
      <c r="I68" s="108">
        <v>32.770161261718748</v>
      </c>
      <c r="J68" s="108">
        <v>44.877897271825397</v>
      </c>
      <c r="K68" s="109">
        <v>35.019350765624992</v>
      </c>
      <c r="L68" s="107">
        <v>34.838090073412694</v>
      </c>
      <c r="M68" s="108">
        <v>39.428378864257809</v>
      </c>
      <c r="N68" s="108">
        <v>41.11704862597658</v>
      </c>
      <c r="O68" s="109">
        <v>72.99622284523808</v>
      </c>
      <c r="P68" s="107">
        <v>34.355717211914069</v>
      </c>
      <c r="Q68" s="108">
        <v>48.442515457031263</v>
      </c>
      <c r="R68" s="108">
        <v>37.030601145507809</v>
      </c>
      <c r="S68" s="109">
        <v>38.673259170898433</v>
      </c>
      <c r="T68" s="107">
        <v>39.963556904761916</v>
      </c>
      <c r="U68" s="108">
        <v>30.605513267578125</v>
      </c>
      <c r="V68" s="108">
        <v>33.950207826923084</v>
      </c>
      <c r="W68" s="109">
        <v>29.947609584960937</v>
      </c>
      <c r="X68" s="107">
        <v>26.738570957031257</v>
      </c>
      <c r="Y68" s="108">
        <v>29.587132090820305</v>
      </c>
      <c r="Z68" s="108">
        <v>37.576820068359396</v>
      </c>
      <c r="AA68" s="109">
        <v>31.571357599206348</v>
      </c>
      <c r="AB68" s="107">
        <v>29.354624452148443</v>
      </c>
      <c r="AC68" s="108">
        <v>33.630935440429681</v>
      </c>
      <c r="AD68" s="108">
        <v>34.552619896825405</v>
      </c>
      <c r="AE68" s="109">
        <v>30.295690178571437</v>
      </c>
      <c r="AF68" s="107">
        <v>31.943508934570318</v>
      </c>
      <c r="AG68" s="108">
        <v>32.675592639648428</v>
      </c>
      <c r="AH68" s="108">
        <v>35.347505255952377</v>
      </c>
      <c r="AI68" s="109">
        <v>34.304644281249992</v>
      </c>
      <c r="AJ68" s="107">
        <v>28.969230282738096</v>
      </c>
      <c r="AK68" s="108">
        <v>26.528173235351556</v>
      </c>
      <c r="AL68" s="108">
        <v>29.700623769531255</v>
      </c>
      <c r="AM68" s="109">
        <v>26.234041500976559</v>
      </c>
      <c r="AN68" s="107">
        <v>21.235253418945316</v>
      </c>
      <c r="AO68" s="108">
        <v>19.739657540039055</v>
      </c>
      <c r="AP68" s="108">
        <v>25.499949344230771</v>
      </c>
      <c r="AQ68" s="109">
        <v>24.293826967773434</v>
      </c>
      <c r="AR68" s="107">
        <v>33.043639490079364</v>
      </c>
      <c r="AS68" s="108">
        <v>31.983159952148441</v>
      </c>
      <c r="AT68" s="108">
        <v>48.446931396484381</v>
      </c>
      <c r="AU68" s="109">
        <v>52.5889435298077</v>
      </c>
      <c r="AV68" s="107">
        <v>41.939459648437492</v>
      </c>
      <c r="AW68" s="108">
        <v>87.490182657226541</v>
      </c>
      <c r="AX68" s="108">
        <v>96.299498681640628</v>
      </c>
      <c r="AY68" s="109">
        <v>68.408140891865116</v>
      </c>
      <c r="AZ68" s="107">
        <v>29.547351805664064</v>
      </c>
      <c r="BA68" s="108">
        <v>28.865263314453124</v>
      </c>
      <c r="BB68" s="108">
        <v>37.521002055555542</v>
      </c>
      <c r="BC68" s="109">
        <v>31.091725743055559</v>
      </c>
      <c r="BD68" s="107">
        <v>28.589051429687494</v>
      </c>
      <c r="BE68" s="108">
        <v>31.313585550189391</v>
      </c>
      <c r="BF68" s="108">
        <v>56.383333333333333</v>
      </c>
      <c r="BG68" s="109">
        <v>40.216666666666669</v>
      </c>
      <c r="BH68" s="107">
        <v>35.213754785053723</v>
      </c>
      <c r="BI68" s="108">
        <v>38.814174030639741</v>
      </c>
      <c r="BJ68" s="108">
        <v>69.888914794503137</v>
      </c>
      <c r="BK68" s="109">
        <v>49.849823056203384</v>
      </c>
      <c r="BL68" s="107">
        <v>37.078333096227723</v>
      </c>
      <c r="BM68" s="108">
        <v>40.869395562834363</v>
      </c>
      <c r="BN68" s="108">
        <v>73.589552670604576</v>
      </c>
      <c r="BO68" s="109">
        <v>52.489385336733321</v>
      </c>
    </row>
    <row r="69" spans="3:67" x14ac:dyDescent="0.25">
      <c r="C69" t="s">
        <v>16</v>
      </c>
      <c r="D69" s="107">
        <v>49.694167480468757</v>
      </c>
      <c r="E69" s="108">
        <v>41.930664062500007</v>
      </c>
      <c r="F69" s="108">
        <v>111.00009521484377</v>
      </c>
      <c r="G69" s="109">
        <v>29.544866071428554</v>
      </c>
      <c r="H69" s="107">
        <v>25.356325683593752</v>
      </c>
      <c r="I69" s="108">
        <v>30.825715332031248</v>
      </c>
      <c r="J69" s="108">
        <v>31.618534226190476</v>
      </c>
      <c r="K69" s="109">
        <v>27.927487792968755</v>
      </c>
      <c r="L69" s="107">
        <v>28.835245535714289</v>
      </c>
      <c r="M69" s="108">
        <v>36.626384277343753</v>
      </c>
      <c r="N69" s="108">
        <v>43.148923339843755</v>
      </c>
      <c r="O69" s="109">
        <v>57.726661706349176</v>
      </c>
      <c r="P69" s="107">
        <v>36.768386230468735</v>
      </c>
      <c r="Q69" s="108">
        <v>44.823835449218755</v>
      </c>
      <c r="R69" s="108">
        <v>38.568947753906251</v>
      </c>
      <c r="S69" s="109">
        <v>33.674279785156259</v>
      </c>
      <c r="T69" s="107">
        <v>26.530957341269843</v>
      </c>
      <c r="U69" s="108">
        <v>27.875180664062505</v>
      </c>
      <c r="V69" s="108">
        <v>34.771600961538461</v>
      </c>
      <c r="W69" s="109">
        <v>23.322177734375007</v>
      </c>
      <c r="X69" s="107">
        <v>20.53059082031249</v>
      </c>
      <c r="Y69" s="108">
        <v>24.409040527343741</v>
      </c>
      <c r="Z69" s="108">
        <v>33.207656250000007</v>
      </c>
      <c r="AA69" s="109">
        <v>29.754362599206353</v>
      </c>
      <c r="AB69" s="107">
        <v>27.700273437500005</v>
      </c>
      <c r="AC69" s="108">
        <v>46.152717285156264</v>
      </c>
      <c r="AD69" s="108">
        <v>33.043561507936509</v>
      </c>
      <c r="AE69" s="109">
        <v>29.19860119047619</v>
      </c>
      <c r="AF69" s="107">
        <v>33.29329345703124</v>
      </c>
      <c r="AG69" s="108">
        <v>34.823249511718757</v>
      </c>
      <c r="AH69" s="108">
        <v>40.482115575396833</v>
      </c>
      <c r="AI69" s="109">
        <v>40.993491210937492</v>
      </c>
      <c r="AJ69" s="107">
        <v>28.242909226190456</v>
      </c>
      <c r="AK69" s="108">
        <v>31.913725585937499</v>
      </c>
      <c r="AL69" s="108">
        <v>122.40767822265624</v>
      </c>
      <c r="AM69" s="109">
        <v>25.18681396484374</v>
      </c>
      <c r="AN69" s="107">
        <v>25.389455566406252</v>
      </c>
      <c r="AO69" s="108">
        <v>24.163076171874994</v>
      </c>
      <c r="AP69" s="108">
        <v>28.463254807692316</v>
      </c>
      <c r="AQ69" s="109">
        <v>32.336191406250009</v>
      </c>
      <c r="AR69" s="107">
        <v>592.22788690476182</v>
      </c>
      <c r="AS69" s="108">
        <v>54.102773437499991</v>
      </c>
      <c r="AT69" s="108">
        <v>47.07127197265627</v>
      </c>
      <c r="AU69" s="109">
        <v>47.843759615384613</v>
      </c>
      <c r="AV69" s="107">
        <v>48.174821777343759</v>
      </c>
      <c r="AW69" s="108">
        <v>125.81371093750003</v>
      </c>
      <c r="AX69" s="108">
        <v>126.78043945312503</v>
      </c>
      <c r="AY69" s="109">
        <v>58.898390376984118</v>
      </c>
      <c r="AZ69" s="107">
        <v>27.171103515624999</v>
      </c>
      <c r="BA69" s="108">
        <v>57.526582031250008</v>
      </c>
      <c r="BB69" s="108">
        <v>190.2019746393928</v>
      </c>
      <c r="BC69" s="109">
        <v>30.498748228458048</v>
      </c>
      <c r="BD69" s="107">
        <v>26.252270507812497</v>
      </c>
      <c r="BE69" s="108">
        <v>54.867066761363638</v>
      </c>
      <c r="BF69" s="108">
        <v>148.86666666666667</v>
      </c>
      <c r="BG69" s="109">
        <v>51.233333333333327</v>
      </c>
      <c r="BH69" s="107">
        <v>27.499125130732157</v>
      </c>
      <c r="BI69" s="108">
        <v>57.810069291130468</v>
      </c>
      <c r="BJ69" s="108">
        <v>156.85169306699302</v>
      </c>
      <c r="BK69" s="109">
        <v>53.981426834744333</v>
      </c>
      <c r="BL69" s="107">
        <v>26.38362875439115</v>
      </c>
      <c r="BM69" s="108">
        <v>55.465015675653447</v>
      </c>
      <c r="BN69" s="108">
        <v>150.48903627673593</v>
      </c>
      <c r="BO69" s="109">
        <v>51.791681316019492</v>
      </c>
    </row>
    <row r="70" spans="3:67" x14ac:dyDescent="0.25">
      <c r="C70" t="s">
        <v>17</v>
      </c>
      <c r="D70" s="107">
        <v>50.755690917968764</v>
      </c>
      <c r="E70" s="108">
        <v>40.202160644531247</v>
      </c>
      <c r="F70" s="108">
        <v>106.84378173828125</v>
      </c>
      <c r="G70" s="109">
        <v>28.962276785714291</v>
      </c>
      <c r="H70" s="107">
        <v>25.273820800781262</v>
      </c>
      <c r="I70" s="108">
        <v>31.306391601562503</v>
      </c>
      <c r="J70" s="108">
        <v>32.226475694444453</v>
      </c>
      <c r="K70" s="109">
        <v>28.259047851562507</v>
      </c>
      <c r="L70" s="107">
        <v>29.044474206349211</v>
      </c>
      <c r="M70" s="108">
        <v>35.193894042968758</v>
      </c>
      <c r="N70" s="108">
        <v>38.431984863281251</v>
      </c>
      <c r="O70" s="109">
        <v>60.188559027777771</v>
      </c>
      <c r="P70" s="107">
        <v>35.855332031250001</v>
      </c>
      <c r="Q70" s="108">
        <v>40.574257812500001</v>
      </c>
      <c r="R70" s="108">
        <v>37.938735351562507</v>
      </c>
      <c r="S70" s="109">
        <v>34.462575683593748</v>
      </c>
      <c r="T70" s="107">
        <v>26.624528769841273</v>
      </c>
      <c r="U70" s="108">
        <v>27.696826171875006</v>
      </c>
      <c r="V70" s="108">
        <v>35.113086538461538</v>
      </c>
      <c r="W70" s="109">
        <v>20.858798828125007</v>
      </c>
      <c r="X70" s="107">
        <v>19.673029785156263</v>
      </c>
      <c r="Y70" s="108">
        <v>22.350983886718744</v>
      </c>
      <c r="Z70" s="108">
        <v>30.610273437499995</v>
      </c>
      <c r="AA70" s="109">
        <v>25.720223214285713</v>
      </c>
      <c r="AB70" s="107">
        <v>22.746433105468753</v>
      </c>
      <c r="AC70" s="108">
        <v>27.890290527343748</v>
      </c>
      <c r="AD70" s="108">
        <v>29.419799107142854</v>
      </c>
      <c r="AE70" s="109">
        <v>23.559124503968256</v>
      </c>
      <c r="AF70" s="107">
        <v>31.786008300781262</v>
      </c>
      <c r="AG70" s="108">
        <v>34.927832031250006</v>
      </c>
      <c r="AH70" s="108">
        <v>40.341046626984145</v>
      </c>
      <c r="AI70" s="109">
        <v>38.433217773437505</v>
      </c>
      <c r="AJ70" s="107">
        <v>28.034399801587305</v>
      </c>
      <c r="AK70" s="108">
        <v>30.218378906250006</v>
      </c>
      <c r="AL70" s="108">
        <v>122.30172851562504</v>
      </c>
      <c r="AM70" s="109">
        <v>24.505498046875001</v>
      </c>
      <c r="AN70" s="107">
        <v>24.492431640624993</v>
      </c>
      <c r="AO70" s="108">
        <v>20.057102050781253</v>
      </c>
      <c r="AP70" s="108">
        <v>27.769141826923082</v>
      </c>
      <c r="AQ70" s="109">
        <v>31.137822265625001</v>
      </c>
      <c r="AR70" s="107">
        <v>592.90912450396786</v>
      </c>
      <c r="AS70" s="108">
        <v>43.486250000000005</v>
      </c>
      <c r="AT70" s="108">
        <v>46.140817871093766</v>
      </c>
      <c r="AU70" s="109">
        <v>45.537185096153834</v>
      </c>
      <c r="AV70" s="107">
        <v>45.644868164062501</v>
      </c>
      <c r="AW70" s="108">
        <v>79.032241210937514</v>
      </c>
      <c r="AX70" s="108">
        <v>129.61944580078125</v>
      </c>
      <c r="AY70" s="109">
        <v>56.342827380952379</v>
      </c>
      <c r="AZ70" s="107">
        <v>26.897644042968754</v>
      </c>
      <c r="BA70" s="108">
        <v>54.980754394531267</v>
      </c>
      <c r="BB70" s="108">
        <v>188.28167052469132</v>
      </c>
      <c r="BC70" s="109">
        <v>29.276180594923161</v>
      </c>
      <c r="BD70" s="107">
        <v>25.473854980468751</v>
      </c>
      <c r="BE70" s="108">
        <v>49.053707386363634</v>
      </c>
      <c r="BF70" s="108">
        <v>144.66666666666666</v>
      </c>
      <c r="BG70" s="109">
        <v>46.833333333333336</v>
      </c>
      <c r="BH70" s="107">
        <v>26.816459146762618</v>
      </c>
      <c r="BI70" s="108">
        <v>52.018462151029411</v>
      </c>
      <c r="BJ70" s="108">
        <v>153.41016867988139</v>
      </c>
      <c r="BK70" s="109">
        <v>49.66389101272658</v>
      </c>
      <c r="BL70" s="107">
        <v>25.537387553783226</v>
      </c>
      <c r="BM70" s="108">
        <v>49.537324097578086</v>
      </c>
      <c r="BN70" s="108">
        <v>146.0929241563328</v>
      </c>
      <c r="BO70" s="109">
        <v>47.295059548305893</v>
      </c>
    </row>
    <row r="71" spans="3:67" x14ac:dyDescent="0.25">
      <c r="C71" t="s">
        <v>18</v>
      </c>
      <c r="D71" s="107">
        <v>55.323972167968762</v>
      </c>
      <c r="E71" s="108">
        <v>39.6252978515625</v>
      </c>
      <c r="F71" s="108">
        <v>106.81442871093749</v>
      </c>
      <c r="G71" s="109">
        <v>29.354828869047626</v>
      </c>
      <c r="H71" s="107">
        <v>25.648288574218743</v>
      </c>
      <c r="I71" s="108">
        <v>29.951386718749998</v>
      </c>
      <c r="J71" s="108">
        <v>31.210275297619049</v>
      </c>
      <c r="K71" s="109">
        <v>28.586511230468751</v>
      </c>
      <c r="L71" s="107">
        <v>28.708407738095232</v>
      </c>
      <c r="M71" s="108">
        <v>36.230866699218758</v>
      </c>
      <c r="N71" s="108">
        <v>40.352358398437502</v>
      </c>
      <c r="O71" s="109">
        <v>59.069300595238097</v>
      </c>
      <c r="P71" s="107">
        <v>36.304406738281251</v>
      </c>
      <c r="Q71" s="108">
        <v>41.673994140624984</v>
      </c>
      <c r="R71" s="108">
        <v>38.124675292968753</v>
      </c>
      <c r="S71" s="109">
        <v>34.437966308593751</v>
      </c>
      <c r="T71" s="107">
        <v>26.435344742063496</v>
      </c>
      <c r="U71" s="108">
        <v>27.865429687499994</v>
      </c>
      <c r="V71" s="108">
        <v>34.586947115384625</v>
      </c>
      <c r="W71" s="109">
        <v>23.201174316406249</v>
      </c>
      <c r="X71" s="107">
        <v>20.267778320312491</v>
      </c>
      <c r="Y71" s="108">
        <v>22.831770019531245</v>
      </c>
      <c r="Z71" s="108">
        <v>30.974855957031252</v>
      </c>
      <c r="AA71" s="109">
        <v>28.905121527777784</v>
      </c>
      <c r="AB71" s="107">
        <v>24.182224121093753</v>
      </c>
      <c r="AC71" s="108">
        <v>35.500275878906244</v>
      </c>
      <c r="AD71" s="108">
        <v>30.679335317460314</v>
      </c>
      <c r="AE71" s="109">
        <v>26.539970238095233</v>
      </c>
      <c r="AF71" s="107">
        <v>33.080983886718748</v>
      </c>
      <c r="AG71" s="108">
        <v>33.536315917968743</v>
      </c>
      <c r="AH71" s="108">
        <v>39.918117559523822</v>
      </c>
      <c r="AI71" s="109">
        <v>38.715910644531249</v>
      </c>
      <c r="AJ71" s="107">
        <v>29.056044146825403</v>
      </c>
      <c r="AK71" s="108">
        <v>29.078244628906251</v>
      </c>
      <c r="AL71" s="108">
        <v>119.47083740234378</v>
      </c>
      <c r="AM71" s="109">
        <v>25.04742431640625</v>
      </c>
      <c r="AN71" s="107">
        <v>24.259626464843752</v>
      </c>
      <c r="AO71" s="108">
        <v>22.036308593749997</v>
      </c>
      <c r="AP71" s="108">
        <v>26.663098557692305</v>
      </c>
      <c r="AQ71" s="109">
        <v>31.141801757812498</v>
      </c>
      <c r="AR71" s="107">
        <v>586.04110863095229</v>
      </c>
      <c r="AS71" s="108">
        <v>42.596975097656241</v>
      </c>
      <c r="AT71" s="108">
        <v>43.886821289062496</v>
      </c>
      <c r="AU71" s="109">
        <v>43.671050480769225</v>
      </c>
      <c r="AV71" s="107">
        <v>42.868159179687488</v>
      </c>
      <c r="AW71" s="108">
        <v>85.360087890624996</v>
      </c>
      <c r="AX71" s="108">
        <v>118.90484375</v>
      </c>
      <c r="AY71" s="109">
        <v>56.166865079365074</v>
      </c>
      <c r="AZ71" s="107">
        <v>25.853935546875</v>
      </c>
      <c r="BA71" s="108">
        <v>54.408579101562502</v>
      </c>
      <c r="BB71" s="108">
        <v>166.00970612087426</v>
      </c>
      <c r="BC71" s="109">
        <v>29.801390424225247</v>
      </c>
      <c r="BD71" s="107">
        <v>25.633010253906257</v>
      </c>
      <c r="BE71" s="108">
        <v>48.830248579545447</v>
      </c>
      <c r="BF71" s="108">
        <v>138</v>
      </c>
      <c r="BG71" s="109">
        <v>47.300000000000004</v>
      </c>
      <c r="BH71" s="107">
        <v>27.155142841019426</v>
      </c>
      <c r="BI71" s="108">
        <v>52.053947320776842</v>
      </c>
      <c r="BJ71" s="108">
        <v>147.11055010431147</v>
      </c>
      <c r="BK71" s="109">
        <v>50.422674057492259</v>
      </c>
      <c r="BL71" s="107">
        <v>26.005817723913015</v>
      </c>
      <c r="BM71" s="108">
        <v>49.850795253024479</v>
      </c>
      <c r="BN71" s="108">
        <v>140.88418439465207</v>
      </c>
      <c r="BO71" s="109">
        <v>48.28856465121045</v>
      </c>
    </row>
    <row r="72" spans="3:67" x14ac:dyDescent="0.25">
      <c r="C72" t="s">
        <v>19</v>
      </c>
      <c r="D72" s="107">
        <v>32.430468750000003</v>
      </c>
      <c r="E72" s="108">
        <v>36.866093749999997</v>
      </c>
      <c r="F72" s="108">
        <v>42.871093750000007</v>
      </c>
      <c r="G72" s="109">
        <v>33.560156250000006</v>
      </c>
      <c r="H72" s="107">
        <v>25.353281250000002</v>
      </c>
      <c r="I72" s="108">
        <v>25.953076923076935</v>
      </c>
      <c r="J72" s="108">
        <v>36.29349206349206</v>
      </c>
      <c r="K72" s="109">
        <v>31.014769230769229</v>
      </c>
      <c r="L72" s="107">
        <v>32.511999999999993</v>
      </c>
      <c r="M72" s="108">
        <v>38.131384615384611</v>
      </c>
      <c r="N72" s="108">
        <v>42.04296875</v>
      </c>
      <c r="O72" s="109">
        <v>47.590967741935479</v>
      </c>
      <c r="P72" s="107">
        <v>37.624062500000001</v>
      </c>
      <c r="Q72" s="108">
        <v>42.762769230769244</v>
      </c>
      <c r="R72" s="108">
        <v>43.211212121212121</v>
      </c>
      <c r="S72" s="109">
        <v>36.127031249999987</v>
      </c>
      <c r="T72" s="107">
        <v>25.419180327868858</v>
      </c>
      <c r="U72" s="108">
        <v>26.831111111111106</v>
      </c>
      <c r="V72" s="108">
        <v>33.160312500000011</v>
      </c>
      <c r="W72" s="109">
        <v>23.980158730158735</v>
      </c>
      <c r="X72" s="107">
        <v>19.007377049180324</v>
      </c>
      <c r="Y72" s="108">
        <v>22.532187499999996</v>
      </c>
      <c r="Z72" s="108">
        <v>34.896093749999999</v>
      </c>
      <c r="AA72" s="109">
        <v>25.215322580645164</v>
      </c>
      <c r="AB72" s="107">
        <v>23.400322580645167</v>
      </c>
      <c r="AC72" s="108">
        <v>32.938906250000002</v>
      </c>
      <c r="AD72" s="108">
        <v>44.240952380952386</v>
      </c>
      <c r="AE72" s="109">
        <v>30.908548387096779</v>
      </c>
      <c r="AF72" s="107">
        <v>26.38622950819672</v>
      </c>
      <c r="AG72" s="108">
        <v>25.705625000000001</v>
      </c>
      <c r="AH72" s="108">
        <v>69.31</v>
      </c>
      <c r="AI72" s="109">
        <v>42.254262295081972</v>
      </c>
      <c r="AJ72" s="107">
        <v>43.625409836065586</v>
      </c>
      <c r="AK72" s="108">
        <v>18.291875000000005</v>
      </c>
      <c r="AL72" s="108">
        <v>42.098253968253964</v>
      </c>
      <c r="AM72" s="109">
        <v>36.370645161290319</v>
      </c>
      <c r="AN72" s="107">
        <v>22.147419354838707</v>
      </c>
      <c r="AO72" s="108">
        <v>19.698437499999997</v>
      </c>
      <c r="AP72" s="108">
        <v>80.149062499999999</v>
      </c>
      <c r="AQ72" s="109">
        <v>36.306984126984119</v>
      </c>
      <c r="AR72" s="107">
        <v>40.704918032786885</v>
      </c>
      <c r="AS72" s="108">
        <v>47.497142857142869</v>
      </c>
      <c r="AT72" s="108">
        <v>79.662968750000005</v>
      </c>
      <c r="AU72" s="109">
        <v>53.675483870967746</v>
      </c>
      <c r="AV72" s="107">
        <v>38.835483870967742</v>
      </c>
      <c r="AW72" s="108">
        <v>60.592741935483872</v>
      </c>
      <c r="AX72" s="108">
        <v>128.47765625</v>
      </c>
      <c r="AY72" s="109">
        <v>131.93573770491804</v>
      </c>
      <c r="AZ72" s="107">
        <v>83.312096774193549</v>
      </c>
      <c r="BA72" s="108">
        <v>30.681269841269842</v>
      </c>
      <c r="BB72" s="108">
        <v>72.059838709677422</v>
      </c>
      <c r="BC72" s="109">
        <v>50.106721311475411</v>
      </c>
      <c r="BD72" s="107">
        <v>29.977704918032785</v>
      </c>
      <c r="BE72" s="108">
        <v>21.293181818181818</v>
      </c>
      <c r="BF72" s="108">
        <v>109.55</v>
      </c>
      <c r="BG72" s="109">
        <v>54.75</v>
      </c>
      <c r="BH72" s="107">
        <v>37.4033966412293</v>
      </c>
      <c r="BI72" s="108">
        <v>26.89241837435646</v>
      </c>
      <c r="BJ72" s="108">
        <v>138.35717264176859</v>
      </c>
      <c r="BK72" s="109">
        <v>69.147012342645681</v>
      </c>
      <c r="BL72" s="107">
        <v>37.568533050241342</v>
      </c>
      <c r="BM72" s="108">
        <v>27.01114869830505</v>
      </c>
      <c r="BN72" s="108">
        <v>138.96802108610311</v>
      </c>
      <c r="BO72" s="109">
        <v>69.452297165350515</v>
      </c>
    </row>
    <row r="73" spans="3:67" x14ac:dyDescent="0.25">
      <c r="C73" t="s">
        <v>20</v>
      </c>
      <c r="D73" s="107">
        <v>30.515116445312522</v>
      </c>
      <c r="E73" s="108">
        <v>33.011711513798716</v>
      </c>
      <c r="F73" s="108">
        <v>42.068564527191569</v>
      </c>
      <c r="G73" s="109">
        <v>32.950429456168834</v>
      </c>
      <c r="H73" s="107">
        <v>25.307843413149342</v>
      </c>
      <c r="I73" s="108">
        <v>22.80274092532467</v>
      </c>
      <c r="J73" s="108">
        <v>35.896205914884867</v>
      </c>
      <c r="K73" s="109">
        <v>42.475329612418847</v>
      </c>
      <c r="L73" s="107">
        <v>42.911978651315792</v>
      </c>
      <c r="M73" s="108">
        <v>45.579805629058441</v>
      </c>
      <c r="N73" s="108">
        <v>48.084160511363628</v>
      </c>
      <c r="O73" s="109">
        <v>53.600572129934207</v>
      </c>
      <c r="P73" s="107">
        <v>45.337906345373376</v>
      </c>
      <c r="Q73" s="108">
        <v>40.900113140016224</v>
      </c>
      <c r="R73" s="108">
        <v>46.183565756087653</v>
      </c>
      <c r="S73" s="109">
        <v>41.445947460091979</v>
      </c>
      <c r="T73" s="107">
        <v>28.829850453771133</v>
      </c>
      <c r="U73" s="108">
        <v>29.03807379386982</v>
      </c>
      <c r="V73" s="108">
        <v>35.943119470128089</v>
      </c>
      <c r="W73" s="109">
        <v>32.371010031004026</v>
      </c>
      <c r="X73" s="107">
        <v>21.909217117018397</v>
      </c>
      <c r="Y73" s="108">
        <v>21.147224745129879</v>
      </c>
      <c r="Z73" s="108">
        <v>35.217113687499996</v>
      </c>
      <c r="AA73" s="109">
        <v>32.804729900021115</v>
      </c>
      <c r="AB73" s="107">
        <v>27.142658075794955</v>
      </c>
      <c r="AC73" s="108">
        <v>32.083006007440474</v>
      </c>
      <c r="AD73" s="108">
        <v>43.369349766774882</v>
      </c>
      <c r="AE73" s="109">
        <v>48.204032704495603</v>
      </c>
      <c r="AF73" s="107">
        <v>34.474168695211048</v>
      </c>
      <c r="AG73" s="108">
        <v>23.95443183306277</v>
      </c>
      <c r="AH73" s="108">
        <v>51.003023567139003</v>
      </c>
      <c r="AI73" s="109">
        <v>44.596426804537728</v>
      </c>
      <c r="AJ73" s="107">
        <v>46.967846090536931</v>
      </c>
      <c r="AK73" s="108">
        <v>25.542138015982516</v>
      </c>
      <c r="AL73" s="108">
        <v>34.362179649943805</v>
      </c>
      <c r="AM73" s="109">
        <v>41.878156186230292</v>
      </c>
      <c r="AN73" s="107">
        <v>27.10574382224026</v>
      </c>
      <c r="AO73" s="108">
        <v>18.219003655979439</v>
      </c>
      <c r="AP73" s="108">
        <v>48.38556450282158</v>
      </c>
      <c r="AQ73" s="109">
        <v>47.105372697345658</v>
      </c>
      <c r="AR73" s="107">
        <v>42.414147915021921</v>
      </c>
      <c r="AS73" s="108">
        <v>32.446672731906489</v>
      </c>
      <c r="AT73" s="108">
        <v>69.334495088435375</v>
      </c>
      <c r="AU73" s="109">
        <v>57.389233285173155</v>
      </c>
      <c r="AV73" s="107">
        <v>43.412753255893655</v>
      </c>
      <c r="AW73" s="108">
        <v>56.398528106872277</v>
      </c>
      <c r="AX73" s="108">
        <v>114.02364096827132</v>
      </c>
      <c r="AY73" s="109">
        <v>131.23822152941133</v>
      </c>
      <c r="AZ73" s="107">
        <v>84.408843338541644</v>
      </c>
      <c r="BA73" s="108">
        <v>26.055953528440309</v>
      </c>
      <c r="BB73" s="108">
        <v>64.766740272752131</v>
      </c>
      <c r="BC73" s="109">
        <v>46.365914146616539</v>
      </c>
      <c r="BD73" s="107">
        <v>31.473864601859855</v>
      </c>
      <c r="BE73" s="108">
        <v>8.6197923092948709</v>
      </c>
      <c r="BF73" s="108">
        <v>65.8</v>
      </c>
      <c r="BG73" s="109">
        <v>54.75</v>
      </c>
      <c r="BH73" s="107">
        <v>40.309321094565327</v>
      </c>
      <c r="BI73" s="108">
        <v>11.056913649989195</v>
      </c>
      <c r="BJ73" s="108">
        <v>84.403996298700235</v>
      </c>
      <c r="BK73" s="109">
        <v>70.229768956745232</v>
      </c>
      <c r="BL73" s="107">
        <v>41.639920043317971</v>
      </c>
      <c r="BM73" s="108">
        <v>11.421899149115053</v>
      </c>
      <c r="BN73" s="108">
        <v>87.190147632832094</v>
      </c>
      <c r="BO73" s="109">
        <v>72.548033174734883</v>
      </c>
    </row>
    <row r="74" spans="3:67" x14ac:dyDescent="0.25">
      <c r="C74" t="s">
        <v>21</v>
      </c>
      <c r="D74" s="107">
        <v>30.24114454975328</v>
      </c>
      <c r="E74" s="108">
        <v>31.694038658685063</v>
      </c>
      <c r="F74" s="108">
        <v>41.130466008522738</v>
      </c>
      <c r="G74" s="109">
        <v>32.790118090503235</v>
      </c>
      <c r="H74" s="107">
        <v>25.843621564529215</v>
      </c>
      <c r="I74" s="108">
        <v>26.883430413961047</v>
      </c>
      <c r="J74" s="108">
        <v>32.092331157483542</v>
      </c>
      <c r="K74" s="109">
        <v>35.354487767857144</v>
      </c>
      <c r="L74" s="107">
        <v>38.341412275904609</v>
      </c>
      <c r="M74" s="108">
        <v>53.221846702516224</v>
      </c>
      <c r="N74" s="108">
        <v>43.118555716314944</v>
      </c>
      <c r="O74" s="109">
        <v>54.453317212171072</v>
      </c>
      <c r="P74" s="107">
        <v>47.006490310470774</v>
      </c>
      <c r="Q74" s="108">
        <v>43.800113599161243</v>
      </c>
      <c r="R74" s="108">
        <v>46.219888831825891</v>
      </c>
      <c r="S74" s="109">
        <v>42.75064843777055</v>
      </c>
      <c r="T74" s="107">
        <v>30.826490857906492</v>
      </c>
      <c r="U74" s="108">
        <v>36.661938962643021</v>
      </c>
      <c r="V74" s="108">
        <v>36.175045137228835</v>
      </c>
      <c r="W74" s="109">
        <v>31.309796634826355</v>
      </c>
      <c r="X74" s="107">
        <v>23.238426047889615</v>
      </c>
      <c r="Y74" s="108">
        <v>25.958117773133125</v>
      </c>
      <c r="Z74" s="108">
        <v>35.980332387929025</v>
      </c>
      <c r="AA74" s="109">
        <v>36.942520320092108</v>
      </c>
      <c r="AB74" s="107">
        <v>29.92399809991776</v>
      </c>
      <c r="AC74" s="108">
        <v>36.316399976055187</v>
      </c>
      <c r="AD74" s="108">
        <v>47.946497504058435</v>
      </c>
      <c r="AE74" s="109">
        <v>48.663296223684213</v>
      </c>
      <c r="AF74" s="107">
        <v>34.379404778409103</v>
      </c>
      <c r="AG74" s="108">
        <v>24.592463957792205</v>
      </c>
      <c r="AH74" s="108">
        <v>46.127856415169539</v>
      </c>
      <c r="AI74" s="109">
        <v>50.82164682193104</v>
      </c>
      <c r="AJ74" s="107">
        <v>49.302507014601495</v>
      </c>
      <c r="AK74" s="108">
        <v>25.533130753188782</v>
      </c>
      <c r="AL74" s="108">
        <v>34.120838849098824</v>
      </c>
      <c r="AM74" s="109">
        <v>41.649988198621543</v>
      </c>
      <c r="AN74" s="107">
        <v>28.089764534496751</v>
      </c>
      <c r="AO74" s="108">
        <v>22.089160764880951</v>
      </c>
      <c r="AP74" s="108">
        <v>48.430959979746447</v>
      </c>
      <c r="AQ74" s="109">
        <v>51.239563331376146</v>
      </c>
      <c r="AR74" s="107">
        <v>40.946394117735728</v>
      </c>
      <c r="AS74" s="108">
        <v>38.773463049617078</v>
      </c>
      <c r="AT74" s="108">
        <v>71.632068287646845</v>
      </c>
      <c r="AU74" s="109">
        <v>63.719225430330077</v>
      </c>
      <c r="AV74" s="107">
        <v>49.573147868009848</v>
      </c>
      <c r="AW74" s="108">
        <v>71.314105313176398</v>
      </c>
      <c r="AX74" s="108">
        <v>115.01298944134786</v>
      </c>
      <c r="AY74" s="109">
        <v>142.78170924232185</v>
      </c>
      <c r="AZ74" s="107">
        <v>97.02910540609976</v>
      </c>
      <c r="BA74" s="108">
        <v>31.806113050472256</v>
      </c>
      <c r="BB74" s="108">
        <v>51.080826769918865</v>
      </c>
      <c r="BC74" s="109">
        <v>59.518755768829628</v>
      </c>
      <c r="BD74" s="107">
        <v>47.753594561602227</v>
      </c>
      <c r="BE74" s="108">
        <v>22.522428922008544</v>
      </c>
      <c r="BF74" s="108">
        <v>59.949999999999996</v>
      </c>
      <c r="BG74" s="109">
        <v>67.95</v>
      </c>
      <c r="BH74" s="107">
        <v>61.329570912853882</v>
      </c>
      <c r="BI74" s="108">
        <v>28.997859592280147</v>
      </c>
      <c r="BJ74" s="108">
        <v>77.186243480978987</v>
      </c>
      <c r="BK74" s="109">
        <v>87.48632601388698</v>
      </c>
      <c r="BL74" s="107">
        <v>63.722626719061317</v>
      </c>
      <c r="BM74" s="108">
        <v>30.129344701861275</v>
      </c>
      <c r="BN74" s="108">
        <v>80.198020432491688</v>
      </c>
      <c r="BO74" s="109">
        <v>90.900008146585705</v>
      </c>
    </row>
    <row r="75" spans="3:67" x14ac:dyDescent="0.25">
      <c r="C75" t="s">
        <v>22</v>
      </c>
      <c r="D75" s="107">
        <v>26.340468749999999</v>
      </c>
      <c r="E75" s="108">
        <v>27.286249999999995</v>
      </c>
      <c r="F75" s="108">
        <v>33.397500000000015</v>
      </c>
      <c r="G75" s="109">
        <v>30.906093749999997</v>
      </c>
      <c r="H75" s="107">
        <v>23.229218750000008</v>
      </c>
      <c r="I75" s="108">
        <v>12.017692307692307</v>
      </c>
      <c r="J75" s="108">
        <v>26.9057142857143</v>
      </c>
      <c r="K75" s="109">
        <v>29.446000000000005</v>
      </c>
      <c r="L75" s="107">
        <v>30.320000000000007</v>
      </c>
      <c r="M75" s="108">
        <v>33.439538461538454</v>
      </c>
      <c r="N75" s="108">
        <v>42.477500000000006</v>
      </c>
      <c r="O75" s="109">
        <v>47.446612903225798</v>
      </c>
      <c r="P75" s="107">
        <v>43.603750000000005</v>
      </c>
      <c r="Q75" s="108">
        <v>33.838307692307687</v>
      </c>
      <c r="R75" s="108">
        <v>40.372878787878776</v>
      </c>
      <c r="S75" s="109">
        <v>32.739843750000006</v>
      </c>
      <c r="T75" s="107">
        <v>20.717049180327873</v>
      </c>
      <c r="U75" s="108">
        <v>28.650317460317464</v>
      </c>
      <c r="V75" s="108">
        <v>33.344531250000003</v>
      </c>
      <c r="W75" s="109">
        <v>21.909841269841273</v>
      </c>
      <c r="X75" s="107">
        <v>17.523114754098362</v>
      </c>
      <c r="Y75" s="108">
        <v>16.668125</v>
      </c>
      <c r="Z75" s="108">
        <v>32.027968749999999</v>
      </c>
      <c r="AA75" s="109">
        <v>25.693387096774195</v>
      </c>
      <c r="AB75" s="107">
        <v>23.318548387096779</v>
      </c>
      <c r="AC75" s="108">
        <v>16.274843750000002</v>
      </c>
      <c r="AD75" s="108">
        <v>38.276507936507947</v>
      </c>
      <c r="AE75" s="109">
        <v>27.148064516129033</v>
      </c>
      <c r="AF75" s="107">
        <v>21.811311475409838</v>
      </c>
      <c r="AG75" s="108">
        <v>18.307187499999998</v>
      </c>
      <c r="AH75" s="108">
        <v>61.464285714285715</v>
      </c>
      <c r="AI75" s="109">
        <v>50.383770491803276</v>
      </c>
      <c r="AJ75" s="107">
        <v>54.606393442622952</v>
      </c>
      <c r="AK75" s="108">
        <v>18.408906250000005</v>
      </c>
      <c r="AL75" s="108">
        <v>32.749841269841276</v>
      </c>
      <c r="AM75" s="109">
        <v>37.336612903225813</v>
      </c>
      <c r="AN75" s="107">
        <v>22.91403225806452</v>
      </c>
      <c r="AO75" s="108">
        <v>14.525312500000002</v>
      </c>
      <c r="AP75" s="108">
        <v>33.355468750000007</v>
      </c>
      <c r="AQ75" s="109">
        <v>31.174444444444458</v>
      </c>
      <c r="AR75" s="107">
        <v>34.119016393442628</v>
      </c>
      <c r="AS75" s="108">
        <v>52.180634920634937</v>
      </c>
      <c r="AT75" s="108">
        <v>91.340156250000007</v>
      </c>
      <c r="AU75" s="109">
        <v>60.617903225806465</v>
      </c>
      <c r="AV75" s="107">
        <v>39.609354838709677</v>
      </c>
      <c r="AW75" s="108">
        <v>59.141451612903232</v>
      </c>
      <c r="AX75" s="108">
        <v>138.03187499999999</v>
      </c>
      <c r="AY75" s="109">
        <v>153.20704918032789</v>
      </c>
      <c r="AZ75" s="107">
        <v>105.23758064516129</v>
      </c>
      <c r="BA75" s="108">
        <v>56.390793650793647</v>
      </c>
      <c r="BB75" s="108">
        <v>82.571129032258057</v>
      </c>
      <c r="BC75" s="109">
        <v>80.132786885245892</v>
      </c>
      <c r="BD75" s="107">
        <v>101.53409836065575</v>
      </c>
      <c r="BE75" s="108">
        <v>31.725303030303035</v>
      </c>
      <c r="BF75" s="108">
        <v>109.8</v>
      </c>
      <c r="BG75" s="109">
        <v>84.75</v>
      </c>
      <c r="BH75" s="107">
        <v>108.66780754225714</v>
      </c>
      <c r="BI75" s="108">
        <v>34.565453709278394</v>
      </c>
      <c r="BJ75" s="108">
        <v>119.62964746636544</v>
      </c>
      <c r="BK75" s="109">
        <v>92.337091282099024</v>
      </c>
      <c r="BL75" s="107">
        <v>106.83220268512441</v>
      </c>
      <c r="BM75" s="108">
        <v>33.981577802027076</v>
      </c>
      <c r="BN75" s="108">
        <v>117.60887639429846</v>
      </c>
      <c r="BO75" s="109">
        <v>90.777343118550064</v>
      </c>
    </row>
    <row r="76" spans="3:67" x14ac:dyDescent="0.25">
      <c r="C76" t="s">
        <v>23</v>
      </c>
      <c r="D76" s="107">
        <v>44.045515136718748</v>
      </c>
      <c r="E76" s="108">
        <v>32.527326660156241</v>
      </c>
      <c r="F76" s="108">
        <v>107.99931884765626</v>
      </c>
      <c r="G76" s="109">
        <v>25.141532738095243</v>
      </c>
      <c r="H76" s="107">
        <v>22.386582031250001</v>
      </c>
      <c r="I76" s="108">
        <v>30.746459960937493</v>
      </c>
      <c r="J76" s="108">
        <v>32.112728174603177</v>
      </c>
      <c r="K76" s="109">
        <v>28.814428710937499</v>
      </c>
      <c r="L76" s="107">
        <v>26.779603174603171</v>
      </c>
      <c r="M76" s="108">
        <v>33.793859863281241</v>
      </c>
      <c r="N76" s="108">
        <v>38.988039550781245</v>
      </c>
      <c r="O76" s="109">
        <v>60.688715277777789</v>
      </c>
      <c r="P76" s="107">
        <v>36.511301269531252</v>
      </c>
      <c r="Q76" s="108">
        <v>40.715671386718761</v>
      </c>
      <c r="R76" s="108">
        <v>37.175153808593763</v>
      </c>
      <c r="S76" s="109">
        <v>34.137402343750011</v>
      </c>
      <c r="T76" s="107">
        <v>26.590034722222224</v>
      </c>
      <c r="U76" s="108">
        <v>28.270329589843762</v>
      </c>
      <c r="V76" s="108">
        <v>35.146574519230789</v>
      </c>
      <c r="W76" s="109">
        <v>20.522995605468758</v>
      </c>
      <c r="X76" s="107">
        <v>18.654545898437501</v>
      </c>
      <c r="Y76" s="108">
        <v>20.813508300781255</v>
      </c>
      <c r="Z76" s="108">
        <v>30.13850830078125</v>
      </c>
      <c r="AA76" s="109">
        <v>26.087876984126982</v>
      </c>
      <c r="AB76" s="107">
        <v>21.219472656250005</v>
      </c>
      <c r="AC76" s="108">
        <v>26.678684082031253</v>
      </c>
      <c r="AD76" s="108">
        <v>28.632579365079362</v>
      </c>
      <c r="AE76" s="109">
        <v>23.46141865079365</v>
      </c>
      <c r="AF76" s="107">
        <v>30.740278320312502</v>
      </c>
      <c r="AG76" s="108">
        <v>27.703237304687502</v>
      </c>
      <c r="AH76" s="108">
        <v>38.82652777777777</v>
      </c>
      <c r="AI76" s="109">
        <v>37.711459960937503</v>
      </c>
      <c r="AJ76" s="107">
        <v>26.861669146825392</v>
      </c>
      <c r="AK76" s="108">
        <v>27.728427734374993</v>
      </c>
      <c r="AL76" s="108">
        <v>121.16230224609372</v>
      </c>
      <c r="AM76" s="109">
        <v>23.135541992187505</v>
      </c>
      <c r="AN76" s="107">
        <v>24.211206054687501</v>
      </c>
      <c r="AO76" s="108">
        <v>18.436269531250002</v>
      </c>
      <c r="AP76" s="108">
        <v>26.704420673076925</v>
      </c>
      <c r="AQ76" s="109">
        <v>27.071333007812495</v>
      </c>
      <c r="AR76" s="107">
        <v>591.3361210317463</v>
      </c>
      <c r="AS76" s="108">
        <v>38.031225585937513</v>
      </c>
      <c r="AT76" s="108">
        <v>42.941721191406252</v>
      </c>
      <c r="AU76" s="109">
        <v>37.202437499999988</v>
      </c>
      <c r="AV76" s="107">
        <v>39.952670898437503</v>
      </c>
      <c r="AW76" s="108">
        <v>66.672590332031248</v>
      </c>
      <c r="AX76" s="108">
        <v>128.17138671874997</v>
      </c>
      <c r="AY76" s="109">
        <v>51.523625992063501</v>
      </c>
      <c r="AZ76" s="107">
        <v>24.053054199218753</v>
      </c>
      <c r="BA76" s="108">
        <v>53.814145507812498</v>
      </c>
      <c r="BB76" s="108">
        <v>185.39870000314943</v>
      </c>
      <c r="BC76" s="109">
        <v>31.175121409674986</v>
      </c>
      <c r="BD76" s="107">
        <v>27.790742187500005</v>
      </c>
      <c r="BE76" s="108">
        <v>49.632563920454544</v>
      </c>
      <c r="BF76" s="108">
        <v>147.33333333333334</v>
      </c>
      <c r="BG76" s="109">
        <v>48.966666666666669</v>
      </c>
      <c r="BH76" s="107">
        <v>30.007561961864369</v>
      </c>
      <c r="BI76" s="108">
        <v>53.871093555019215</v>
      </c>
      <c r="BJ76" s="108">
        <v>159.91532890570332</v>
      </c>
      <c r="BK76" s="109">
        <v>53.148329901013078</v>
      </c>
      <c r="BL76" s="107">
        <v>28.473582684558163</v>
      </c>
      <c r="BM76" s="108">
        <v>51.117216340194354</v>
      </c>
      <c r="BN76" s="108">
        <v>151.7404961426582</v>
      </c>
      <c r="BO76" s="109">
        <v>50.431400188589265</v>
      </c>
    </row>
    <row r="77" spans="3:67" x14ac:dyDescent="0.25">
      <c r="C77" t="s">
        <v>24</v>
      </c>
      <c r="D77" s="107"/>
      <c r="E77" s="108"/>
      <c r="F77" s="108"/>
      <c r="G77" s="109"/>
      <c r="H77" s="107"/>
      <c r="I77" s="108"/>
      <c r="J77" s="108"/>
      <c r="K77" s="109"/>
      <c r="L77" s="107"/>
      <c r="M77" s="108"/>
      <c r="N77" s="108"/>
      <c r="O77" s="109"/>
      <c r="P77" s="107"/>
      <c r="Q77" s="108"/>
      <c r="R77" s="108"/>
      <c r="S77" s="109"/>
      <c r="T77" s="107"/>
      <c r="U77" s="108"/>
      <c r="V77" s="108"/>
      <c r="W77" s="109"/>
      <c r="X77" s="107"/>
      <c r="Y77" s="108"/>
      <c r="Z77" s="108"/>
      <c r="AA77" s="109"/>
      <c r="AB77" s="107"/>
      <c r="AC77" s="108"/>
      <c r="AD77" s="108"/>
      <c r="AE77" s="109"/>
      <c r="AF77" s="107"/>
      <c r="AG77" s="108"/>
      <c r="AH77" s="108"/>
      <c r="AI77" s="109"/>
      <c r="AJ77" s="107"/>
      <c r="AK77" s="108"/>
      <c r="AL77" s="108"/>
      <c r="AM77" s="109"/>
      <c r="AN77" s="107"/>
      <c r="AO77" s="108"/>
      <c r="AP77" s="108"/>
      <c r="AQ77" s="109"/>
      <c r="AR77" s="107"/>
      <c r="AS77" s="108"/>
      <c r="AT77" s="108"/>
      <c r="AU77" s="109"/>
      <c r="AV77" s="107"/>
      <c r="AW77" s="108"/>
      <c r="AX77" s="108"/>
      <c r="AY77" s="109"/>
      <c r="AZ77" s="107"/>
      <c r="BA77" s="108"/>
      <c r="BB77" s="108"/>
      <c r="BC77" s="109"/>
      <c r="BD77" s="107"/>
      <c r="BE77" s="108"/>
      <c r="BF77" s="108"/>
      <c r="BG77" s="109"/>
      <c r="BH77" s="107"/>
      <c r="BI77" s="108"/>
      <c r="BJ77" s="108"/>
      <c r="BK77" s="109"/>
      <c r="BL77" s="107"/>
      <c r="BM77" s="108"/>
      <c r="BN77" s="108"/>
      <c r="BO77" s="109"/>
    </row>
    <row r="78" spans="3:67" x14ac:dyDescent="0.25">
      <c r="C78" t="s">
        <v>7</v>
      </c>
      <c r="D78" s="107">
        <v>51.30131863929148</v>
      </c>
      <c r="E78" s="108">
        <v>37.850595238095231</v>
      </c>
      <c r="F78" s="108">
        <v>39.460384963768135</v>
      </c>
      <c r="G78" s="109">
        <v>32.516622101449258</v>
      </c>
      <c r="H78" s="107">
        <v>27.601070632266282</v>
      </c>
      <c r="I78" s="108">
        <v>22.926753663003662</v>
      </c>
      <c r="J78" s="108">
        <v>30.926911231884059</v>
      </c>
      <c r="K78" s="109">
        <v>38.427999456521725</v>
      </c>
      <c r="L78" s="107">
        <v>72.617844806763287</v>
      </c>
      <c r="M78" s="108">
        <v>34.133154761904763</v>
      </c>
      <c r="N78" s="108">
        <v>30.454148550724629</v>
      </c>
      <c r="O78" s="109">
        <v>125.17613546698865</v>
      </c>
      <c r="P78" s="107">
        <v>51.12213387681161</v>
      </c>
      <c r="Q78" s="108">
        <v>32.324491758241756</v>
      </c>
      <c r="R78" s="108">
        <v>26.776259057971</v>
      </c>
      <c r="S78" s="109">
        <v>31.050057065217377</v>
      </c>
      <c r="T78" s="107">
        <v>74.709404790660244</v>
      </c>
      <c r="U78" s="108">
        <v>18.747051282051284</v>
      </c>
      <c r="V78" s="108">
        <v>22.344044384057977</v>
      </c>
      <c r="W78" s="109">
        <v>20.198206884057964</v>
      </c>
      <c r="X78" s="107">
        <v>22.403306059882148</v>
      </c>
      <c r="Y78" s="108">
        <v>18.611707875457874</v>
      </c>
      <c r="Z78" s="108">
        <v>21.732721920289862</v>
      </c>
      <c r="AA78" s="109">
        <v>28.745413949275392</v>
      </c>
      <c r="AB78" s="107">
        <v>30.265937600644122</v>
      </c>
      <c r="AC78" s="108">
        <v>22.968333333333337</v>
      </c>
      <c r="AD78" s="108">
        <v>19.421938405797103</v>
      </c>
      <c r="AE78" s="109">
        <v>41.756125543478241</v>
      </c>
      <c r="AF78" s="107">
        <v>55.496529991948492</v>
      </c>
      <c r="AG78" s="108">
        <v>27.304478021978021</v>
      </c>
      <c r="AH78" s="108">
        <v>30.489334239130443</v>
      </c>
      <c r="AI78" s="109">
        <v>41.010236594202915</v>
      </c>
      <c r="AJ78" s="107">
        <v>39.191856078904991</v>
      </c>
      <c r="AK78" s="108">
        <v>21.524391025641023</v>
      </c>
      <c r="AL78" s="108">
        <v>20.984103260869563</v>
      </c>
      <c r="AM78" s="109">
        <v>28.369598913043479</v>
      </c>
      <c r="AN78" s="107">
        <v>18.641600374263412</v>
      </c>
      <c r="AO78" s="108">
        <v>16.940228937728929</v>
      </c>
      <c r="AP78" s="108">
        <v>17.690131340579711</v>
      </c>
      <c r="AQ78" s="109">
        <v>26.173853442028989</v>
      </c>
      <c r="AR78" s="107">
        <v>44.505381642512084</v>
      </c>
      <c r="AS78" s="108">
        <v>24.44638278388279</v>
      </c>
      <c r="AT78" s="108">
        <v>36.688609601449272</v>
      </c>
      <c r="AU78" s="109">
        <v>52.980072826086932</v>
      </c>
      <c r="AV78" s="107">
        <v>101.60859561191631</v>
      </c>
      <c r="AW78" s="108">
        <v>65.145709706959735</v>
      </c>
      <c r="AX78" s="108">
        <v>74.060688405797123</v>
      </c>
      <c r="AY78" s="109">
        <v>72.93076920289856</v>
      </c>
      <c r="AZ78" s="107">
        <v>44.423459138486308</v>
      </c>
      <c r="BA78" s="108">
        <v>25.12394688644688</v>
      </c>
      <c r="BB78" s="108">
        <v>27.828422101449277</v>
      </c>
      <c r="BC78" s="109">
        <v>29.662061231884042</v>
      </c>
      <c r="BD78" s="107">
        <v>36.963337314859047</v>
      </c>
      <c r="BE78" s="108">
        <v>24.686708333333332</v>
      </c>
      <c r="BF78" s="108">
        <v>36.116666666666667</v>
      </c>
      <c r="BG78" s="109">
        <v>52.066666666666663</v>
      </c>
      <c r="BH78" s="107">
        <v>54.886084120701511</v>
      </c>
      <c r="BI78" s="108">
        <v>36.795054407062537</v>
      </c>
      <c r="BJ78" s="108">
        <v>53.831183042227202</v>
      </c>
      <c r="BK78" s="109">
        <v>77.60434509640875</v>
      </c>
      <c r="BL78" s="107">
        <v>54.886084120701511</v>
      </c>
      <c r="BM78" s="108">
        <v>36.795054407062537</v>
      </c>
      <c r="BN78" s="108">
        <v>53.831183042227202</v>
      </c>
      <c r="BO78" s="109">
        <v>77.60434509640875</v>
      </c>
    </row>
    <row r="79" spans="3:67" x14ac:dyDescent="0.25">
      <c r="C79" t="s">
        <v>8</v>
      </c>
      <c r="D79" s="107">
        <v>35.779313405797105</v>
      </c>
      <c r="E79" s="108">
        <v>31.184803113553112</v>
      </c>
      <c r="F79" s="108">
        <v>33.652490942028983</v>
      </c>
      <c r="G79" s="109">
        <v>27.712640036231885</v>
      </c>
      <c r="H79" s="107">
        <v>23.968829033285562</v>
      </c>
      <c r="I79" s="108">
        <v>20.569913003663</v>
      </c>
      <c r="J79" s="108">
        <v>27.271308876811592</v>
      </c>
      <c r="K79" s="109">
        <v>30.6151650362319</v>
      </c>
      <c r="L79" s="107">
        <v>35.609952294685982</v>
      </c>
      <c r="M79" s="108">
        <v>28.352330586080591</v>
      </c>
      <c r="N79" s="108">
        <v>26.087404891304349</v>
      </c>
      <c r="O79" s="109">
        <v>74.738565619967801</v>
      </c>
      <c r="P79" s="107">
        <v>29.252230615942018</v>
      </c>
      <c r="Q79" s="108">
        <v>27.261304945054935</v>
      </c>
      <c r="R79" s="108">
        <v>23.849180253623189</v>
      </c>
      <c r="S79" s="109">
        <v>21.799227355072471</v>
      </c>
      <c r="T79" s="107">
        <v>37.643325281803556</v>
      </c>
      <c r="U79" s="108">
        <v>18.227133699633701</v>
      </c>
      <c r="V79" s="108">
        <v>20.449230072463759</v>
      </c>
      <c r="W79" s="109">
        <v>14.298236956521748</v>
      </c>
      <c r="X79" s="107">
        <v>13.624288899506292</v>
      </c>
      <c r="Y79" s="108">
        <v>15.5952152014652</v>
      </c>
      <c r="Z79" s="108">
        <v>19.290855978260876</v>
      </c>
      <c r="AA79" s="109">
        <v>17.244110869565226</v>
      </c>
      <c r="AB79" s="107">
        <v>19.385393719806771</v>
      </c>
      <c r="AC79" s="108">
        <v>14.500613553113546</v>
      </c>
      <c r="AD79" s="108">
        <v>17.318980978260868</v>
      </c>
      <c r="AE79" s="109">
        <v>19.652653804347828</v>
      </c>
      <c r="AF79" s="107">
        <v>32.735488727858289</v>
      </c>
      <c r="AG79" s="108">
        <v>19.573479853479853</v>
      </c>
      <c r="AH79" s="108">
        <v>24.992744565217389</v>
      </c>
      <c r="AI79" s="109">
        <v>25.771142210144923</v>
      </c>
      <c r="AJ79" s="107">
        <v>24.19980173107891</v>
      </c>
      <c r="AK79" s="108">
        <v>17.639899267399269</v>
      </c>
      <c r="AL79" s="108">
        <v>18.183161231884057</v>
      </c>
      <c r="AM79" s="109">
        <v>15.149791666666669</v>
      </c>
      <c r="AN79" s="107">
        <v>12.147014851090933</v>
      </c>
      <c r="AO79" s="108">
        <v>11.094748168498169</v>
      </c>
      <c r="AP79" s="108">
        <v>16.159148550724638</v>
      </c>
      <c r="AQ79" s="109">
        <v>12.360023731884054</v>
      </c>
      <c r="AR79" s="107">
        <v>18.313758051529796</v>
      </c>
      <c r="AS79" s="108">
        <v>15.232032967032959</v>
      </c>
      <c r="AT79" s="108">
        <v>28.87459239130434</v>
      </c>
      <c r="AU79" s="109">
        <v>33.41592717391304</v>
      </c>
      <c r="AV79" s="107">
        <v>57.409709541062796</v>
      </c>
      <c r="AW79" s="108">
        <v>35.014789377289382</v>
      </c>
      <c r="AX79" s="108">
        <v>61.654189311594202</v>
      </c>
      <c r="AY79" s="109">
        <v>38.449748731884071</v>
      </c>
      <c r="AZ79" s="107">
        <v>20.384306964573263</v>
      </c>
      <c r="BA79" s="108">
        <v>17.29942307692307</v>
      </c>
      <c r="BB79" s="108">
        <v>24.063858695652176</v>
      </c>
      <c r="BC79" s="109">
        <v>22.106439311594212</v>
      </c>
      <c r="BD79" s="107">
        <v>27.585581501831498</v>
      </c>
      <c r="BE79" s="108">
        <v>22.678620370370371</v>
      </c>
      <c r="BF79" s="108">
        <v>31.75</v>
      </c>
      <c r="BG79" s="109">
        <v>35.93333333333333</v>
      </c>
      <c r="BH79" s="107">
        <v>34.653310125400317</v>
      </c>
      <c r="BI79" s="108">
        <v>28.56434373402827</v>
      </c>
      <c r="BJ79" s="108">
        <v>39.989994926688148</v>
      </c>
      <c r="BK79" s="109">
        <v>45.259017880283267</v>
      </c>
      <c r="BL79" s="107">
        <v>37.500887921969536</v>
      </c>
      <c r="BM79" s="108">
        <v>30.911570902118331</v>
      </c>
      <c r="BN79" s="108">
        <v>43.276105870377904</v>
      </c>
      <c r="BO79" s="109">
        <v>48.978101971934244</v>
      </c>
    </row>
    <row r="80" spans="3:67" x14ac:dyDescent="0.25">
      <c r="C80" t="s">
        <v>9</v>
      </c>
      <c r="D80" s="107">
        <v>49.229429347826084</v>
      </c>
      <c r="E80" s="108">
        <v>35.886799450549439</v>
      </c>
      <c r="F80" s="108">
        <v>39.740421195652168</v>
      </c>
      <c r="G80" s="109">
        <v>30.484731521739121</v>
      </c>
      <c r="H80" s="107">
        <v>27.569314580347193</v>
      </c>
      <c r="I80" s="108">
        <v>22.281291208791199</v>
      </c>
      <c r="J80" s="108">
        <v>30.822210144927531</v>
      </c>
      <c r="K80" s="109">
        <v>36.205649818840577</v>
      </c>
      <c r="L80" s="107">
        <v>56.707361111111105</v>
      </c>
      <c r="M80" s="108">
        <v>33.444134615384613</v>
      </c>
      <c r="N80" s="108">
        <v>31.241820652173907</v>
      </c>
      <c r="O80" s="109">
        <v>104.25991747181963</v>
      </c>
      <c r="P80" s="107">
        <v>36.510255434782614</v>
      </c>
      <c r="Q80" s="108">
        <v>30.387303113553116</v>
      </c>
      <c r="R80" s="108">
        <v>25.834510869565232</v>
      </c>
      <c r="S80" s="109">
        <v>26.259342210144922</v>
      </c>
      <c r="T80" s="107">
        <v>58.731627415458931</v>
      </c>
      <c r="U80" s="108">
        <v>19.32760989010988</v>
      </c>
      <c r="V80" s="108">
        <v>22.11728713768116</v>
      </c>
      <c r="W80" s="109">
        <v>17.28061014492754</v>
      </c>
      <c r="X80" s="107">
        <v>20.397999084249086</v>
      </c>
      <c r="Y80" s="108">
        <v>19.320544871794873</v>
      </c>
      <c r="Z80" s="108">
        <v>22.198464673913044</v>
      </c>
      <c r="AA80" s="109">
        <v>25.744134963768118</v>
      </c>
      <c r="AB80" s="107">
        <v>29.326884259259263</v>
      </c>
      <c r="AC80" s="108">
        <v>21.279184981684978</v>
      </c>
      <c r="AD80" s="108">
        <v>19.207495471014489</v>
      </c>
      <c r="AE80" s="109">
        <v>28.660226630434785</v>
      </c>
      <c r="AF80" s="107">
        <v>44.676771739130423</v>
      </c>
      <c r="AG80" s="108">
        <v>22.602216117216113</v>
      </c>
      <c r="AH80" s="108">
        <v>27.774356884057969</v>
      </c>
      <c r="AI80" s="109">
        <v>31.149132789855052</v>
      </c>
      <c r="AJ80" s="107">
        <v>32.101186996779397</v>
      </c>
      <c r="AK80" s="108">
        <v>17.702825091575097</v>
      </c>
      <c r="AL80" s="108">
        <v>19.173537137681166</v>
      </c>
      <c r="AM80" s="109">
        <v>21.311405434782596</v>
      </c>
      <c r="AN80" s="107">
        <v>17.531137322822111</v>
      </c>
      <c r="AO80" s="108">
        <v>13.551488095238097</v>
      </c>
      <c r="AP80" s="108">
        <v>17.525208333333332</v>
      </c>
      <c r="AQ80" s="109">
        <v>22.048666304347826</v>
      </c>
      <c r="AR80" s="107">
        <v>34.798934782608704</v>
      </c>
      <c r="AS80" s="108">
        <v>24.592788461538454</v>
      </c>
      <c r="AT80" s="108">
        <v>35.17996376811594</v>
      </c>
      <c r="AU80" s="109">
        <v>45.339575362318833</v>
      </c>
      <c r="AV80" s="107">
        <v>92.920495974235166</v>
      </c>
      <c r="AW80" s="108">
        <v>61.648374542124515</v>
      </c>
      <c r="AX80" s="108">
        <v>72.451766304347828</v>
      </c>
      <c r="AY80" s="109">
        <v>68.539851992753626</v>
      </c>
      <c r="AZ80" s="107">
        <v>34.345637882447654</v>
      </c>
      <c r="BA80" s="108">
        <v>22.785160256410265</v>
      </c>
      <c r="BB80" s="108">
        <v>26.043940217391309</v>
      </c>
      <c r="BC80" s="109">
        <v>25.874195471014495</v>
      </c>
      <c r="BD80" s="107">
        <v>33.978917423156553</v>
      </c>
      <c r="BE80" s="108">
        <v>27.958041666666663</v>
      </c>
      <c r="BF80" s="108">
        <v>38.75</v>
      </c>
      <c r="BG80" s="109">
        <v>51.333333333333336</v>
      </c>
      <c r="BH80" s="107">
        <v>48.066616253280074</v>
      </c>
      <c r="BI80" s="108">
        <v>39.699937078420838</v>
      </c>
      <c r="BJ80" s="108">
        <v>55.024331823031517</v>
      </c>
      <c r="BK80" s="109">
        <v>72.892448178467575</v>
      </c>
      <c r="BL80" s="107">
        <v>48.066616253280074</v>
      </c>
      <c r="BM80" s="108">
        <v>39.699937078420838</v>
      </c>
      <c r="BN80" s="108">
        <v>55.024331823031517</v>
      </c>
      <c r="BO80" s="109">
        <v>72.892448178467575</v>
      </c>
    </row>
    <row r="81" spans="3:67" x14ac:dyDescent="0.25">
      <c r="C81" t="s">
        <v>10</v>
      </c>
      <c r="D81" s="107">
        <v>51.080749798711743</v>
      </c>
      <c r="E81" s="108">
        <v>37.080599816849826</v>
      </c>
      <c r="F81" s="108">
        <v>42.037432065217381</v>
      </c>
      <c r="G81" s="109">
        <v>30.768373369565197</v>
      </c>
      <c r="H81" s="107">
        <v>28.248588549132045</v>
      </c>
      <c r="I81" s="108">
        <v>22.741620879120877</v>
      </c>
      <c r="J81" s="108">
        <v>32.049044384057972</v>
      </c>
      <c r="K81" s="109">
        <v>36.959637137681163</v>
      </c>
      <c r="L81" s="107">
        <v>58.074166062801964</v>
      </c>
      <c r="M81" s="108">
        <v>34.010100732600726</v>
      </c>
      <c r="N81" s="108">
        <v>33.497015398550722</v>
      </c>
      <c r="O81" s="109">
        <v>104.53095511272141</v>
      </c>
      <c r="P81" s="107">
        <v>35.902980434782606</v>
      </c>
      <c r="Q81" s="108">
        <v>30.633470695970686</v>
      </c>
      <c r="R81" s="108">
        <v>26.27728260869565</v>
      </c>
      <c r="S81" s="109">
        <v>26.346719927536238</v>
      </c>
      <c r="T81" s="107">
        <v>59.086149154589357</v>
      </c>
      <c r="U81" s="108">
        <v>19.830306776556778</v>
      </c>
      <c r="V81" s="108">
        <v>23.797971014492759</v>
      </c>
      <c r="W81" s="109">
        <v>17.491895833333331</v>
      </c>
      <c r="X81" s="107">
        <v>21.25929785793916</v>
      </c>
      <c r="Y81" s="108">
        <v>20.53872252747253</v>
      </c>
      <c r="Z81" s="108">
        <v>24.140729166666659</v>
      </c>
      <c r="AA81" s="109">
        <v>25.848853442028986</v>
      </c>
      <c r="AB81" s="107">
        <v>29.471096215781014</v>
      </c>
      <c r="AC81" s="108">
        <v>22.852271062271065</v>
      </c>
      <c r="AD81" s="108">
        <v>20.054769021739126</v>
      </c>
      <c r="AE81" s="109">
        <v>29.040597463768133</v>
      </c>
      <c r="AF81" s="107">
        <v>46.970595410628015</v>
      </c>
      <c r="AG81" s="108">
        <v>23.644194139194152</v>
      </c>
      <c r="AH81" s="108">
        <v>30.244556159420288</v>
      </c>
      <c r="AI81" s="109">
        <v>31.418866847826088</v>
      </c>
      <c r="AJ81" s="107">
        <v>32.598848429951687</v>
      </c>
      <c r="AK81" s="108">
        <v>19.47369505494505</v>
      </c>
      <c r="AL81" s="108">
        <v>20.372368659420289</v>
      </c>
      <c r="AM81" s="109">
        <v>21.633657246376814</v>
      </c>
      <c r="AN81" s="107">
        <v>18.880474597865895</v>
      </c>
      <c r="AO81" s="108">
        <v>13.910512820512823</v>
      </c>
      <c r="AP81" s="108">
        <v>18.884465579710149</v>
      </c>
      <c r="AQ81" s="109">
        <v>22.316411231884054</v>
      </c>
      <c r="AR81" s="107">
        <v>35.468113727858288</v>
      </c>
      <c r="AS81" s="108">
        <v>24.951034798534799</v>
      </c>
      <c r="AT81" s="108">
        <v>36.986136775362318</v>
      </c>
      <c r="AU81" s="109">
        <v>46.344675000000002</v>
      </c>
      <c r="AV81" s="107">
        <v>93.560242753623228</v>
      </c>
      <c r="AW81" s="108">
        <v>63.065714285714279</v>
      </c>
      <c r="AX81" s="108">
        <v>74.496453804347837</v>
      </c>
      <c r="AY81" s="109">
        <v>69.49034782608696</v>
      </c>
      <c r="AZ81" s="107">
        <v>34.621542069243169</v>
      </c>
      <c r="BA81" s="108">
        <v>23.072907509157517</v>
      </c>
      <c r="BB81" s="108">
        <v>27.297576992753619</v>
      </c>
      <c r="BC81" s="109">
        <v>27.208882971014486</v>
      </c>
      <c r="BD81" s="107">
        <v>35.786370043000503</v>
      </c>
      <c r="BE81" s="108">
        <v>28.817537037037038</v>
      </c>
      <c r="BF81" s="108">
        <v>40.666666666666664</v>
      </c>
      <c r="BG81" s="109">
        <v>53.116666666666667</v>
      </c>
      <c r="BH81" s="107">
        <v>50.666304552939508</v>
      </c>
      <c r="BI81" s="108">
        <v>40.985258055130728</v>
      </c>
      <c r="BJ81" s="108">
        <v>57.837483662576268</v>
      </c>
      <c r="BK81" s="109">
        <v>75.544287062553508</v>
      </c>
      <c r="BL81" s="107">
        <v>50.666304552939508</v>
      </c>
      <c r="BM81" s="108">
        <v>40.985258055130728</v>
      </c>
      <c r="BN81" s="108">
        <v>57.837483662576268</v>
      </c>
      <c r="BO81" s="109">
        <v>75.544287062553508</v>
      </c>
    </row>
    <row r="82" spans="3:67" x14ac:dyDescent="0.25">
      <c r="C82" t="s">
        <v>11</v>
      </c>
      <c r="D82" s="107">
        <v>40.858928955797097</v>
      </c>
      <c r="E82" s="108">
        <v>33.916098321428571</v>
      </c>
      <c r="F82" s="108">
        <v>34.068597563405802</v>
      </c>
      <c r="G82" s="109">
        <v>31.114616296105076</v>
      </c>
      <c r="H82" s="107">
        <v>27.303063772177097</v>
      </c>
      <c r="I82" s="108">
        <v>22.034301452838829</v>
      </c>
      <c r="J82" s="108">
        <v>26.919559772644931</v>
      </c>
      <c r="K82" s="109">
        <v>30.869201327717395</v>
      </c>
      <c r="L82" s="107">
        <v>33.486062323832535</v>
      </c>
      <c r="M82" s="108">
        <v>29.612168522893782</v>
      </c>
      <c r="N82" s="108">
        <v>28.466996774909425</v>
      </c>
      <c r="O82" s="109">
        <v>78.280771197463764</v>
      </c>
      <c r="P82" s="107">
        <v>31.005893446105066</v>
      </c>
      <c r="Q82" s="108">
        <v>30.680673397435903</v>
      </c>
      <c r="R82" s="108">
        <v>27.413026009963772</v>
      </c>
      <c r="S82" s="109">
        <v>29.952876293025369</v>
      </c>
      <c r="T82" s="107">
        <v>44.217764477254434</v>
      </c>
      <c r="U82" s="108">
        <v>25.028568056318672</v>
      </c>
      <c r="V82" s="108">
        <v>23.224815237318836</v>
      </c>
      <c r="W82" s="109">
        <v>22.109061745018124</v>
      </c>
      <c r="X82" s="107">
        <v>23.988923446826721</v>
      </c>
      <c r="Y82" s="108">
        <v>21.266628026098903</v>
      </c>
      <c r="Z82" s="108">
        <v>22.910100094655796</v>
      </c>
      <c r="AA82" s="109">
        <v>25.259746692934794</v>
      </c>
      <c r="AB82" s="107">
        <v>27.075569670692435</v>
      </c>
      <c r="AC82" s="108">
        <v>22.121270426282045</v>
      </c>
      <c r="AD82" s="108">
        <v>21.948979516304348</v>
      </c>
      <c r="AE82" s="109">
        <v>28.679605414130428</v>
      </c>
      <c r="AF82" s="107">
        <v>43.803593072544295</v>
      </c>
      <c r="AG82" s="108">
        <v>26.220289381410268</v>
      </c>
      <c r="AH82" s="108">
        <v>24.247272661684796</v>
      </c>
      <c r="AI82" s="109">
        <v>29.302057804710138</v>
      </c>
      <c r="AJ82" s="107">
        <v>27.578555883393715</v>
      </c>
      <c r="AK82" s="108">
        <v>19.710887525641017</v>
      </c>
      <c r="AL82" s="108">
        <v>20.380034858242748</v>
      </c>
      <c r="AM82" s="109">
        <v>22.470825346739137</v>
      </c>
      <c r="AN82" s="107">
        <v>17.521596059583533</v>
      </c>
      <c r="AO82" s="108">
        <v>14.565574771978021</v>
      </c>
      <c r="AP82" s="108">
        <v>16.875587124094206</v>
      </c>
      <c r="AQ82" s="109">
        <v>19.787085930163048</v>
      </c>
      <c r="AR82" s="107">
        <v>26.774626601851846</v>
      </c>
      <c r="AS82" s="108">
        <v>22.345583494505505</v>
      </c>
      <c r="AT82" s="108">
        <v>32.140947138134059</v>
      </c>
      <c r="AU82" s="109">
        <v>48.101991048913035</v>
      </c>
      <c r="AV82" s="107">
        <v>51.647285651570073</v>
      </c>
      <c r="AW82" s="108">
        <v>58.569822972985342</v>
      </c>
      <c r="AX82" s="108">
        <v>66.564074397644958</v>
      </c>
      <c r="AY82" s="109">
        <v>63.724518104347787</v>
      </c>
      <c r="AZ82" s="107">
        <v>27.47882808760064</v>
      </c>
      <c r="BA82" s="108">
        <v>22.900284123168504</v>
      </c>
      <c r="BB82" s="108">
        <v>23.427339668025361</v>
      </c>
      <c r="BC82" s="109">
        <v>30.602792449003623</v>
      </c>
      <c r="BD82" s="107">
        <v>28.838155348463122</v>
      </c>
      <c r="BE82" s="108">
        <v>26.276172963425932</v>
      </c>
      <c r="BF82" s="108">
        <v>34.1</v>
      </c>
      <c r="BG82" s="109">
        <v>40.216666666666669</v>
      </c>
      <c r="BH82" s="107">
        <v>36.463354490764829</v>
      </c>
      <c r="BI82" s="108">
        <v>33.318603044805677</v>
      </c>
      <c r="BJ82" s="108">
        <v>43.239339511477269</v>
      </c>
      <c r="BK82" s="109">
        <v>50.995369619352218</v>
      </c>
      <c r="BL82" s="107">
        <v>38.784226069479104</v>
      </c>
      <c r="BM82" s="108">
        <v>35.439312999473657</v>
      </c>
      <c r="BN82" s="108">
        <v>45.991498646479002</v>
      </c>
      <c r="BO82" s="109">
        <v>54.241195617768241</v>
      </c>
    </row>
    <row r="83" spans="3:67" x14ac:dyDescent="0.25">
      <c r="C83" t="s">
        <v>12</v>
      </c>
      <c r="D83" s="107">
        <v>45.558643104669883</v>
      </c>
      <c r="E83" s="108">
        <v>35.489017982600728</v>
      </c>
      <c r="F83" s="108">
        <v>37.110367609148561</v>
      </c>
      <c r="G83" s="109">
        <v>30.853395797826089</v>
      </c>
      <c r="H83" s="107">
        <v>28.838922174609813</v>
      </c>
      <c r="I83" s="108">
        <v>21.591528022435909</v>
      </c>
      <c r="J83" s="108">
        <v>30.122786553894926</v>
      </c>
      <c r="K83" s="109">
        <v>32.447619825815202</v>
      </c>
      <c r="L83" s="107">
        <v>34.55972632302737</v>
      </c>
      <c r="M83" s="108">
        <v>31.325106590201472</v>
      </c>
      <c r="N83" s="108">
        <v>30.007325350543471</v>
      </c>
      <c r="O83" s="109">
        <v>90.786707820652168</v>
      </c>
      <c r="P83" s="107">
        <v>32.19676385769926</v>
      </c>
      <c r="Q83" s="108">
        <v>30.634786767857143</v>
      </c>
      <c r="R83" s="108">
        <v>26.507552103713767</v>
      </c>
      <c r="S83" s="109">
        <v>37.660706784782626</v>
      </c>
      <c r="T83" s="107">
        <v>52.91501483514493</v>
      </c>
      <c r="U83" s="108">
        <v>25.152664907509156</v>
      </c>
      <c r="V83" s="108">
        <v>20.837114357789854</v>
      </c>
      <c r="W83" s="109">
        <v>25.347991754166664</v>
      </c>
      <c r="X83" s="107">
        <v>25.346020121237455</v>
      </c>
      <c r="Y83" s="108">
        <v>19.254250642399267</v>
      </c>
      <c r="Z83" s="108">
        <v>21.072814450181166</v>
      </c>
      <c r="AA83" s="109">
        <v>21.316599519927536</v>
      </c>
      <c r="AB83" s="107">
        <v>29.336510980555559</v>
      </c>
      <c r="AC83" s="108">
        <v>21.736222810439564</v>
      </c>
      <c r="AD83" s="108">
        <v>19.181085373188402</v>
      </c>
      <c r="AE83" s="109">
        <v>33.856300585507235</v>
      </c>
      <c r="AF83" s="107">
        <v>46.651078143136083</v>
      </c>
      <c r="AG83" s="108">
        <v>23.544111546703306</v>
      </c>
      <c r="AH83" s="108">
        <v>24.66426460778986</v>
      </c>
      <c r="AI83" s="109">
        <v>34.843774665398549</v>
      </c>
      <c r="AJ83" s="107">
        <v>28.403704613003214</v>
      </c>
      <c r="AK83" s="108">
        <v>18.867814046245417</v>
      </c>
      <c r="AL83" s="108">
        <v>18.963003921195654</v>
      </c>
      <c r="AM83" s="109">
        <v>19.125456591938402</v>
      </c>
      <c r="AN83" s="107">
        <v>17.39778615559803</v>
      </c>
      <c r="AO83" s="108">
        <v>13.829612869047621</v>
      </c>
      <c r="AP83" s="108">
        <v>15.513188677083329</v>
      </c>
      <c r="AQ83" s="109">
        <v>20.879959660326097</v>
      </c>
      <c r="AR83" s="107">
        <v>35.819975502979055</v>
      </c>
      <c r="AS83" s="108">
        <v>20.876302621794871</v>
      </c>
      <c r="AT83" s="108">
        <v>31.850840768568855</v>
      </c>
      <c r="AU83" s="109">
        <v>41.042562569655772</v>
      </c>
      <c r="AV83" s="107">
        <v>57.8313111315016</v>
      </c>
      <c r="AW83" s="108">
        <v>52.806637613553114</v>
      </c>
      <c r="AX83" s="108">
        <v>65.534584221014498</v>
      </c>
      <c r="AY83" s="109">
        <v>63.220173790797084</v>
      </c>
      <c r="AZ83" s="107">
        <v>25.379381698168281</v>
      </c>
      <c r="BA83" s="108">
        <v>16.822861192307691</v>
      </c>
      <c r="BB83" s="108">
        <v>20.298653107336964</v>
      </c>
      <c r="BC83" s="109">
        <v>25.458770733152168</v>
      </c>
      <c r="BD83" s="107">
        <v>25.229220505653768</v>
      </c>
      <c r="BE83" s="108">
        <v>22.682552677314817</v>
      </c>
      <c r="BF83" s="108">
        <v>31.683333333333337</v>
      </c>
      <c r="BG83" s="109">
        <v>36.300000000000004</v>
      </c>
      <c r="BH83" s="107">
        <v>35.500140042268946</v>
      </c>
      <c r="BI83" s="108">
        <v>32.060194599988463</v>
      </c>
      <c r="BJ83" s="108">
        <v>44.782165688911185</v>
      </c>
      <c r="BK83" s="109">
        <v>51.307499668831397</v>
      </c>
      <c r="BL83" s="107">
        <v>36.600590151773538</v>
      </c>
      <c r="BM83" s="108">
        <v>33.054011655816645</v>
      </c>
      <c r="BN83" s="108">
        <v>46.170344413770806</v>
      </c>
      <c r="BO83" s="109">
        <v>52.897953778639007</v>
      </c>
    </row>
    <row r="84" spans="3:67" x14ac:dyDescent="0.25">
      <c r="C84" t="s">
        <v>13</v>
      </c>
      <c r="D84" s="107">
        <v>33.366856885466987</v>
      </c>
      <c r="E84" s="108">
        <v>30.988586447802195</v>
      </c>
      <c r="F84" s="108">
        <v>31.983560708333318</v>
      </c>
      <c r="G84" s="109">
        <v>30.553551319112341</v>
      </c>
      <c r="H84" s="107">
        <v>25.678486559862229</v>
      </c>
      <c r="I84" s="108">
        <v>21.65716656639195</v>
      </c>
      <c r="J84" s="108">
        <v>25.59958281884057</v>
      </c>
      <c r="K84" s="109">
        <v>29.691809545561608</v>
      </c>
      <c r="L84" s="107">
        <v>30.712843264895323</v>
      </c>
      <c r="M84" s="108">
        <v>28.683858509157513</v>
      </c>
      <c r="N84" s="108">
        <v>26.289797765398554</v>
      </c>
      <c r="O84" s="109">
        <v>55.582024361513675</v>
      </c>
      <c r="P84" s="107">
        <v>28.58454812028986</v>
      </c>
      <c r="Q84" s="108">
        <v>30.848939755952369</v>
      </c>
      <c r="R84" s="108">
        <v>26.474229680253622</v>
      </c>
      <c r="S84" s="109">
        <v>30.106497532518123</v>
      </c>
      <c r="T84" s="107">
        <v>33.672197658071667</v>
      </c>
      <c r="U84" s="108">
        <v>24.408332260531143</v>
      </c>
      <c r="V84" s="108">
        <v>22.758183921195638</v>
      </c>
      <c r="W84" s="109">
        <v>22.005480128297094</v>
      </c>
      <c r="X84" s="107">
        <v>21.940509499422674</v>
      </c>
      <c r="Y84" s="108">
        <v>21.194626118131868</v>
      </c>
      <c r="Z84" s="108">
        <v>22.397125852355067</v>
      </c>
      <c r="AA84" s="109">
        <v>25.119274915036236</v>
      </c>
      <c r="AB84" s="107">
        <v>25.609943032206107</v>
      </c>
      <c r="AC84" s="108">
        <v>22.558270758241754</v>
      </c>
      <c r="AD84" s="108">
        <v>22.753793536231882</v>
      </c>
      <c r="AE84" s="109">
        <v>26.193597912862309</v>
      </c>
      <c r="AF84" s="107">
        <v>34.436694630072459</v>
      </c>
      <c r="AG84" s="108">
        <v>27.215535443223438</v>
      </c>
      <c r="AH84" s="108">
        <v>24.347143715126816</v>
      </c>
      <c r="AI84" s="109">
        <v>29.246098762318841</v>
      </c>
      <c r="AJ84" s="107">
        <v>26.984564529931554</v>
      </c>
      <c r="AK84" s="108">
        <v>20.086492744963365</v>
      </c>
      <c r="AL84" s="108">
        <v>20.728117810235513</v>
      </c>
      <c r="AM84" s="109">
        <v>23.288783731974629</v>
      </c>
      <c r="AN84" s="107">
        <v>17.698810589206083</v>
      </c>
      <c r="AO84" s="108">
        <v>14.843752887820516</v>
      </c>
      <c r="AP84" s="108">
        <v>17.352855590579708</v>
      </c>
      <c r="AQ84" s="109">
        <v>19.710829245471022</v>
      </c>
      <c r="AR84" s="107">
        <v>26.156642625885677</v>
      </c>
      <c r="AS84" s="108">
        <v>23.327431822344337</v>
      </c>
      <c r="AT84" s="108">
        <v>32.200707403532604</v>
      </c>
      <c r="AU84" s="109">
        <v>46.018411574456515</v>
      </c>
      <c r="AV84" s="107">
        <v>44.599692448268911</v>
      </c>
      <c r="AW84" s="108">
        <v>58.002032985347959</v>
      </c>
      <c r="AX84" s="108">
        <v>65.382684361413027</v>
      </c>
      <c r="AY84" s="109">
        <v>60.633399447282599</v>
      </c>
      <c r="AZ84" s="107">
        <v>26.714670480273742</v>
      </c>
      <c r="BA84" s="108">
        <v>22.654075992673985</v>
      </c>
      <c r="BB84" s="108">
        <v>23.119255369112317</v>
      </c>
      <c r="BC84" s="109">
        <v>26.151934575905798</v>
      </c>
      <c r="BD84" s="107">
        <v>25.370123972228846</v>
      </c>
      <c r="BE84" s="108">
        <v>24.593921842129632</v>
      </c>
      <c r="BF84" s="108">
        <v>32.699999999999996</v>
      </c>
      <c r="BG84" s="109">
        <v>36.949999999999996</v>
      </c>
      <c r="BH84" s="107">
        <v>31.520911430773548</v>
      </c>
      <c r="BI84" s="108">
        <v>30.595617250313552</v>
      </c>
      <c r="BJ84" s="108">
        <v>40.679835062801025</v>
      </c>
      <c r="BK84" s="109">
        <v>45.966969589311866</v>
      </c>
      <c r="BL84" s="107">
        <v>32.405338949049543</v>
      </c>
      <c r="BM84" s="108">
        <v>31.454082459806166</v>
      </c>
      <c r="BN84" s="108">
        <v>41.821247665906938</v>
      </c>
      <c r="BO84" s="109">
        <v>47.256730925237356</v>
      </c>
    </row>
    <row r="85" spans="3:67" x14ac:dyDescent="0.25">
      <c r="C85" t="s">
        <v>14</v>
      </c>
      <c r="D85" s="107">
        <v>33.316046651227865</v>
      </c>
      <c r="E85" s="108">
        <v>31.034006899725281</v>
      </c>
      <c r="F85" s="108">
        <v>32.137521466938395</v>
      </c>
      <c r="G85" s="109">
        <v>30.682761882608698</v>
      </c>
      <c r="H85" s="107">
        <v>25.679288122073572</v>
      </c>
      <c r="I85" s="108">
        <v>21.775065671703299</v>
      </c>
      <c r="J85" s="108">
        <v>25.7171560271739</v>
      </c>
      <c r="K85" s="109">
        <v>29.781977215851452</v>
      </c>
      <c r="L85" s="107">
        <v>30.59628365193236</v>
      </c>
      <c r="M85" s="108">
        <v>28.85574062912087</v>
      </c>
      <c r="N85" s="108">
        <v>26.426258410326099</v>
      </c>
      <c r="O85" s="109">
        <v>55.245883308574896</v>
      </c>
      <c r="P85" s="107">
        <v>28.631262306884061</v>
      </c>
      <c r="Q85" s="108">
        <v>31.092236393315009</v>
      </c>
      <c r="R85" s="108">
        <v>26.565221706068847</v>
      </c>
      <c r="S85" s="109">
        <v>29.935611420199269</v>
      </c>
      <c r="T85" s="107">
        <v>33.546102769424323</v>
      </c>
      <c r="U85" s="108">
        <v>24.350682732600731</v>
      </c>
      <c r="V85" s="108">
        <v>22.832639235507255</v>
      </c>
      <c r="W85" s="109">
        <v>21.995092569728257</v>
      </c>
      <c r="X85" s="107">
        <v>22.062136905279502</v>
      </c>
      <c r="Y85" s="108">
        <v>21.344116594322344</v>
      </c>
      <c r="Z85" s="108">
        <v>22.51157196376812</v>
      </c>
      <c r="AA85" s="109">
        <v>25.05356571974637</v>
      </c>
      <c r="AB85" s="107">
        <v>25.637689978663452</v>
      </c>
      <c r="AC85" s="108">
        <v>22.658216380036624</v>
      </c>
      <c r="AD85" s="108">
        <v>22.877026026268119</v>
      </c>
      <c r="AE85" s="109">
        <v>26.103430919021747</v>
      </c>
      <c r="AF85" s="107">
        <v>33.496354379388073</v>
      </c>
      <c r="AG85" s="108">
        <v>27.38477954395605</v>
      </c>
      <c r="AH85" s="108">
        <v>24.406125860054345</v>
      </c>
      <c r="AI85" s="109">
        <v>29.315563871014486</v>
      </c>
      <c r="AJ85" s="107">
        <v>26.995655332689207</v>
      </c>
      <c r="AK85" s="108">
        <v>20.183191024267405</v>
      </c>
      <c r="AL85" s="108">
        <v>20.808825723278982</v>
      </c>
      <c r="AM85" s="109">
        <v>23.345519506884049</v>
      </c>
      <c r="AN85" s="107">
        <v>17.694533373268044</v>
      </c>
      <c r="AO85" s="108">
        <v>14.854199650183153</v>
      </c>
      <c r="AP85" s="108">
        <v>17.437611627264488</v>
      </c>
      <c r="AQ85" s="109">
        <v>19.608393348713772</v>
      </c>
      <c r="AR85" s="107">
        <v>26.141614877918691</v>
      </c>
      <c r="AS85" s="108">
        <v>23.421996561355307</v>
      </c>
      <c r="AT85" s="108">
        <v>32.282476628170272</v>
      </c>
      <c r="AU85" s="109">
        <v>45.219036049637687</v>
      </c>
      <c r="AV85" s="107">
        <v>44.303929893719797</v>
      </c>
      <c r="AW85" s="108">
        <v>57.818748779761897</v>
      </c>
      <c r="AX85" s="108">
        <v>65.365194759963757</v>
      </c>
      <c r="AY85" s="109">
        <v>60.153114802717411</v>
      </c>
      <c r="AZ85" s="107">
        <v>26.550940723027381</v>
      </c>
      <c r="BA85" s="108">
        <v>22.614673961996338</v>
      </c>
      <c r="BB85" s="108">
        <v>23.182815509510863</v>
      </c>
      <c r="BC85" s="109">
        <v>26.078856549184785</v>
      </c>
      <c r="BD85" s="107">
        <v>25.394938919413917</v>
      </c>
      <c r="BE85" s="108">
        <v>26.114090881481484</v>
      </c>
      <c r="BF85" s="108">
        <v>34.716666666666669</v>
      </c>
      <c r="BG85" s="109">
        <v>38.766666666666673</v>
      </c>
      <c r="BH85" s="107">
        <v>31.222939372440372</v>
      </c>
      <c r="BI85" s="108">
        <v>32.151505764585281</v>
      </c>
      <c r="BJ85" s="108">
        <v>42.742943398885657</v>
      </c>
      <c r="BK85" s="109">
        <v>47.729278130488701</v>
      </c>
      <c r="BL85" s="107">
        <v>33.257307958933453</v>
      </c>
      <c r="BM85" s="108">
        <v>34.246376223631728</v>
      </c>
      <c r="BN85" s="108">
        <v>45.527911857739262</v>
      </c>
      <c r="BO85" s="109">
        <v>50.839137292895565</v>
      </c>
    </row>
    <row r="86" spans="3:67" x14ac:dyDescent="0.25">
      <c r="C86" t="s">
        <v>15</v>
      </c>
      <c r="D86" s="107">
        <v>28.117182428522533</v>
      </c>
      <c r="E86" s="108">
        <v>24.030010341117219</v>
      </c>
      <c r="F86" s="108">
        <v>25.858050654891304</v>
      </c>
      <c r="G86" s="109">
        <v>19.96068864096015</v>
      </c>
      <c r="H86" s="107">
        <v>23.311520222746449</v>
      </c>
      <c r="I86" s="108">
        <v>18.617785842032969</v>
      </c>
      <c r="J86" s="108">
        <v>23.770870774456522</v>
      </c>
      <c r="K86" s="109">
        <v>21.751328907065218</v>
      </c>
      <c r="L86" s="107">
        <v>27.102873879810776</v>
      </c>
      <c r="M86" s="108">
        <v>23.983492510531136</v>
      </c>
      <c r="N86" s="108">
        <v>24.337539511322465</v>
      </c>
      <c r="O86" s="109">
        <v>46.659030578200486</v>
      </c>
      <c r="P86" s="107">
        <v>25.034081106974629</v>
      </c>
      <c r="Q86" s="108">
        <v>25.040844436355307</v>
      </c>
      <c r="R86" s="108">
        <v>24.573567941576091</v>
      </c>
      <c r="S86" s="109">
        <v>25.868583025362319</v>
      </c>
      <c r="T86" s="107">
        <v>29.701038306400971</v>
      </c>
      <c r="U86" s="108">
        <v>18.405672966575075</v>
      </c>
      <c r="V86" s="108">
        <v>21.186602595561595</v>
      </c>
      <c r="W86" s="109">
        <v>19.679295579764492</v>
      </c>
      <c r="X86" s="107">
        <v>19.228153737279026</v>
      </c>
      <c r="Y86" s="108">
        <v>18.306781789377293</v>
      </c>
      <c r="Z86" s="108">
        <v>21.426197764039859</v>
      </c>
      <c r="AA86" s="109">
        <v>22.45641746277175</v>
      </c>
      <c r="AB86" s="107">
        <v>23.077807067310793</v>
      </c>
      <c r="AC86" s="108">
        <v>19.554939797619053</v>
      </c>
      <c r="AD86" s="108">
        <v>18.802316540760863</v>
      </c>
      <c r="AE86" s="109">
        <v>22.818591313496391</v>
      </c>
      <c r="AF86" s="107">
        <v>25.592784144424318</v>
      </c>
      <c r="AG86" s="108">
        <v>18.961526809523804</v>
      </c>
      <c r="AH86" s="108">
        <v>22.039119634510879</v>
      </c>
      <c r="AI86" s="109">
        <v>24.224912793423897</v>
      </c>
      <c r="AJ86" s="107">
        <v>23.763781914814814</v>
      </c>
      <c r="AK86" s="108">
        <v>17.494089853479846</v>
      </c>
      <c r="AL86" s="108">
        <v>16.8067672807971</v>
      </c>
      <c r="AM86" s="109">
        <v>18.312076729347826</v>
      </c>
      <c r="AN86" s="107">
        <v>15.963073911172154</v>
      </c>
      <c r="AO86" s="108">
        <v>11.535429633241755</v>
      </c>
      <c r="AP86" s="108">
        <v>15.865367110960145</v>
      </c>
      <c r="AQ86" s="109">
        <v>17.055046331159421</v>
      </c>
      <c r="AR86" s="107">
        <v>24.2871215205314</v>
      </c>
      <c r="AS86" s="108">
        <v>21.243654278388288</v>
      </c>
      <c r="AT86" s="108">
        <v>30.742337790307964</v>
      </c>
      <c r="AU86" s="109">
        <v>36.494926587083349</v>
      </c>
      <c r="AV86" s="107">
        <v>34.596040915177142</v>
      </c>
      <c r="AW86" s="108">
        <v>44.833843335622703</v>
      </c>
      <c r="AX86" s="108">
        <v>60.132875246829727</v>
      </c>
      <c r="AY86" s="109">
        <v>44.590210339619567</v>
      </c>
      <c r="AZ86" s="107">
        <v>22.329757934782613</v>
      </c>
      <c r="BA86" s="108">
        <v>14.043496280677653</v>
      </c>
      <c r="BB86" s="108">
        <v>21.913419224184778</v>
      </c>
      <c r="BC86" s="109">
        <v>20.0071290673913</v>
      </c>
      <c r="BD86" s="107">
        <v>20.708301966575089</v>
      </c>
      <c r="BE86" s="108">
        <v>18.007345490277775</v>
      </c>
      <c r="BF86" s="108">
        <v>29.55</v>
      </c>
      <c r="BG86" s="109">
        <v>29.883333333333336</v>
      </c>
      <c r="BH86" s="107">
        <v>26.597605944487626</v>
      </c>
      <c r="BI86" s="108">
        <v>23.144350417104263</v>
      </c>
      <c r="BJ86" s="108">
        <v>37.979809694587097</v>
      </c>
      <c r="BK86" s="109">
        <v>38.408233943821003</v>
      </c>
      <c r="BL86" s="107">
        <v>26.820584684880089</v>
      </c>
      <c r="BM86" s="108">
        <v>23.338379086976982</v>
      </c>
      <c r="BN86" s="108">
        <v>38.298210160543306</v>
      </c>
      <c r="BO86" s="109">
        <v>38.730226067599617</v>
      </c>
    </row>
    <row r="87" spans="3:67" x14ac:dyDescent="0.25">
      <c r="C87" t="s">
        <v>16</v>
      </c>
      <c r="D87" s="107">
        <v>29.660326036634473</v>
      </c>
      <c r="E87" s="108">
        <v>28.345022893772899</v>
      </c>
      <c r="F87" s="108">
        <v>31.569142889492749</v>
      </c>
      <c r="G87" s="109">
        <v>23.404596059782612</v>
      </c>
      <c r="H87" s="107">
        <v>19.561595895046977</v>
      </c>
      <c r="I87" s="108">
        <v>17.118434065934071</v>
      </c>
      <c r="J87" s="108">
        <v>21.168782835144924</v>
      </c>
      <c r="K87" s="109">
        <v>22.251092119565214</v>
      </c>
      <c r="L87" s="107">
        <v>23.22272348027375</v>
      </c>
      <c r="M87" s="108">
        <v>26.715190018315013</v>
      </c>
      <c r="N87" s="108">
        <v>25.701721014492755</v>
      </c>
      <c r="O87" s="109">
        <v>31.78499773550724</v>
      </c>
      <c r="P87" s="107">
        <v>27.180492210144916</v>
      </c>
      <c r="Q87" s="108">
        <v>31.412413003663001</v>
      </c>
      <c r="R87" s="108">
        <v>28.854929800724651</v>
      </c>
      <c r="S87" s="109">
        <v>25.233000181159419</v>
      </c>
      <c r="T87" s="107">
        <v>22.140641555958133</v>
      </c>
      <c r="U87" s="108">
        <v>21.621235119047622</v>
      </c>
      <c r="V87" s="108">
        <v>20.30612658514492</v>
      </c>
      <c r="W87" s="109">
        <v>16.061473550724639</v>
      </c>
      <c r="X87" s="107">
        <v>13.842845198279973</v>
      </c>
      <c r="Y87" s="108">
        <v>14.911001602564097</v>
      </c>
      <c r="Z87" s="108">
        <v>23.475191349637686</v>
      </c>
      <c r="AA87" s="109">
        <v>18.614083197463771</v>
      </c>
      <c r="AB87" s="107">
        <v>19.355630787037047</v>
      </c>
      <c r="AC87" s="108">
        <v>24.49456959706961</v>
      </c>
      <c r="AD87" s="108">
        <v>22.786469655797116</v>
      </c>
      <c r="AE87" s="109">
        <v>20.007914900362312</v>
      </c>
      <c r="AF87" s="107">
        <v>20.159236262077297</v>
      </c>
      <c r="AG87" s="108">
        <v>19.894039606227103</v>
      </c>
      <c r="AH87" s="108">
        <v>25.053961730072462</v>
      </c>
      <c r="AI87" s="109">
        <v>24.838912137681156</v>
      </c>
      <c r="AJ87" s="107">
        <v>19.872025966183568</v>
      </c>
      <c r="AK87" s="108">
        <v>19.046346153846155</v>
      </c>
      <c r="AL87" s="108">
        <v>21.967383378623186</v>
      </c>
      <c r="AM87" s="109">
        <v>19.881971965579709</v>
      </c>
      <c r="AN87" s="107">
        <v>14.540216097308488</v>
      </c>
      <c r="AO87" s="108">
        <v>12.620793269230765</v>
      </c>
      <c r="AP87" s="108">
        <v>18.684393115942022</v>
      </c>
      <c r="AQ87" s="109">
        <v>18.293642119565217</v>
      </c>
      <c r="AR87" s="107">
        <v>528.49400941022532</v>
      </c>
      <c r="AS87" s="108">
        <v>25.818923992673984</v>
      </c>
      <c r="AT87" s="108">
        <v>29.921935009057972</v>
      </c>
      <c r="AU87" s="109">
        <v>32.340979166666664</v>
      </c>
      <c r="AV87" s="107">
        <v>31.664053743961333</v>
      </c>
      <c r="AW87" s="108">
        <v>52.348482142857165</v>
      </c>
      <c r="AX87" s="108">
        <v>66.658068387681155</v>
      </c>
      <c r="AY87" s="109">
        <v>39.17002368221133</v>
      </c>
      <c r="AZ87" s="107">
        <v>17.599917773752008</v>
      </c>
      <c r="BA87" s="108">
        <v>19.781362179487186</v>
      </c>
      <c r="BB87" s="108">
        <v>34.561392516947173</v>
      </c>
      <c r="BC87" s="109">
        <v>22.222836313697989</v>
      </c>
      <c r="BD87" s="107">
        <v>18.345864352308517</v>
      </c>
      <c r="BE87" s="108">
        <v>29.31430678381852</v>
      </c>
      <c r="BF87" s="108">
        <v>69.339715306133328</v>
      </c>
      <c r="BG87" s="109">
        <v>33.653110668799997</v>
      </c>
      <c r="BH87" s="107">
        <v>21.687710134168167</v>
      </c>
      <c r="BI87" s="108">
        <v>34.946012345374548</v>
      </c>
      <c r="BJ87" s="108">
        <v>82.660885177420184</v>
      </c>
      <c r="BK87" s="109">
        <v>40.118363690637104</v>
      </c>
      <c r="BL87" s="107">
        <v>22.053363501726015</v>
      </c>
      <c r="BM87" s="108">
        <v>35.535199816885104</v>
      </c>
      <c r="BN87" s="108">
        <v>84.054542269084152</v>
      </c>
      <c r="BO87" s="109">
        <v>40.794756665904728</v>
      </c>
    </row>
    <row r="88" spans="3:67" x14ac:dyDescent="0.25">
      <c r="C88" t="s">
        <v>17</v>
      </c>
      <c r="D88" s="107">
        <v>30.071405696457326</v>
      </c>
      <c r="E88" s="108">
        <v>28.042996794871794</v>
      </c>
      <c r="F88" s="108">
        <v>31.24979846014493</v>
      </c>
      <c r="G88" s="109">
        <v>23.630269338768127</v>
      </c>
      <c r="H88" s="107">
        <v>19.53850324494346</v>
      </c>
      <c r="I88" s="108">
        <v>17.141556776556776</v>
      </c>
      <c r="J88" s="108">
        <v>20.815947690217392</v>
      </c>
      <c r="K88" s="109">
        <v>22.887461865942033</v>
      </c>
      <c r="L88" s="107">
        <v>23.199066475442827</v>
      </c>
      <c r="M88" s="108">
        <v>26.300711996337007</v>
      </c>
      <c r="N88" s="108">
        <v>25.430877490942027</v>
      </c>
      <c r="O88" s="109">
        <v>32.004984551127215</v>
      </c>
      <c r="P88" s="107">
        <v>26.785470153985496</v>
      </c>
      <c r="Q88" s="108">
        <v>31.26213713369965</v>
      </c>
      <c r="R88" s="108">
        <v>28.32578691123188</v>
      </c>
      <c r="S88" s="109">
        <v>25.307324320652167</v>
      </c>
      <c r="T88" s="107">
        <v>22.17571215780999</v>
      </c>
      <c r="U88" s="108">
        <v>19.319275412087915</v>
      </c>
      <c r="V88" s="108">
        <v>19.897398097826084</v>
      </c>
      <c r="W88" s="109">
        <v>15.149004076086959</v>
      </c>
      <c r="X88" s="107">
        <v>13.804743092052874</v>
      </c>
      <c r="Y88" s="108">
        <v>14.6552048992674</v>
      </c>
      <c r="Z88" s="108">
        <v>20.848108016304352</v>
      </c>
      <c r="AA88" s="109">
        <v>18.255682925724642</v>
      </c>
      <c r="AB88" s="107">
        <v>17.694403532608696</v>
      </c>
      <c r="AC88" s="108">
        <v>19.575868818681322</v>
      </c>
      <c r="AD88" s="108">
        <v>21.74405457427536</v>
      </c>
      <c r="AE88" s="109">
        <v>18.065305072463772</v>
      </c>
      <c r="AF88" s="107">
        <v>19.286005585748793</v>
      </c>
      <c r="AG88" s="108">
        <v>19.149107142857151</v>
      </c>
      <c r="AH88" s="108">
        <v>24.797327898550712</v>
      </c>
      <c r="AI88" s="109">
        <v>24.813507246376808</v>
      </c>
      <c r="AJ88" s="107">
        <v>19.534488123993555</v>
      </c>
      <c r="AK88" s="108">
        <v>18.615081272893772</v>
      </c>
      <c r="AL88" s="108">
        <v>21.650780117753627</v>
      </c>
      <c r="AM88" s="109">
        <v>18.826626992753621</v>
      </c>
      <c r="AN88" s="107">
        <v>14.412947971412642</v>
      </c>
      <c r="AO88" s="108">
        <v>12.088152472527479</v>
      </c>
      <c r="AP88" s="108">
        <v>18.494975090579711</v>
      </c>
      <c r="AQ88" s="109">
        <v>18.216341213768118</v>
      </c>
      <c r="AR88" s="107">
        <v>533.20089970813194</v>
      </c>
      <c r="AS88" s="108">
        <v>25.123743131868125</v>
      </c>
      <c r="AT88" s="108">
        <v>29.751511548913044</v>
      </c>
      <c r="AU88" s="109">
        <v>31.078330253623193</v>
      </c>
      <c r="AV88" s="107">
        <v>29.123072614734291</v>
      </c>
      <c r="AW88" s="108">
        <v>48.29012591575092</v>
      </c>
      <c r="AX88" s="108">
        <v>66.717404891304312</v>
      </c>
      <c r="AY88" s="109">
        <v>37.843123571178118</v>
      </c>
      <c r="AZ88" s="107">
        <v>16.642579810789048</v>
      </c>
      <c r="BA88" s="108">
        <v>19.001691620879122</v>
      </c>
      <c r="BB88" s="108">
        <v>33.449402721774184</v>
      </c>
      <c r="BC88" s="109">
        <v>20.758655529745216</v>
      </c>
      <c r="BD88" s="107">
        <v>17.879224294435108</v>
      </c>
      <c r="BE88" s="108">
        <v>26.8389433578926</v>
      </c>
      <c r="BF88" s="108">
        <v>67.47563367346666</v>
      </c>
      <c r="BG88" s="109">
        <v>31.265303687833335</v>
      </c>
      <c r="BH88" s="107">
        <v>21.167457482998053</v>
      </c>
      <c r="BI88" s="108">
        <v>32.049385225840922</v>
      </c>
      <c r="BJ88" s="108">
        <v>80.575175710958419</v>
      </c>
      <c r="BK88" s="109">
        <v>37.335067507402613</v>
      </c>
      <c r="BL88" s="107">
        <v>21.372338570867434</v>
      </c>
      <c r="BM88" s="108">
        <v>32.359593143626483</v>
      </c>
      <c r="BN88" s="108">
        <v>81.355067659161804</v>
      </c>
      <c r="BO88" s="109">
        <v>37.696435860344266</v>
      </c>
    </row>
    <row r="89" spans="3:67" x14ac:dyDescent="0.25">
      <c r="C89" t="s">
        <v>18</v>
      </c>
      <c r="D89" s="107">
        <v>29.8071865942029</v>
      </c>
      <c r="E89" s="108">
        <v>27.334835164835152</v>
      </c>
      <c r="F89" s="108">
        <v>31.034110054347821</v>
      </c>
      <c r="G89" s="109">
        <v>23.925171286231883</v>
      </c>
      <c r="H89" s="107">
        <v>19.365880564182188</v>
      </c>
      <c r="I89" s="108">
        <v>16.926233974358968</v>
      </c>
      <c r="J89" s="108">
        <v>21.107855525362321</v>
      </c>
      <c r="K89" s="109">
        <v>22.343847056159426</v>
      </c>
      <c r="L89" s="107">
        <v>23.143879981884069</v>
      </c>
      <c r="M89" s="108">
        <v>26.316911630036625</v>
      </c>
      <c r="N89" s="108">
        <v>25.562675498188408</v>
      </c>
      <c r="O89" s="109">
        <v>31.796791113123987</v>
      </c>
      <c r="P89" s="107">
        <v>26.801473958333329</v>
      </c>
      <c r="Q89" s="108">
        <v>30.898569139194134</v>
      </c>
      <c r="R89" s="108">
        <v>28.542640398550727</v>
      </c>
      <c r="S89" s="109">
        <v>25.265815081521733</v>
      </c>
      <c r="T89" s="107">
        <v>22.23049803743962</v>
      </c>
      <c r="U89" s="108">
        <v>20.495057234432235</v>
      </c>
      <c r="V89" s="108">
        <v>20.106205842391308</v>
      </c>
      <c r="W89" s="109">
        <v>15.567165081521738</v>
      </c>
      <c r="X89" s="107">
        <v>13.567103589345434</v>
      </c>
      <c r="Y89" s="108">
        <v>14.551979166666674</v>
      </c>
      <c r="Z89" s="108">
        <v>21.434193840579709</v>
      </c>
      <c r="AA89" s="109">
        <v>18.581885235507244</v>
      </c>
      <c r="AB89" s="107">
        <v>17.745814764492753</v>
      </c>
      <c r="AC89" s="108">
        <v>21.731801739926734</v>
      </c>
      <c r="AD89" s="108">
        <v>23.207665307971009</v>
      </c>
      <c r="AE89" s="109">
        <v>19.342823505434787</v>
      </c>
      <c r="AF89" s="107">
        <v>19.624934933574881</v>
      </c>
      <c r="AG89" s="108">
        <v>20.714610805860811</v>
      </c>
      <c r="AH89" s="108">
        <v>25.124899230072462</v>
      </c>
      <c r="AI89" s="109">
        <v>23.874770742753618</v>
      </c>
      <c r="AJ89" s="107">
        <v>19.986101851851856</v>
      </c>
      <c r="AK89" s="108">
        <v>18.229522664835169</v>
      </c>
      <c r="AL89" s="108">
        <v>22.014147418478267</v>
      </c>
      <c r="AM89" s="109">
        <v>20.230110869565227</v>
      </c>
      <c r="AN89" s="107">
        <v>14.46584970735786</v>
      </c>
      <c r="AO89" s="108">
        <v>12.47733974358975</v>
      </c>
      <c r="AP89" s="108">
        <v>18.745293251811599</v>
      </c>
      <c r="AQ89" s="109">
        <v>17.111445244565221</v>
      </c>
      <c r="AR89" s="107">
        <v>523.94858589975843</v>
      </c>
      <c r="AS89" s="108">
        <v>24.673739697802194</v>
      </c>
      <c r="AT89" s="108">
        <v>29.272863451086945</v>
      </c>
      <c r="AU89" s="109">
        <v>30.477682246376808</v>
      </c>
      <c r="AV89" s="107">
        <v>26.984756843800309</v>
      </c>
      <c r="AW89" s="108">
        <v>46.456019917582424</v>
      </c>
      <c r="AX89" s="108">
        <v>65.719977355072444</v>
      </c>
      <c r="AY89" s="109">
        <v>37.785128862786365</v>
      </c>
      <c r="AZ89" s="107">
        <v>17.618279690016106</v>
      </c>
      <c r="BA89" s="108">
        <v>19.399161401098898</v>
      </c>
      <c r="BB89" s="108">
        <v>34.468410216514734</v>
      </c>
      <c r="BC89" s="109">
        <v>22.697002336079951</v>
      </c>
      <c r="BD89" s="107">
        <v>19.039254313212492</v>
      </c>
      <c r="BE89" s="108">
        <v>27.793849607892597</v>
      </c>
      <c r="BF89" s="108">
        <v>66.058967006799989</v>
      </c>
      <c r="BG89" s="109">
        <v>33.565303687833328</v>
      </c>
      <c r="BH89" s="107">
        <v>22.791518752754143</v>
      </c>
      <c r="BI89" s="108">
        <v>33.592670465554207</v>
      </c>
      <c r="BJ89" s="108">
        <v>79.841300908679983</v>
      </c>
      <c r="BK89" s="109">
        <v>40.568262467011678</v>
      </c>
      <c r="BL89" s="107">
        <v>23.125369918800633</v>
      </c>
      <c r="BM89" s="108">
        <v>34.084737375495678</v>
      </c>
      <c r="BN89" s="108">
        <v>81.010819785249382</v>
      </c>
      <c r="BO89" s="109">
        <v>41.162508154454301</v>
      </c>
    </row>
    <row r="90" spans="3:67" x14ac:dyDescent="0.25">
      <c r="C90" t="s">
        <v>19</v>
      </c>
      <c r="D90" s="107">
        <v>20.458235294117642</v>
      </c>
      <c r="E90" s="108">
        <v>15.988181818181818</v>
      </c>
      <c r="F90" s="108">
        <v>24.526097560975611</v>
      </c>
      <c r="G90" s="109">
        <v>24.08657894736842</v>
      </c>
      <c r="H90" s="107">
        <v>19.836734693877553</v>
      </c>
      <c r="I90" s="108">
        <v>16.344545454545454</v>
      </c>
      <c r="J90" s="108">
        <v>20.018333333333338</v>
      </c>
      <c r="K90" s="109">
        <v>25.022727272727277</v>
      </c>
      <c r="L90" s="107">
        <v>27.013333333333335</v>
      </c>
      <c r="M90" s="108">
        <v>26.58642857142857</v>
      </c>
      <c r="N90" s="108">
        <v>24.336666666666662</v>
      </c>
      <c r="O90" s="109">
        <v>37.216206896551725</v>
      </c>
      <c r="P90" s="107">
        <v>29.902142857142856</v>
      </c>
      <c r="Q90" s="108">
        <v>31.198387096774194</v>
      </c>
      <c r="R90" s="108">
        <v>31.499310344827585</v>
      </c>
      <c r="S90" s="109">
        <v>26.848387096774196</v>
      </c>
      <c r="T90" s="107">
        <v>21.951388888888893</v>
      </c>
      <c r="U90" s="108">
        <v>21.208409090909093</v>
      </c>
      <c r="V90" s="108">
        <v>23.832173913043476</v>
      </c>
      <c r="W90" s="109">
        <v>19.805555555555557</v>
      </c>
      <c r="X90" s="107">
        <v>16.825681818181817</v>
      </c>
      <c r="Y90" s="108">
        <v>16.068333333333332</v>
      </c>
      <c r="Z90" s="108">
        <v>22.099565217391302</v>
      </c>
      <c r="AA90" s="109">
        <v>21.735135135135135</v>
      </c>
      <c r="AB90" s="107">
        <v>20.877073170731702</v>
      </c>
      <c r="AC90" s="108">
        <v>21.894222222222222</v>
      </c>
      <c r="AD90" s="108">
        <v>23.702653061224492</v>
      </c>
      <c r="AE90" s="109">
        <v>23.66375</v>
      </c>
      <c r="AF90" s="107">
        <v>23.66375</v>
      </c>
      <c r="AG90" s="108">
        <v>19.925000000000001</v>
      </c>
      <c r="AH90" s="108">
        <v>36.979999999999997</v>
      </c>
      <c r="AI90" s="109">
        <v>41.837142857142851</v>
      </c>
      <c r="AJ90" s="107">
        <v>33.44</v>
      </c>
      <c r="AK90" s="108">
        <v>13.506470588235294</v>
      </c>
      <c r="AL90" s="108">
        <v>22.249166666666667</v>
      </c>
      <c r="AM90" s="109">
        <v>26.736000000000001</v>
      </c>
      <c r="AN90" s="107">
        <v>16.535</v>
      </c>
      <c r="AO90" s="108">
        <v>20.25</v>
      </c>
      <c r="AP90" s="108">
        <v>73.952857142857155</v>
      </c>
      <c r="AQ90" s="109">
        <v>31.21875</v>
      </c>
      <c r="AR90" s="107">
        <v>26.2</v>
      </c>
      <c r="AS90" s="108">
        <v>40.97</v>
      </c>
      <c r="AT90" s="108">
        <v>50.813571428571436</v>
      </c>
      <c r="AU90" s="109">
        <v>52.674583333333338</v>
      </c>
      <c r="AV90" s="107">
        <v>42.24583333333333</v>
      </c>
      <c r="AW90" s="108">
        <v>58</v>
      </c>
      <c r="AX90" s="108">
        <v>81.245294117647063</v>
      </c>
      <c r="AY90" s="109">
        <v>150.44999999999999</v>
      </c>
      <c r="AZ90" s="107">
        <v>85.359999999999985</v>
      </c>
      <c r="BA90" s="108">
        <v>85.359999999999985</v>
      </c>
      <c r="BB90" s="108">
        <v>81.875</v>
      </c>
      <c r="BC90" s="109">
        <v>52.81933333333334</v>
      </c>
      <c r="BD90" s="107">
        <v>46.482727272727274</v>
      </c>
      <c r="BE90" s="108">
        <v>25.375</v>
      </c>
      <c r="BF90" s="108">
        <v>58.4</v>
      </c>
      <c r="BG90" s="109">
        <v>56.35</v>
      </c>
      <c r="BH90" s="107">
        <v>54.530799268358621</v>
      </c>
      <c r="BI90" s="108">
        <v>33.47765187201</v>
      </c>
      <c r="BJ90" s="108">
        <v>77.048073667995411</v>
      </c>
      <c r="BK90" s="109">
        <v>74.34347519163596</v>
      </c>
      <c r="BL90" s="107">
        <v>58.953549278576205</v>
      </c>
      <c r="BM90" s="108">
        <v>36.192874959614841</v>
      </c>
      <c r="BN90" s="108">
        <v>83.297099414443608</v>
      </c>
      <c r="BO90" s="109">
        <v>80.373143013765343</v>
      </c>
    </row>
    <row r="91" spans="3:67" x14ac:dyDescent="0.25">
      <c r="C91" t="s">
        <v>20</v>
      </c>
      <c r="D91" s="107">
        <v>18.974865649255229</v>
      </c>
      <c r="E91" s="108">
        <v>10.592114644001832</v>
      </c>
      <c r="F91" s="108">
        <v>23.428638822463746</v>
      </c>
      <c r="G91" s="109">
        <v>24.040611232563403</v>
      </c>
      <c r="H91" s="107">
        <v>19.574844206780533</v>
      </c>
      <c r="I91" s="108">
        <v>14.132461858974361</v>
      </c>
      <c r="J91" s="108">
        <v>19.690949210824268</v>
      </c>
      <c r="K91" s="109">
        <v>27.320213811911241</v>
      </c>
      <c r="L91" s="107">
        <v>34.906394377365146</v>
      </c>
      <c r="M91" s="108">
        <v>29.51015124084249</v>
      </c>
      <c r="N91" s="108">
        <v>32.575099427083344</v>
      </c>
      <c r="O91" s="109">
        <v>42.627117423409828</v>
      </c>
      <c r="P91" s="107">
        <v>37.361519796557985</v>
      </c>
      <c r="Q91" s="108">
        <v>21.235009505690744</v>
      </c>
      <c r="R91" s="108">
        <v>33.125406867559512</v>
      </c>
      <c r="S91" s="109">
        <v>32.544144284297367</v>
      </c>
      <c r="T91" s="107">
        <v>24.552941132037905</v>
      </c>
      <c r="U91" s="108">
        <v>25.405648776654878</v>
      </c>
      <c r="V91" s="108">
        <v>28.41391110280798</v>
      </c>
      <c r="W91" s="109">
        <v>25.53134713495729</v>
      </c>
      <c r="X91" s="107">
        <v>20.780798292565343</v>
      </c>
      <c r="Y91" s="108">
        <v>18.439791219093404</v>
      </c>
      <c r="Z91" s="108">
        <v>27.717085095270448</v>
      </c>
      <c r="AA91" s="109">
        <v>27.225998677746944</v>
      </c>
      <c r="AB91" s="107">
        <v>23.502615202110384</v>
      </c>
      <c r="AC91" s="108">
        <v>22.058978634484564</v>
      </c>
      <c r="AD91" s="108">
        <v>29.16276689554218</v>
      </c>
      <c r="AE91" s="109">
        <v>31.166413735261386</v>
      </c>
      <c r="AF91" s="107">
        <v>27.79077055530394</v>
      </c>
      <c r="AG91" s="108">
        <v>21.558622073031124</v>
      </c>
      <c r="AH91" s="108">
        <v>34.977830705445761</v>
      </c>
      <c r="AI91" s="109">
        <v>40.034091804481179</v>
      </c>
      <c r="AJ91" s="107">
        <v>43.653276405358575</v>
      </c>
      <c r="AK91" s="108">
        <v>20.38135531589851</v>
      </c>
      <c r="AL91" s="108">
        <v>28.213310542226449</v>
      </c>
      <c r="AM91" s="109">
        <v>35.568805972233129</v>
      </c>
      <c r="AN91" s="107">
        <v>25.079859272653447</v>
      </c>
      <c r="AO91" s="108">
        <v>19.923726863794851</v>
      </c>
      <c r="AP91" s="108">
        <v>29.187101710647834</v>
      </c>
      <c r="AQ91" s="109">
        <v>34.235797533693123</v>
      </c>
      <c r="AR91" s="107">
        <v>40.287738801774218</v>
      </c>
      <c r="AS91" s="108">
        <v>33.842968082340789</v>
      </c>
      <c r="AT91" s="108">
        <v>51.233520336178721</v>
      </c>
      <c r="AU91" s="109">
        <v>52.647754030150082</v>
      </c>
      <c r="AV91" s="107">
        <v>46.230639700188355</v>
      </c>
      <c r="AW91" s="108">
        <v>63.889335967340124</v>
      </c>
      <c r="AX91" s="108">
        <v>80.731001660868927</v>
      </c>
      <c r="AY91" s="109">
        <v>127.09998063732816</v>
      </c>
      <c r="AZ91" s="107">
        <v>93.226647077014348</v>
      </c>
      <c r="BA91" s="108">
        <v>34.607489421885361</v>
      </c>
      <c r="BB91" s="108">
        <v>47.850102016673638</v>
      </c>
      <c r="BC91" s="109">
        <v>51.787513642806516</v>
      </c>
      <c r="BD91" s="107">
        <v>44.021244307086562</v>
      </c>
      <c r="BE91" s="108">
        <v>23.817041236111113</v>
      </c>
      <c r="BF91" s="108">
        <v>48.9</v>
      </c>
      <c r="BG91" s="109">
        <v>58.35</v>
      </c>
      <c r="BH91" s="107">
        <v>57.318113250509583</v>
      </c>
      <c r="BI91" s="108">
        <v>31.124741363182444</v>
      </c>
      <c r="BJ91" s="108">
        <v>63.903817336973987</v>
      </c>
      <c r="BK91" s="109">
        <v>76.253328049333987</v>
      </c>
      <c r="BL91" s="107">
        <v>63.039059374673378</v>
      </c>
      <c r="BM91" s="108">
        <v>34.231315504746952</v>
      </c>
      <c r="BN91" s="108">
        <v>70.282085486091432</v>
      </c>
      <c r="BO91" s="109">
        <v>83.864206300888242</v>
      </c>
    </row>
    <row r="92" spans="3:67" x14ac:dyDescent="0.25">
      <c r="C92" t="s">
        <v>21</v>
      </c>
      <c r="D92" s="107">
        <v>18.722317882447662</v>
      </c>
      <c r="E92" s="108">
        <v>9.396258015109888</v>
      </c>
      <c r="F92" s="108">
        <v>23.640035421195652</v>
      </c>
      <c r="G92" s="109">
        <v>25.15623199827899</v>
      </c>
      <c r="H92" s="107">
        <v>20.248332309583525</v>
      </c>
      <c r="I92" s="108">
        <v>12.638521983745417</v>
      </c>
      <c r="J92" s="108">
        <v>18.538177578124998</v>
      </c>
      <c r="K92" s="109">
        <v>27.611688596331518</v>
      </c>
      <c r="L92" s="107">
        <v>32.535625475191225</v>
      </c>
      <c r="M92" s="108">
        <v>29.389078711080582</v>
      </c>
      <c r="N92" s="108">
        <v>33.408651492300713</v>
      </c>
      <c r="O92" s="109">
        <v>43.573062782256443</v>
      </c>
      <c r="P92" s="107">
        <v>39.111093514039872</v>
      </c>
      <c r="Q92" s="108">
        <v>25.133060753891947</v>
      </c>
      <c r="R92" s="108">
        <v>33.672098231107654</v>
      </c>
      <c r="S92" s="109">
        <v>32.79430912681805</v>
      </c>
      <c r="T92" s="107">
        <v>25.992472138601332</v>
      </c>
      <c r="U92" s="108">
        <v>27.16867147632129</v>
      </c>
      <c r="V92" s="108">
        <v>27.614825502717384</v>
      </c>
      <c r="W92" s="109">
        <v>26.110869571577393</v>
      </c>
      <c r="X92" s="107">
        <v>20.11139374158903</v>
      </c>
      <c r="Y92" s="108">
        <v>21.2270874957483</v>
      </c>
      <c r="Z92" s="108">
        <v>29.189901377458604</v>
      </c>
      <c r="AA92" s="109">
        <v>28.44518337338728</v>
      </c>
      <c r="AB92" s="107">
        <v>24.123383839646465</v>
      </c>
      <c r="AC92" s="108">
        <v>20.910626551641812</v>
      </c>
      <c r="AD92" s="108">
        <v>30.198757360248454</v>
      </c>
      <c r="AE92" s="109">
        <v>30.953927045121635</v>
      </c>
      <c r="AF92" s="107">
        <v>29.637675953200478</v>
      </c>
      <c r="AG92" s="108">
        <v>22.642902979624534</v>
      </c>
      <c r="AH92" s="108">
        <v>32.73485823079119</v>
      </c>
      <c r="AI92" s="109">
        <v>41.546538330101718</v>
      </c>
      <c r="AJ92" s="107">
        <v>44.018462854878365</v>
      </c>
      <c r="AK92" s="108">
        <v>19.497658177833429</v>
      </c>
      <c r="AL92" s="108">
        <v>28.102968378770885</v>
      </c>
      <c r="AM92" s="109">
        <v>35.266763175660635</v>
      </c>
      <c r="AN92" s="107">
        <v>25.795499255945273</v>
      </c>
      <c r="AO92" s="108">
        <v>20.929380183007986</v>
      </c>
      <c r="AP92" s="108">
        <v>29.158188205727683</v>
      </c>
      <c r="AQ92" s="109">
        <v>36.623787774334147</v>
      </c>
      <c r="AR92" s="107">
        <v>40.449163677586562</v>
      </c>
      <c r="AS92" s="108">
        <v>37.639025195876833</v>
      </c>
      <c r="AT92" s="108">
        <v>53.689145629880606</v>
      </c>
      <c r="AU92" s="109">
        <v>55.001944648518382</v>
      </c>
      <c r="AV92" s="107">
        <v>47.512579892964951</v>
      </c>
      <c r="AW92" s="108">
        <v>69.857923682584257</v>
      </c>
      <c r="AX92" s="108">
        <v>80.29838552688382</v>
      </c>
      <c r="AY92" s="109">
        <v>128.313760002652</v>
      </c>
      <c r="AZ92" s="107">
        <v>94.593817631497046</v>
      </c>
      <c r="BA92" s="108">
        <v>34.607081871817947</v>
      </c>
      <c r="BB92" s="108">
        <v>45.053569766566213</v>
      </c>
      <c r="BC92" s="109">
        <v>54.85869441553443</v>
      </c>
      <c r="BD92" s="107">
        <v>47.218315064479391</v>
      </c>
      <c r="BE92" s="108">
        <v>27.99252510185185</v>
      </c>
      <c r="BF92" s="108">
        <v>49.9</v>
      </c>
      <c r="BG92" s="109">
        <v>64.600000000000009</v>
      </c>
      <c r="BH92" s="107">
        <v>61.575763513159373</v>
      </c>
      <c r="BI92" s="108">
        <v>36.642514182617845</v>
      </c>
      <c r="BJ92" s="108">
        <v>65.319632689787909</v>
      </c>
      <c r="BK92" s="109">
        <v>84.562089614434868</v>
      </c>
      <c r="BL92" s="107">
        <v>68.454743408456892</v>
      </c>
      <c r="BM92" s="108">
        <v>40.736058525296016</v>
      </c>
      <c r="BN92" s="108">
        <v>72.616861573441824</v>
      </c>
      <c r="BO92" s="109">
        <v>94.009003159205264</v>
      </c>
    </row>
    <row r="93" spans="3:67" x14ac:dyDescent="0.25">
      <c r="C93" t="s">
        <v>22</v>
      </c>
      <c r="D93" s="107">
        <v>16.248095238095239</v>
      </c>
      <c r="E93" s="108">
        <v>8.8706896551724146</v>
      </c>
      <c r="F93" s="108">
        <v>19.931132075471702</v>
      </c>
      <c r="G93" s="109">
        <v>27.305689655172419</v>
      </c>
      <c r="H93" s="107">
        <v>19.371833333333331</v>
      </c>
      <c r="I93" s="108">
        <v>7.370967741935433E-2</v>
      </c>
      <c r="J93" s="108">
        <v>13.051400000000001</v>
      </c>
      <c r="K93" s="109">
        <v>25.025692307692317</v>
      </c>
      <c r="L93" s="107">
        <v>26.816410256410261</v>
      </c>
      <c r="M93" s="108">
        <v>17.528181818181817</v>
      </c>
      <c r="N93" s="108">
        <v>23.521739130434778</v>
      </c>
      <c r="O93" s="109">
        <v>24.855277777777776</v>
      </c>
      <c r="P93" s="107">
        <v>37.909999999999997</v>
      </c>
      <c r="Q93" s="108">
        <v>13.964473684210526</v>
      </c>
      <c r="R93" s="108">
        <v>27.640666666666668</v>
      </c>
      <c r="S93" s="109">
        <v>27.14555555555555</v>
      </c>
      <c r="T93" s="107">
        <v>15.056279069767442</v>
      </c>
      <c r="U93" s="108">
        <v>22.67235294117647</v>
      </c>
      <c r="V93" s="108">
        <v>22.541666666666668</v>
      </c>
      <c r="W93" s="109">
        <v>19.292727272727276</v>
      </c>
      <c r="X93" s="107">
        <v>14.811363636363636</v>
      </c>
      <c r="Y93" s="108">
        <v>10.678222222222219</v>
      </c>
      <c r="Z93" s="108">
        <v>23.4837037037037</v>
      </c>
      <c r="AA93" s="109">
        <v>18.550377358490564</v>
      </c>
      <c r="AB93" s="107">
        <v>17.034905660377362</v>
      </c>
      <c r="AC93" s="108">
        <v>3.7259375000000001</v>
      </c>
      <c r="AD93" s="108">
        <v>23.68</v>
      </c>
      <c r="AE93" s="109">
        <v>22.81</v>
      </c>
      <c r="AF93" s="107">
        <v>17.439166666666669</v>
      </c>
      <c r="AG93" s="108">
        <v>12.115999999999998</v>
      </c>
      <c r="AH93" s="108">
        <v>23.814999999999998</v>
      </c>
      <c r="AI93" s="109">
        <v>44.794545454545478</v>
      </c>
      <c r="AJ93" s="107">
        <v>51.677619047619061</v>
      </c>
      <c r="AK93" s="108">
        <v>12.855499999999997</v>
      </c>
      <c r="AL93" s="108">
        <v>24.942571428571434</v>
      </c>
      <c r="AM93" s="109">
        <v>31.722307692307695</v>
      </c>
      <c r="AN93" s="107">
        <v>19.07</v>
      </c>
      <c r="AO93" s="108">
        <v>6.7279591836734696</v>
      </c>
      <c r="AP93" s="108">
        <v>14.318444444444443</v>
      </c>
      <c r="AQ93" s="109">
        <v>25.885625000000005</v>
      </c>
      <c r="AR93" s="107">
        <v>29.227435897435907</v>
      </c>
      <c r="AS93" s="108">
        <v>31.576756756756762</v>
      </c>
      <c r="AT93" s="108">
        <v>43.961555555555549</v>
      </c>
      <c r="AU93" s="109">
        <v>44.165384615384625</v>
      </c>
      <c r="AV93" s="107">
        <v>34.555660377358492</v>
      </c>
      <c r="AW93" s="108">
        <v>53.758214285714303</v>
      </c>
      <c r="AX93" s="108">
        <v>64.909302325581407</v>
      </c>
      <c r="AY93" s="109">
        <v>131.23961538461538</v>
      </c>
      <c r="AZ93" s="107">
        <v>97.149600000000007</v>
      </c>
      <c r="BA93" s="108">
        <v>44.787948717948716</v>
      </c>
      <c r="BB93" s="108">
        <v>49.722941176470592</v>
      </c>
      <c r="BC93" s="109">
        <v>61.120212765957447</v>
      </c>
      <c r="BD93" s="107">
        <v>97.488500000000016</v>
      </c>
      <c r="BE93" s="108">
        <v>23.925555555555558</v>
      </c>
      <c r="BF93" s="108">
        <v>52.4</v>
      </c>
      <c r="BG93" s="109">
        <v>67.850000000000009</v>
      </c>
      <c r="BH93" s="107">
        <v>97.285263821726645</v>
      </c>
      <c r="BI93" s="108">
        <v>26.63699975436397</v>
      </c>
      <c r="BJ93" s="108">
        <v>58.338406558111018</v>
      </c>
      <c r="BK93" s="109">
        <v>75.539329865798365</v>
      </c>
      <c r="BL93" s="107">
        <v>103.17848157446787</v>
      </c>
      <c r="BM93" s="108">
        <v>28.250580616105164</v>
      </c>
      <c r="BN93" s="108">
        <v>61.872353218572393</v>
      </c>
      <c r="BO93" s="109">
        <v>80.115251257254556</v>
      </c>
    </row>
    <row r="94" spans="3:67" x14ac:dyDescent="0.25">
      <c r="C94" t="s">
        <v>23</v>
      </c>
      <c r="D94" s="107">
        <v>21.679500452898552</v>
      </c>
      <c r="E94" s="108">
        <v>15.42058035714286</v>
      </c>
      <c r="F94" s="108">
        <v>30.891255661231888</v>
      </c>
      <c r="G94" s="109">
        <v>16.763071376811602</v>
      </c>
      <c r="H94" s="107">
        <v>13.916985188724318</v>
      </c>
      <c r="I94" s="108">
        <v>13.258952609890109</v>
      </c>
      <c r="J94" s="108">
        <v>19.372339221014496</v>
      </c>
      <c r="K94" s="109">
        <v>20.709261096014483</v>
      </c>
      <c r="L94" s="107">
        <v>20.440848782206118</v>
      </c>
      <c r="M94" s="108">
        <v>23.552954441391933</v>
      </c>
      <c r="N94" s="108">
        <v>25.64189198369565</v>
      </c>
      <c r="O94" s="109">
        <v>32.272174315619957</v>
      </c>
      <c r="P94" s="107">
        <v>26.4882361865942</v>
      </c>
      <c r="Q94" s="108">
        <v>31.134892399267407</v>
      </c>
      <c r="R94" s="108">
        <v>28.14129528985508</v>
      </c>
      <c r="S94" s="109">
        <v>25.026826811594209</v>
      </c>
      <c r="T94" s="107">
        <v>22.267231833735906</v>
      </c>
      <c r="U94" s="108">
        <v>19.322938415750922</v>
      </c>
      <c r="V94" s="108">
        <v>19.883229166666666</v>
      </c>
      <c r="W94" s="109">
        <v>14.538071105072467</v>
      </c>
      <c r="X94" s="107">
        <v>13.415166079391629</v>
      </c>
      <c r="Y94" s="108">
        <v>13.686976877289379</v>
      </c>
      <c r="Z94" s="108">
        <v>20.563768115942029</v>
      </c>
      <c r="AA94" s="109">
        <v>17.754754528985508</v>
      </c>
      <c r="AB94" s="107">
        <v>15.114614834943641</v>
      </c>
      <c r="AC94" s="108">
        <v>18.580832188644688</v>
      </c>
      <c r="AD94" s="108">
        <v>21.66212522644927</v>
      </c>
      <c r="AE94" s="109">
        <v>17.263756521739129</v>
      </c>
      <c r="AF94" s="107">
        <v>17.088877969001611</v>
      </c>
      <c r="AG94" s="108">
        <v>15.329593635531129</v>
      </c>
      <c r="AH94" s="108">
        <v>24.638542798913047</v>
      </c>
      <c r="AI94" s="109">
        <v>23.98330511775362</v>
      </c>
      <c r="AJ94" s="107">
        <v>18.22815448872786</v>
      </c>
      <c r="AK94" s="108">
        <v>17.473668727106222</v>
      </c>
      <c r="AL94" s="108">
        <v>20.914697690217391</v>
      </c>
      <c r="AM94" s="109">
        <v>16.92868555253623</v>
      </c>
      <c r="AN94" s="107">
        <v>11.491115523968787</v>
      </c>
      <c r="AO94" s="108">
        <v>10.860820741758239</v>
      </c>
      <c r="AP94" s="108">
        <v>17.94285439311594</v>
      </c>
      <c r="AQ94" s="109">
        <v>14.043062681159419</v>
      </c>
      <c r="AR94" s="107">
        <v>532.355880887681</v>
      </c>
      <c r="AS94" s="108">
        <v>22.26652014652014</v>
      </c>
      <c r="AT94" s="108">
        <v>28.65118432971013</v>
      </c>
      <c r="AU94" s="109">
        <v>25.065115036231884</v>
      </c>
      <c r="AV94" s="107">
        <v>23.855252516103054</v>
      </c>
      <c r="AW94" s="108">
        <v>42.741496108058612</v>
      </c>
      <c r="AX94" s="108">
        <v>66.432757019927536</v>
      </c>
      <c r="AY94" s="109">
        <v>36.609693846423554</v>
      </c>
      <c r="AZ94" s="107">
        <v>19.573873641304356</v>
      </c>
      <c r="BA94" s="108">
        <v>19.960388049450547</v>
      </c>
      <c r="BB94" s="108">
        <v>36.898874875818144</v>
      </c>
      <c r="BC94" s="109">
        <v>27.596650597533891</v>
      </c>
      <c r="BD94" s="107">
        <v>23.460992451476763</v>
      </c>
      <c r="BE94" s="108">
        <v>30.61389488852592</v>
      </c>
      <c r="BF94" s="108">
        <v>73.24230034013334</v>
      </c>
      <c r="BG94" s="109">
        <v>37.065303687833328</v>
      </c>
      <c r="BH94" s="107">
        <v>28.15528161240935</v>
      </c>
      <c r="BI94" s="108">
        <v>37.098598208318279</v>
      </c>
      <c r="BJ94" s="108">
        <v>88.756647334997581</v>
      </c>
      <c r="BK94" s="109">
        <v>44.916558771474804</v>
      </c>
      <c r="BL94" s="107">
        <v>27.889621390228111</v>
      </c>
      <c r="BM94" s="108">
        <v>36.748552984892406</v>
      </c>
      <c r="BN94" s="108">
        <v>87.919180639559357</v>
      </c>
      <c r="BO94" s="109">
        <v>44.492746886120138</v>
      </c>
    </row>
    <row r="97" spans="3:68" x14ac:dyDescent="0.25">
      <c r="C97" s="1" t="s">
        <v>0</v>
      </c>
    </row>
    <row r="98" spans="3:68" x14ac:dyDescent="0.25">
      <c r="C98" s="2" t="s">
        <v>208</v>
      </c>
      <c r="D98" s="90">
        <f>IF(ISBLANK(D3),NA(),D3)-IF(ISBLANK(D50),NA(),D50)</f>
        <v>1.0051392067124354E-2</v>
      </c>
      <c r="E98" s="90">
        <f t="shared" ref="E98:BO102" si="0">IF(ISBLANK(E3),NA(),E3)-IF(ISBLANK(E50),NA(),E50)</f>
        <v>-5.6899125180365218E-3</v>
      </c>
      <c r="F98" s="90">
        <f t="shared" si="0"/>
        <v>-2.9560688405787516E-3</v>
      </c>
      <c r="G98" s="90">
        <f t="shared" si="0"/>
        <v>-4.4920634920644353E-3</v>
      </c>
      <c r="H98" s="90">
        <f t="shared" si="0"/>
        <v>-1.1109624819624742E-2</v>
      </c>
      <c r="I98" s="90">
        <f t="shared" si="0"/>
        <v>2.3178210678209688E-3</v>
      </c>
      <c r="J98" s="90">
        <f t="shared" si="0"/>
        <v>4.1875376847912982E-3</v>
      </c>
      <c r="K98" s="90">
        <f t="shared" si="0"/>
        <v>6.0176449275357591E-3</v>
      </c>
      <c r="L98" s="90">
        <f t="shared" si="0"/>
        <v>1.1563759398495854E-2</v>
      </c>
      <c r="M98" s="90">
        <f t="shared" si="0"/>
        <v>-1.2892670454546895E-2</v>
      </c>
      <c r="N98" s="90">
        <f t="shared" si="0"/>
        <v>-3.2843371212130101E-3</v>
      </c>
      <c r="O98" s="90">
        <f t="shared" si="0"/>
        <v>-1.3327421089549722</v>
      </c>
      <c r="P98" s="90">
        <f t="shared" si="0"/>
        <v>1.352765927840434</v>
      </c>
      <c r="Q98" s="90">
        <f t="shared" si="0"/>
        <v>-1.6817956349205687E-2</v>
      </c>
      <c r="R98" s="90">
        <f t="shared" si="0"/>
        <v>-3.1011850649350858E-2</v>
      </c>
      <c r="S98" s="90">
        <f t="shared" si="0"/>
        <v>-1.7308894653051521E-2</v>
      </c>
      <c r="T98" s="90">
        <f t="shared" si="0"/>
        <v>-1.9059164994598365E-2</v>
      </c>
      <c r="U98" s="90">
        <f t="shared" si="0"/>
        <v>-1.1715743145741975E-2</v>
      </c>
      <c r="V98" s="90">
        <f t="shared" si="0"/>
        <v>-1.8024039502163802E-2</v>
      </c>
      <c r="W98" s="90">
        <f t="shared" si="0"/>
        <v>-2.7951701222754366E-2</v>
      </c>
      <c r="X98" s="90">
        <f t="shared" si="0"/>
        <v>-9.0140588804352717E-3</v>
      </c>
      <c r="Y98" s="90">
        <f t="shared" si="0"/>
        <v>-5.6363952020204167E-3</v>
      </c>
      <c r="Z98" s="90">
        <f t="shared" si="0"/>
        <v>-2.580026656314649E-2</v>
      </c>
      <c r="AA98" s="90">
        <f t="shared" si="0"/>
        <v>-2.0128046594982685E-2</v>
      </c>
      <c r="AB98" s="90">
        <f t="shared" si="0"/>
        <v>-1.9315639501980453E-2</v>
      </c>
      <c r="AC98" s="90">
        <f t="shared" si="0"/>
        <v>-2.6894442783094163E-2</v>
      </c>
      <c r="AD98" s="90">
        <f t="shared" si="0"/>
        <v>-2.1796452726016824E-2</v>
      </c>
      <c r="AE98" s="90">
        <f t="shared" si="0"/>
        <v>-4.1906207233628479E-3</v>
      </c>
      <c r="AF98" s="90">
        <f t="shared" si="0"/>
        <v>-2.9357079858115309E-2</v>
      </c>
      <c r="AG98" s="90">
        <f t="shared" si="0"/>
        <v>-2.0847528860028497E-2</v>
      </c>
      <c r="AH98" s="90">
        <f t="shared" si="0"/>
        <v>-9.2182594166572152E-3</v>
      </c>
      <c r="AI98" s="90">
        <f t="shared" si="0"/>
        <v>1.8749251603707773E-2</v>
      </c>
      <c r="AJ98" s="90">
        <f t="shared" si="0"/>
        <v>-8.7511441735155238E-3</v>
      </c>
      <c r="AK98" s="90">
        <f t="shared" si="0"/>
        <v>-1.0743371212121655E-2</v>
      </c>
      <c r="AL98" s="90">
        <f t="shared" si="0"/>
        <v>7.5678932178937508E-3</v>
      </c>
      <c r="AM98" s="90">
        <f t="shared" si="0"/>
        <v>1.9465059914863581E-2</v>
      </c>
      <c r="AN98" s="90">
        <f t="shared" si="0"/>
        <v>2.4008714356757999E-3</v>
      </c>
      <c r="AO98" s="90">
        <f t="shared" si="0"/>
        <v>-2.3909632034635475E-3</v>
      </c>
      <c r="AP98" s="90">
        <f t="shared" si="0"/>
        <v>-6.6989914021167163E-3</v>
      </c>
      <c r="AQ98" s="90">
        <f t="shared" si="0"/>
        <v>-4.7322984749455177E-2</v>
      </c>
      <c r="AR98" s="90">
        <f t="shared" si="0"/>
        <v>-6.5594853134261388E-2</v>
      </c>
      <c r="AS98" s="90">
        <f t="shared" si="0"/>
        <v>-1.9118542568541397E-2</v>
      </c>
      <c r="AT98" s="90">
        <f t="shared" si="0"/>
        <v>-4.8285381285380069E-3</v>
      </c>
      <c r="AU98" s="90">
        <f t="shared" si="0"/>
        <v>-5.787347670250842E-2</v>
      </c>
      <c r="AV98" s="90">
        <f t="shared" si="0"/>
        <v>-1.7495029649861493E-2</v>
      </c>
      <c r="AW98" s="90">
        <f t="shared" si="0"/>
        <v>-1.9747606246800942E-2</v>
      </c>
      <c r="AX98" s="90">
        <f t="shared" si="0"/>
        <v>-8.3875069013109815E-2</v>
      </c>
      <c r="AY98" s="90">
        <f t="shared" si="0"/>
        <v>-0.10532704712601149</v>
      </c>
      <c r="AZ98" s="90">
        <f t="shared" si="0"/>
        <v>-7.5251703944290149E-3</v>
      </c>
      <c r="BA98" s="90">
        <f t="shared" si="0"/>
        <v>8.9800258221313101E-3</v>
      </c>
      <c r="BB98" s="90">
        <f t="shared" si="0"/>
        <v>4.4700093501650606E-3</v>
      </c>
      <c r="BC98" s="90">
        <f t="shared" si="0"/>
        <v>-7.6336510053076623E-3</v>
      </c>
      <c r="BD98" s="90">
        <f t="shared" si="0"/>
        <v>-3.0593813427010286E-2</v>
      </c>
      <c r="BE98" s="90">
        <f t="shared" si="0"/>
        <v>0.16938676236044614</v>
      </c>
      <c r="BF98" s="90">
        <f t="shared" si="0"/>
        <v>-0.45266666666666699</v>
      </c>
      <c r="BG98" s="90">
        <f t="shared" si="0"/>
        <v>-0.21266666666666634</v>
      </c>
      <c r="BH98" s="90">
        <f t="shared" si="0"/>
        <v>0.50349950387741016</v>
      </c>
      <c r="BI98" s="90">
        <f t="shared" si="0"/>
        <v>0.40466313903135598</v>
      </c>
      <c r="BJ98" s="90">
        <f t="shared" si="0"/>
        <v>-0.48890188560924042</v>
      </c>
      <c r="BK98" s="90">
        <f t="shared" si="0"/>
        <v>-0.66959409049952523</v>
      </c>
      <c r="BL98" s="90">
        <f t="shared" si="0"/>
        <v>0.78197554481285536</v>
      </c>
      <c r="BM98" s="90">
        <f t="shared" si="0"/>
        <v>0.35589242621143269</v>
      </c>
      <c r="BN98" s="90">
        <f t="shared" si="0"/>
        <v>-0.69754896293429569</v>
      </c>
      <c r="BO98" s="90">
        <f t="shared" si="0"/>
        <v>-0.97831900782332593</v>
      </c>
      <c r="BP98" s="90"/>
    </row>
    <row r="99" spans="3:68" x14ac:dyDescent="0.25">
      <c r="C99" s="3" t="s">
        <v>2</v>
      </c>
      <c r="D99" s="90">
        <f t="shared" ref="D99:S142" si="1">IF(ISBLANK(D4),NA(),D4)-IF(ISBLANK(D51),NA(),D51)</f>
        <v>-0.16048136645963496</v>
      </c>
      <c r="E99" s="90">
        <f t="shared" si="1"/>
        <v>0.29938949938947701</v>
      </c>
      <c r="F99" s="90">
        <f t="shared" si="1"/>
        <v>7.936507936506132E-3</v>
      </c>
      <c r="G99" s="90">
        <f t="shared" si="1"/>
        <v>7.7367077366972126E-3</v>
      </c>
      <c r="H99" s="90">
        <f t="shared" si="1"/>
        <v>0.17662060162059845</v>
      </c>
      <c r="I99" s="90">
        <f t="shared" si="1"/>
        <v>0.16581196581197588</v>
      </c>
      <c r="J99" s="90">
        <f t="shared" si="1"/>
        <v>-0.15681235431236473</v>
      </c>
      <c r="K99" s="90">
        <f t="shared" si="1"/>
        <v>0.16567447045710537</v>
      </c>
      <c r="L99" s="90">
        <f t="shared" si="1"/>
        <v>7.8528428093633806E-2</v>
      </c>
      <c r="M99" s="90">
        <f t="shared" si="1"/>
        <v>0.16288461538461263</v>
      </c>
      <c r="N99" s="90">
        <f t="shared" si="1"/>
        <v>-4.9930069930049115E-2</v>
      </c>
      <c r="O99" s="90">
        <f t="shared" si="1"/>
        <v>-0.19924715635242762</v>
      </c>
      <c r="P99" s="90">
        <f t="shared" si="1"/>
        <v>-3.9854765117922852E-2</v>
      </c>
      <c r="Q99" s="90">
        <f t="shared" si="1"/>
        <v>9.0231990231977477E-2</v>
      </c>
      <c r="R99" s="90">
        <f t="shared" si="1"/>
        <v>-0.12599955599956303</v>
      </c>
      <c r="S99" s="90">
        <f t="shared" si="1"/>
        <v>5.2049987049983315E-2</v>
      </c>
      <c r="T99" s="90">
        <f t="shared" si="0"/>
        <v>-0.16484615384614187</v>
      </c>
      <c r="U99" s="90">
        <f t="shared" si="0"/>
        <v>1.900815850815718E-2</v>
      </c>
      <c r="V99" s="90">
        <f t="shared" si="0"/>
        <v>-0.15283327783327394</v>
      </c>
      <c r="W99" s="90">
        <f t="shared" si="0"/>
        <v>-0.23463145042093458</v>
      </c>
      <c r="X99" s="90">
        <f t="shared" si="0"/>
        <v>-8.4034970877077342E-2</v>
      </c>
      <c r="Y99" s="90">
        <f t="shared" si="0"/>
        <v>-9.230769230769198E-2</v>
      </c>
      <c r="Z99" s="90">
        <f t="shared" si="0"/>
        <v>1.8571428571419801E-2</v>
      </c>
      <c r="AA99" s="90">
        <f t="shared" si="0"/>
        <v>3.8846153846158415E-2</v>
      </c>
      <c r="AB99" s="90">
        <f t="shared" si="0"/>
        <v>-3.0431848852998655E-3</v>
      </c>
      <c r="AC99" s="90">
        <f t="shared" si="0"/>
        <v>-1.6482640166842089E-2</v>
      </c>
      <c r="AD99" s="90">
        <f t="shared" si="0"/>
        <v>2.1502229654394966E-2</v>
      </c>
      <c r="AE99" s="90">
        <f t="shared" si="0"/>
        <v>1.862026862024635E-2</v>
      </c>
      <c r="AF99" s="90">
        <f t="shared" si="0"/>
        <v>1.4821143768507739E-2</v>
      </c>
      <c r="AG99" s="90">
        <f t="shared" si="0"/>
        <v>1.7431119605035406E-2</v>
      </c>
      <c r="AH99" s="90">
        <f t="shared" si="0"/>
        <v>0.14991852160044061</v>
      </c>
      <c r="AI99" s="90">
        <f t="shared" si="0"/>
        <v>9.6357808857803207E-2</v>
      </c>
      <c r="AJ99" s="90">
        <f t="shared" si="0"/>
        <v>-6.0214639162126105E-3</v>
      </c>
      <c r="AK99" s="90">
        <f t="shared" si="0"/>
        <v>-0.34845981313372931</v>
      </c>
      <c r="AL99" s="90">
        <f t="shared" si="0"/>
        <v>0.2780710955711001</v>
      </c>
      <c r="AM99" s="90">
        <f t="shared" si="0"/>
        <v>-6.7089781563439033E-2</v>
      </c>
      <c r="AN99" s="90">
        <f t="shared" si="0"/>
        <v>-0.20839160839160087</v>
      </c>
      <c r="AO99" s="90">
        <f t="shared" si="0"/>
        <v>3.2809690309697714E-2</v>
      </c>
      <c r="AP99" s="90">
        <f t="shared" si="0"/>
        <v>-1.0532717282717314</v>
      </c>
      <c r="AQ99" s="90">
        <f t="shared" si="0"/>
        <v>-0.29889277389277424</v>
      </c>
      <c r="AR99" s="90">
        <f t="shared" si="0"/>
        <v>0.13498797160124099</v>
      </c>
      <c r="AS99" s="90">
        <f t="shared" si="0"/>
        <v>4.4422244422264612E-2</v>
      </c>
      <c r="AT99" s="90">
        <f t="shared" si="0"/>
        <v>0.51812076812078089</v>
      </c>
      <c r="AU99" s="90">
        <f t="shared" si="0"/>
        <v>0.3690476190476204</v>
      </c>
      <c r="AV99" s="90">
        <f t="shared" si="0"/>
        <v>0.80803966437834163</v>
      </c>
      <c r="AW99" s="90">
        <f t="shared" si="0"/>
        <v>1.5830830280830526</v>
      </c>
      <c r="AX99" s="90">
        <f t="shared" si="0"/>
        <v>-1.8729813664596122</v>
      </c>
      <c r="AY99" s="90">
        <f t="shared" si="0"/>
        <v>3.4706959706340967E-3</v>
      </c>
      <c r="AZ99" s="90">
        <f t="shared" si="0"/>
        <v>9.373508185178693</v>
      </c>
      <c r="BA99" s="90">
        <f t="shared" si="0"/>
        <v>2.3782433940328644</v>
      </c>
      <c r="BB99" s="90">
        <f t="shared" si="0"/>
        <v>-0.5248049052396766</v>
      </c>
      <c r="BC99" s="90">
        <f t="shared" si="0"/>
        <v>0.16065295815295144</v>
      </c>
      <c r="BD99" s="90">
        <f t="shared" si="0"/>
        <v>1.5216269841269821</v>
      </c>
      <c r="BE99" s="90">
        <f t="shared" si="0"/>
        <v>-2.4239154704944355</v>
      </c>
      <c r="BF99" s="90">
        <f t="shared" si="0"/>
        <v>-0.19000000000001194</v>
      </c>
      <c r="BG99" s="90" t="e">
        <f t="shared" si="0"/>
        <v>#N/A</v>
      </c>
      <c r="BH99" s="90" t="e">
        <f t="shared" si="0"/>
        <v>#N/A</v>
      </c>
      <c r="BI99" s="90" t="e">
        <f t="shared" si="0"/>
        <v>#N/A</v>
      </c>
      <c r="BJ99" s="90" t="e">
        <f t="shared" si="0"/>
        <v>#N/A</v>
      </c>
      <c r="BK99" s="90" t="e">
        <f t="shared" si="0"/>
        <v>#N/A</v>
      </c>
      <c r="BL99" s="90" t="e">
        <f t="shared" si="0"/>
        <v>#N/A</v>
      </c>
      <c r="BM99" s="90" t="e">
        <f t="shared" si="0"/>
        <v>#N/A</v>
      </c>
      <c r="BN99" s="90" t="e">
        <f t="shared" si="0"/>
        <v>#N/A</v>
      </c>
      <c r="BO99" s="90" t="e">
        <f t="shared" si="0"/>
        <v>#N/A</v>
      </c>
      <c r="BP99" s="90"/>
    </row>
    <row r="100" spans="3:68" x14ac:dyDescent="0.25">
      <c r="C100" s="3" t="s">
        <v>3</v>
      </c>
      <c r="D100" s="90">
        <f t="shared" si="1"/>
        <v>3.7422360248449138E-3</v>
      </c>
      <c r="E100" s="90">
        <f t="shared" si="0"/>
        <v>-4.0842490842489809E-2</v>
      </c>
      <c r="F100" s="90">
        <f t="shared" si="0"/>
        <v>4.2174854131376449E-2</v>
      </c>
      <c r="G100" s="90">
        <f t="shared" si="0"/>
        <v>7.1317571317592865E-3</v>
      </c>
      <c r="H100" s="90">
        <f t="shared" si="0"/>
        <v>9.2074592074560258E-3</v>
      </c>
      <c r="I100" s="90">
        <f t="shared" si="0"/>
        <v>-3.9173567977917045E-2</v>
      </c>
      <c r="J100" s="90">
        <f t="shared" si="0"/>
        <v>2.1066433566431897E-2</v>
      </c>
      <c r="K100" s="90">
        <f t="shared" si="0"/>
        <v>-3.4598662207358188E-2</v>
      </c>
      <c r="L100" s="90">
        <f t="shared" si="0"/>
        <v>-1.4827201783722543E-2</v>
      </c>
      <c r="M100" s="90">
        <f t="shared" si="0"/>
        <v>-3.0128205128185925E-3</v>
      </c>
      <c r="N100" s="90">
        <f t="shared" si="0"/>
        <v>-2.3543123543120714E-2</v>
      </c>
      <c r="O100" s="90">
        <f t="shared" si="0"/>
        <v>-6.4635364635350356E-3</v>
      </c>
      <c r="P100" s="90">
        <f t="shared" si="0"/>
        <v>4.03830088040813E-3</v>
      </c>
      <c r="Q100" s="90">
        <f t="shared" si="0"/>
        <v>-1.4090354090354751E-2</v>
      </c>
      <c r="R100" s="90">
        <f t="shared" si="0"/>
        <v>-2.3681873681873356E-2</v>
      </c>
      <c r="S100" s="90">
        <f t="shared" si="0"/>
        <v>9.4405594405611026E-3</v>
      </c>
      <c r="T100" s="90">
        <f t="shared" si="0"/>
        <v>3.5256410256412352E-3</v>
      </c>
      <c r="U100" s="90">
        <f t="shared" si="0"/>
        <v>0</v>
      </c>
      <c r="V100" s="90">
        <f t="shared" si="0"/>
        <v>-6.410256410234183E-4</v>
      </c>
      <c r="W100" s="90">
        <f t="shared" si="0"/>
        <v>-0.12497268813058326</v>
      </c>
      <c r="X100" s="90">
        <f t="shared" si="0"/>
        <v>-9.0874038242459321E-2</v>
      </c>
      <c r="Y100" s="90">
        <f t="shared" si="0"/>
        <v>-2.2832722832720975E-2</v>
      </c>
      <c r="Z100" s="90">
        <f t="shared" si="0"/>
        <v>-1.2619047619047308E-2</v>
      </c>
      <c r="AA100" s="90">
        <f t="shared" si="0"/>
        <v>-1.4209401709400993E-2</v>
      </c>
      <c r="AB100" s="90">
        <f t="shared" si="0"/>
        <v>1.8641231003934777E-2</v>
      </c>
      <c r="AC100" s="90">
        <f t="shared" si="0"/>
        <v>4.1896699791443837E-3</v>
      </c>
      <c r="AD100" s="90">
        <f t="shared" si="0"/>
        <v>3.6064659977697033E-4</v>
      </c>
      <c r="AE100" s="90">
        <f t="shared" si="0"/>
        <v>-6.1050061049172655E-5</v>
      </c>
      <c r="AF100" s="90">
        <f t="shared" si="0"/>
        <v>2.6499815973473062E-3</v>
      </c>
      <c r="AG100" s="90">
        <f t="shared" si="0"/>
        <v>-3.424112119763123E-4</v>
      </c>
      <c r="AH100" s="90">
        <f t="shared" si="0"/>
        <v>-1.4746523499386655E-2</v>
      </c>
      <c r="AI100" s="90">
        <f t="shared" si="0"/>
        <v>4.8076923076951772E-3</v>
      </c>
      <c r="AJ100" s="90">
        <f t="shared" si="0"/>
        <v>1.5217531007003515E-2</v>
      </c>
      <c r="AK100" s="90">
        <f t="shared" si="0"/>
        <v>-9.48664861708437E-3</v>
      </c>
      <c r="AL100" s="90">
        <f t="shared" si="0"/>
        <v>-8.4265734265702719E-3</v>
      </c>
      <c r="AM100" s="90">
        <f t="shared" si="0"/>
        <v>-6.6765106238815264E-3</v>
      </c>
      <c r="AN100" s="90">
        <f t="shared" si="0"/>
        <v>-7.6616366090043186E-3</v>
      </c>
      <c r="AO100" s="90">
        <f t="shared" si="0"/>
        <v>9.9741924741945098E-3</v>
      </c>
      <c r="AP100" s="90">
        <f t="shared" si="0"/>
        <v>5.599123099123382E-2</v>
      </c>
      <c r="AQ100" s="90">
        <f t="shared" si="0"/>
        <v>-6.890331890334167E-3</v>
      </c>
      <c r="AR100" s="90">
        <f t="shared" si="0"/>
        <v>9.9718359443770055E-3</v>
      </c>
      <c r="AS100" s="90">
        <f t="shared" si="0"/>
        <v>8.7773337773331406E-3</v>
      </c>
      <c r="AT100" s="90">
        <f t="shared" si="0"/>
        <v>8.0289155289154479E-2</v>
      </c>
      <c r="AU100" s="90">
        <f t="shared" si="0"/>
        <v>0.15367965367964942</v>
      </c>
      <c r="AV100" s="90">
        <f t="shared" si="0"/>
        <v>-3.2477116704804132E-2</v>
      </c>
      <c r="AW100" s="90">
        <f t="shared" si="0"/>
        <v>-7.5463980463982949E-2</v>
      </c>
      <c r="AX100" s="90">
        <f t="shared" si="0"/>
        <v>7.1601104209833011E-3</v>
      </c>
      <c r="AY100" s="90">
        <f t="shared" si="0"/>
        <v>6.0140415140416792E-2</v>
      </c>
      <c r="AZ100" s="90">
        <f t="shared" si="0"/>
        <v>5.4156992257677672E-2</v>
      </c>
      <c r="BA100" s="90">
        <f t="shared" si="0"/>
        <v>1.2660438976222821E-2</v>
      </c>
      <c r="BB100" s="90">
        <f t="shared" si="0"/>
        <v>1.0320512820513272E-2</v>
      </c>
      <c r="BC100" s="90">
        <f t="shared" si="0"/>
        <v>2.3819791319789729E-2</v>
      </c>
      <c r="BD100" s="90">
        <f t="shared" si="0"/>
        <v>-8.9960317460318961E-2</v>
      </c>
      <c r="BE100" s="90">
        <f t="shared" si="0"/>
        <v>1.2203748006379591</v>
      </c>
      <c r="BF100" s="90">
        <f t="shared" si="0"/>
        <v>1.9000000000000004</v>
      </c>
      <c r="BG100" s="90" t="e">
        <f t="shared" si="0"/>
        <v>#N/A</v>
      </c>
      <c r="BH100" s="90" t="e">
        <f t="shared" si="0"/>
        <v>#N/A</v>
      </c>
      <c r="BI100" s="90" t="e">
        <f t="shared" si="0"/>
        <v>#N/A</v>
      </c>
      <c r="BJ100" s="90" t="e">
        <f t="shared" si="0"/>
        <v>#N/A</v>
      </c>
      <c r="BK100" s="90" t="e">
        <f t="shared" si="0"/>
        <v>#N/A</v>
      </c>
      <c r="BL100" s="90" t="e">
        <f t="shared" si="0"/>
        <v>#N/A</v>
      </c>
      <c r="BM100" s="90" t="e">
        <f t="shared" si="0"/>
        <v>#N/A</v>
      </c>
      <c r="BN100" s="90" t="e">
        <f t="shared" si="0"/>
        <v>#N/A</v>
      </c>
      <c r="BO100" s="90" t="e">
        <f t="shared" si="0"/>
        <v>#N/A</v>
      </c>
      <c r="BP100" s="90"/>
    </row>
    <row r="101" spans="3:68" x14ac:dyDescent="0.25">
      <c r="C101" s="3" t="s">
        <v>190</v>
      </c>
      <c r="D101" s="90">
        <f t="shared" si="1"/>
        <v>-3.5496894409931201E-2</v>
      </c>
      <c r="E101" s="90">
        <f t="shared" si="0"/>
        <v>0.10494505494507678</v>
      </c>
      <c r="F101" s="90">
        <f t="shared" si="0"/>
        <v>-1.6911349520043473E-2</v>
      </c>
      <c r="G101" s="90">
        <f t="shared" si="0"/>
        <v>-1.18631368631128E-2</v>
      </c>
      <c r="H101" s="90">
        <f t="shared" si="0"/>
        <v>3.6571808583573215</v>
      </c>
      <c r="I101" s="90">
        <f t="shared" si="0"/>
        <v>8.0802197802197782</v>
      </c>
      <c r="J101" s="90">
        <f t="shared" si="0"/>
        <v>6.7154487179487106</v>
      </c>
      <c r="K101" s="90">
        <f t="shared" si="0"/>
        <v>1.014636088549139</v>
      </c>
      <c r="L101" s="90">
        <f t="shared" si="0"/>
        <v>-0.96277313266443798</v>
      </c>
      <c r="M101" s="90">
        <f t="shared" si="0"/>
        <v>1.434448717948726</v>
      </c>
      <c r="N101" s="90">
        <f t="shared" si="0"/>
        <v>7.3426118881118967</v>
      </c>
      <c r="O101" s="90">
        <f t="shared" si="0"/>
        <v>7.9382496626180767</v>
      </c>
      <c r="P101" s="90">
        <f t="shared" si="0"/>
        <v>9.1585682154103267</v>
      </c>
      <c r="Q101" s="90">
        <f t="shared" si="0"/>
        <v>9.6942680097680025</v>
      </c>
      <c r="R101" s="90">
        <f t="shared" si="0"/>
        <v>9.0656373626373465</v>
      </c>
      <c r="S101" s="90">
        <f t="shared" si="0"/>
        <v>11.590594794094784</v>
      </c>
      <c r="T101" s="90">
        <f t="shared" si="0"/>
        <v>11.788907557354939</v>
      </c>
      <c r="U101" s="90">
        <f t="shared" si="0"/>
        <v>9.6442898212898243</v>
      </c>
      <c r="V101" s="90">
        <f t="shared" si="0"/>
        <v>4.5907625707625783</v>
      </c>
      <c r="W101" s="90">
        <f t="shared" si="0"/>
        <v>6.3294330377225023</v>
      </c>
      <c r="X101" s="90">
        <f t="shared" si="0"/>
        <v>8.3060561222403422</v>
      </c>
      <c r="Y101" s="90">
        <f t="shared" si="0"/>
        <v>4.9276251526251471</v>
      </c>
      <c r="Z101" s="90">
        <f t="shared" si="0"/>
        <v>3.7099637681159336</v>
      </c>
      <c r="AA101" s="90">
        <f t="shared" si="0"/>
        <v>0.19809829059830264</v>
      </c>
      <c r="AB101" s="90">
        <f t="shared" si="0"/>
        <v>-2.0668538402863419</v>
      </c>
      <c r="AC101" s="90">
        <f t="shared" si="0"/>
        <v>-4.2388203901361763</v>
      </c>
      <c r="AD101" s="90">
        <f t="shared" si="0"/>
        <v>-4.4832413600891954</v>
      </c>
      <c r="AE101" s="90">
        <f t="shared" si="0"/>
        <v>-9.4532234432234432</v>
      </c>
      <c r="AF101" s="90">
        <f t="shared" si="0"/>
        <v>-11.978860218728641</v>
      </c>
      <c r="AG101" s="90">
        <f t="shared" si="0"/>
        <v>-13.403300684822412</v>
      </c>
      <c r="AH101" s="90">
        <f t="shared" si="0"/>
        <v>-13.399078427293524</v>
      </c>
      <c r="AI101" s="90">
        <f t="shared" si="0"/>
        <v>-13.257342657342654</v>
      </c>
      <c r="AJ101" s="90">
        <f t="shared" si="0"/>
        <v>-9.0727755285650176</v>
      </c>
      <c r="AK101" s="90">
        <f t="shared" si="0"/>
        <v>-5.6652392896957906</v>
      </c>
      <c r="AL101" s="90">
        <f t="shared" si="0"/>
        <v>-8.4204953379953267</v>
      </c>
      <c r="AM101" s="90">
        <f t="shared" si="0"/>
        <v>-5.4282626145783865</v>
      </c>
      <c r="AN101" s="90">
        <f t="shared" si="0"/>
        <v>-6.7155956324377186</v>
      </c>
      <c r="AO101" s="90">
        <f t="shared" si="0"/>
        <v>-8.3128998778998664</v>
      </c>
      <c r="AP101" s="90">
        <f t="shared" si="0"/>
        <v>-10.755559440559438</v>
      </c>
      <c r="AQ101" s="90">
        <f t="shared" si="0"/>
        <v>-9.2015617715617708</v>
      </c>
      <c r="AR101" s="90">
        <f t="shared" si="0"/>
        <v>-4.594844951006273</v>
      </c>
      <c r="AS101" s="90">
        <f t="shared" si="0"/>
        <v>-3.4713414363414188</v>
      </c>
      <c r="AT101" s="90">
        <f t="shared" si="0"/>
        <v>-3.6814613164613021</v>
      </c>
      <c r="AU101" s="90">
        <f t="shared" si="0"/>
        <v>-10.177638888888879</v>
      </c>
      <c r="AV101" s="90">
        <f t="shared" si="0"/>
        <v>-10.74990036231884</v>
      </c>
      <c r="AW101" s="90">
        <f t="shared" si="0"/>
        <v>-16.337170329670315</v>
      </c>
      <c r="AX101" s="90">
        <f t="shared" si="0"/>
        <v>-22.709466011042082</v>
      </c>
      <c r="AY101" s="90">
        <f t="shared" si="0"/>
        <v>9.8412118437118181</v>
      </c>
      <c r="AZ101" s="90">
        <f t="shared" si="0"/>
        <v>-8.2138320927737141</v>
      </c>
      <c r="BA101" s="90">
        <f t="shared" si="0"/>
        <v>-2.5539656542288043</v>
      </c>
      <c r="BB101" s="90">
        <f t="shared" si="0"/>
        <v>-10.430484949832767</v>
      </c>
      <c r="BC101" s="90">
        <f t="shared" si="0"/>
        <v>-17.629181096681087</v>
      </c>
      <c r="BD101" s="90">
        <f t="shared" si="0"/>
        <v>-20.336865079365076</v>
      </c>
      <c r="BE101" s="90">
        <f t="shared" si="0"/>
        <v>-22.09036523125998</v>
      </c>
      <c r="BF101" s="90">
        <f t="shared" si="0"/>
        <v>-19.938000000000002</v>
      </c>
      <c r="BG101" s="90" t="e">
        <f t="shared" si="0"/>
        <v>#N/A</v>
      </c>
      <c r="BH101" s="90" t="e">
        <f t="shared" si="0"/>
        <v>#N/A</v>
      </c>
      <c r="BI101" s="90" t="e">
        <f t="shared" si="0"/>
        <v>#N/A</v>
      </c>
      <c r="BJ101" s="90" t="e">
        <f t="shared" si="0"/>
        <v>#N/A</v>
      </c>
      <c r="BK101" s="90" t="e">
        <f t="shared" si="0"/>
        <v>#N/A</v>
      </c>
      <c r="BL101" s="90" t="e">
        <f t="shared" si="0"/>
        <v>#N/A</v>
      </c>
      <c r="BM101" s="90" t="e">
        <f t="shared" si="0"/>
        <v>#N/A</v>
      </c>
      <c r="BN101" s="90" t="e">
        <f t="shared" si="0"/>
        <v>#N/A</v>
      </c>
      <c r="BO101" s="90" t="e">
        <f t="shared" si="0"/>
        <v>#N/A</v>
      </c>
      <c r="BP101" s="90"/>
    </row>
    <row r="102" spans="3:68" x14ac:dyDescent="0.25">
      <c r="C102" s="3" t="s">
        <v>191</v>
      </c>
      <c r="D102" s="90">
        <f t="shared" si="1"/>
        <v>0</v>
      </c>
      <c r="E102" s="90">
        <f t="shared" si="0"/>
        <v>1.7643467643466693E-2</v>
      </c>
      <c r="F102" s="90">
        <f t="shared" si="0"/>
        <v>0</v>
      </c>
      <c r="G102" s="90">
        <f t="shared" si="0"/>
        <v>-7.9975579975553046E-3</v>
      </c>
      <c r="H102" s="90">
        <f t="shared" si="0"/>
        <v>3.3059756909756928</v>
      </c>
      <c r="I102" s="90">
        <f t="shared" si="0"/>
        <v>6.7074003291394604</v>
      </c>
      <c r="J102" s="90">
        <f t="shared" si="0"/>
        <v>4.4748601398601338</v>
      </c>
      <c r="K102" s="90">
        <f t="shared" si="0"/>
        <v>1.2405518394648922</v>
      </c>
      <c r="L102" s="90">
        <f t="shared" si="0"/>
        <v>0.35474358974357756</v>
      </c>
      <c r="M102" s="90">
        <f t="shared" si="0"/>
        <v>-1.6902307692307588</v>
      </c>
      <c r="N102" s="90">
        <f t="shared" si="0"/>
        <v>0.73638228438229447</v>
      </c>
      <c r="O102" s="90">
        <f t="shared" si="0"/>
        <v>1.4575804195804096</v>
      </c>
      <c r="P102" s="90">
        <f t="shared" si="0"/>
        <v>2.8520866268234712</v>
      </c>
      <c r="Q102" s="90">
        <f t="shared" si="0"/>
        <v>3.9261941391941377</v>
      </c>
      <c r="R102" s="90">
        <f t="shared" si="0"/>
        <v>4.0394785214785145</v>
      </c>
      <c r="S102" s="90">
        <f t="shared" ref="E102:BO106" si="2">IF(ISBLANK(S7),NA(),S7)-IF(ISBLANK(S54),NA(),S54)</f>
        <v>5.3185881895881906</v>
      </c>
      <c r="T102" s="90">
        <f t="shared" si="2"/>
        <v>5.6686147098515605</v>
      </c>
      <c r="U102" s="90">
        <f t="shared" si="2"/>
        <v>3.5110769230769279</v>
      </c>
      <c r="V102" s="90">
        <f t="shared" si="2"/>
        <v>-0.52195804195803674</v>
      </c>
      <c r="W102" s="90">
        <f t="shared" si="2"/>
        <v>0.31178555362765792</v>
      </c>
      <c r="X102" s="90">
        <f t="shared" si="2"/>
        <v>2.5685492577597877</v>
      </c>
      <c r="Y102" s="90">
        <f t="shared" si="2"/>
        <v>2.8653846153846168</v>
      </c>
      <c r="Z102" s="90">
        <f t="shared" si="2"/>
        <v>3.3449999999999953</v>
      </c>
      <c r="AA102" s="90">
        <f t="shared" si="2"/>
        <v>2.0171367521367607</v>
      </c>
      <c r="AB102" s="90">
        <f t="shared" si="2"/>
        <v>-2.0561740890688256</v>
      </c>
      <c r="AC102" s="90">
        <f t="shared" si="2"/>
        <v>-5.7116734143049861</v>
      </c>
      <c r="AD102" s="90">
        <f t="shared" si="2"/>
        <v>-6.3502564102564172</v>
      </c>
      <c r="AE102" s="90">
        <f t="shared" si="2"/>
        <v>-8.3219658119658249</v>
      </c>
      <c r="AF102" s="90">
        <f t="shared" si="2"/>
        <v>-9.7296700083542262</v>
      </c>
      <c r="AG102" s="90">
        <f t="shared" si="2"/>
        <v>-10.741086691086679</v>
      </c>
      <c r="AH102" s="90">
        <f t="shared" si="2"/>
        <v>-17.194118646418417</v>
      </c>
      <c r="AI102" s="90">
        <f t="shared" si="2"/>
        <v>-16.859178321678314</v>
      </c>
      <c r="AJ102" s="90">
        <f t="shared" si="2"/>
        <v>-18.180647773279368</v>
      </c>
      <c r="AK102" s="90">
        <f t="shared" si="2"/>
        <v>-10.063431013431</v>
      </c>
      <c r="AL102" s="90">
        <f t="shared" si="2"/>
        <v>-4.417948717948704</v>
      </c>
      <c r="AM102" s="90">
        <f t="shared" si="2"/>
        <v>-6.9219903780429988</v>
      </c>
      <c r="AN102" s="90">
        <f t="shared" si="2"/>
        <v>-6.9375407925407799</v>
      </c>
      <c r="AO102" s="90">
        <f t="shared" si="2"/>
        <v>-5.5051923076923046</v>
      </c>
      <c r="AP102" s="90">
        <f t="shared" si="2"/>
        <v>-5.2414568764568799</v>
      </c>
      <c r="AQ102" s="90">
        <f t="shared" si="2"/>
        <v>-4.7505128205128173</v>
      </c>
      <c r="AR102" s="90">
        <f t="shared" si="2"/>
        <v>-5.2021712726632572</v>
      </c>
      <c r="AS102" s="90">
        <f t="shared" si="2"/>
        <v>-7.8176923076922904</v>
      </c>
      <c r="AT102" s="90">
        <f t="shared" si="2"/>
        <v>-9.2011971361971234</v>
      </c>
      <c r="AU102" s="90">
        <f t="shared" si="2"/>
        <v>-17.655010822510825</v>
      </c>
      <c r="AV102" s="90">
        <f t="shared" si="2"/>
        <v>17.666865942029006</v>
      </c>
      <c r="AW102" s="90">
        <f t="shared" si="2"/>
        <v>34.367753357753386</v>
      </c>
      <c r="AX102" s="90">
        <f t="shared" si="2"/>
        <v>58.382194616977245</v>
      </c>
      <c r="AY102" s="90">
        <f t="shared" si="2"/>
        <v>48.988211233211189</v>
      </c>
      <c r="AZ102" s="90">
        <f t="shared" si="2"/>
        <v>32.528437495634307</v>
      </c>
      <c r="BA102" s="90">
        <f t="shared" si="2"/>
        <v>13.178704453441298</v>
      </c>
      <c r="BB102" s="90">
        <f t="shared" si="2"/>
        <v>3.0550641025641099</v>
      </c>
      <c r="BC102" s="90">
        <f t="shared" si="2"/>
        <v>-3.685414862914854</v>
      </c>
      <c r="BD102" s="90">
        <f t="shared" si="2"/>
        <v>-8.4626984126984084</v>
      </c>
      <c r="BE102" s="90">
        <f t="shared" si="2"/>
        <v>-11.006545454545467</v>
      </c>
      <c r="BF102" s="90">
        <f t="shared" si="2"/>
        <v>-12.427999999999997</v>
      </c>
      <c r="BG102" s="90" t="e">
        <f t="shared" si="2"/>
        <v>#N/A</v>
      </c>
      <c r="BH102" s="90" t="e">
        <f t="shared" si="2"/>
        <v>#N/A</v>
      </c>
      <c r="BI102" s="90" t="e">
        <f t="shared" si="2"/>
        <v>#N/A</v>
      </c>
      <c r="BJ102" s="90" t="e">
        <f t="shared" si="2"/>
        <v>#N/A</v>
      </c>
      <c r="BK102" s="90" t="e">
        <f t="shared" si="2"/>
        <v>#N/A</v>
      </c>
      <c r="BL102" s="90" t="e">
        <f t="shared" si="2"/>
        <v>#N/A</v>
      </c>
      <c r="BM102" s="90" t="e">
        <f t="shared" si="2"/>
        <v>#N/A</v>
      </c>
      <c r="BN102" s="90" t="e">
        <f t="shared" si="2"/>
        <v>#N/A</v>
      </c>
      <c r="BO102" s="90" t="e">
        <f t="shared" si="2"/>
        <v>#N/A</v>
      </c>
      <c r="BP102" s="90"/>
    </row>
    <row r="103" spans="3:68" x14ac:dyDescent="0.25">
      <c r="C103" s="3" t="s">
        <v>206</v>
      </c>
      <c r="D103" s="90" t="e">
        <f t="shared" si="1"/>
        <v>#N/A</v>
      </c>
      <c r="E103" s="90" t="e">
        <f t="shared" si="2"/>
        <v>#N/A</v>
      </c>
      <c r="F103" s="90" t="e">
        <f t="shared" si="2"/>
        <v>#N/A</v>
      </c>
      <c r="G103" s="90" t="e">
        <f t="shared" si="2"/>
        <v>#N/A</v>
      </c>
      <c r="H103" s="90" t="e">
        <f t="shared" si="2"/>
        <v>#N/A</v>
      </c>
      <c r="I103" s="90" t="e">
        <f t="shared" si="2"/>
        <v>#N/A</v>
      </c>
      <c r="J103" s="90" t="e">
        <f t="shared" si="2"/>
        <v>#N/A</v>
      </c>
      <c r="K103" s="90" t="e">
        <f t="shared" si="2"/>
        <v>#N/A</v>
      </c>
      <c r="L103" s="90" t="e">
        <f t="shared" si="2"/>
        <v>#N/A</v>
      </c>
      <c r="M103" s="90" t="e">
        <f t="shared" si="2"/>
        <v>#N/A</v>
      </c>
      <c r="N103" s="90" t="e">
        <f t="shared" si="2"/>
        <v>#N/A</v>
      </c>
      <c r="O103" s="90" t="e">
        <f t="shared" si="2"/>
        <v>#N/A</v>
      </c>
      <c r="P103" s="90" t="e">
        <f t="shared" si="2"/>
        <v>#N/A</v>
      </c>
      <c r="Q103" s="90" t="e">
        <f t="shared" si="2"/>
        <v>#N/A</v>
      </c>
      <c r="R103" s="90" t="e">
        <f t="shared" si="2"/>
        <v>#N/A</v>
      </c>
      <c r="S103" s="90" t="e">
        <f t="shared" si="2"/>
        <v>#N/A</v>
      </c>
      <c r="T103" s="90" t="e">
        <f t="shared" si="2"/>
        <v>#N/A</v>
      </c>
      <c r="U103" s="90" t="e">
        <f t="shared" si="2"/>
        <v>#N/A</v>
      </c>
      <c r="V103" s="90" t="e">
        <f t="shared" si="2"/>
        <v>#N/A</v>
      </c>
      <c r="W103" s="90" t="e">
        <f t="shared" si="2"/>
        <v>#N/A</v>
      </c>
      <c r="X103" s="90" t="e">
        <f t="shared" si="2"/>
        <v>#N/A</v>
      </c>
      <c r="Y103" s="90" t="e">
        <f t="shared" si="2"/>
        <v>#N/A</v>
      </c>
      <c r="Z103" s="90" t="e">
        <f t="shared" si="2"/>
        <v>#N/A</v>
      </c>
      <c r="AA103" s="90" t="e">
        <f t="shared" si="2"/>
        <v>#N/A</v>
      </c>
      <c r="AB103" s="90" t="e">
        <f t="shared" si="2"/>
        <v>#N/A</v>
      </c>
      <c r="AC103" s="90" t="e">
        <f t="shared" si="2"/>
        <v>#N/A</v>
      </c>
      <c r="AD103" s="90" t="e">
        <f t="shared" si="2"/>
        <v>#N/A</v>
      </c>
      <c r="AE103" s="90" t="e">
        <f t="shared" si="2"/>
        <v>#N/A</v>
      </c>
      <c r="AF103" s="90" t="e">
        <f t="shared" si="2"/>
        <v>#N/A</v>
      </c>
      <c r="AG103" s="90" t="e">
        <f t="shared" si="2"/>
        <v>#N/A</v>
      </c>
      <c r="AH103" s="90" t="e">
        <f t="shared" si="2"/>
        <v>#N/A</v>
      </c>
      <c r="AI103" s="90" t="e">
        <f t="shared" si="2"/>
        <v>#N/A</v>
      </c>
      <c r="AJ103" s="90" t="e">
        <f t="shared" si="2"/>
        <v>#N/A</v>
      </c>
      <c r="AK103" s="90" t="e">
        <f t="shared" si="2"/>
        <v>#N/A</v>
      </c>
      <c r="AL103" s="90" t="e">
        <f t="shared" si="2"/>
        <v>#N/A</v>
      </c>
      <c r="AM103" s="90" t="e">
        <f t="shared" si="2"/>
        <v>#N/A</v>
      </c>
      <c r="AN103" s="90" t="e">
        <f t="shared" si="2"/>
        <v>#N/A</v>
      </c>
      <c r="AO103" s="90" t="e">
        <f t="shared" si="2"/>
        <v>#N/A</v>
      </c>
      <c r="AP103" s="90" t="e">
        <f t="shared" si="2"/>
        <v>#N/A</v>
      </c>
      <c r="AQ103" s="90" t="e">
        <f t="shared" si="2"/>
        <v>#N/A</v>
      </c>
      <c r="AR103" s="90" t="e">
        <f t="shared" si="2"/>
        <v>#N/A</v>
      </c>
      <c r="AS103" s="90" t="e">
        <f t="shared" si="2"/>
        <v>#N/A</v>
      </c>
      <c r="AT103" s="90" t="e">
        <f t="shared" si="2"/>
        <v>#N/A</v>
      </c>
      <c r="AU103" s="90" t="e">
        <f t="shared" si="2"/>
        <v>#N/A</v>
      </c>
      <c r="AV103" s="90" t="e">
        <f t="shared" si="2"/>
        <v>#N/A</v>
      </c>
      <c r="AW103" s="90" t="e">
        <f t="shared" si="2"/>
        <v>#N/A</v>
      </c>
      <c r="AX103" s="90" t="e">
        <f t="shared" si="2"/>
        <v>#N/A</v>
      </c>
      <c r="AY103" s="90" t="e">
        <f t="shared" si="2"/>
        <v>#N/A</v>
      </c>
      <c r="AZ103" s="90" t="e">
        <f t="shared" si="2"/>
        <v>#N/A</v>
      </c>
      <c r="BA103" s="90" t="e">
        <f t="shared" si="2"/>
        <v>#N/A</v>
      </c>
      <c r="BB103" s="90" t="e">
        <f t="shared" si="2"/>
        <v>#N/A</v>
      </c>
      <c r="BC103" s="90" t="e">
        <f t="shared" si="2"/>
        <v>#N/A</v>
      </c>
      <c r="BD103" s="90" t="e">
        <f t="shared" si="2"/>
        <v>#N/A</v>
      </c>
      <c r="BE103" s="90" t="e">
        <f t="shared" si="2"/>
        <v>#N/A</v>
      </c>
      <c r="BF103" s="90" t="e">
        <f t="shared" si="2"/>
        <v>#N/A</v>
      </c>
      <c r="BG103" s="90" t="e">
        <f t="shared" si="2"/>
        <v>#N/A</v>
      </c>
      <c r="BH103" s="90" t="e">
        <f t="shared" si="2"/>
        <v>#N/A</v>
      </c>
      <c r="BI103" s="90" t="e">
        <f t="shared" si="2"/>
        <v>#N/A</v>
      </c>
      <c r="BJ103" s="90" t="e">
        <f t="shared" si="2"/>
        <v>#N/A</v>
      </c>
      <c r="BK103" s="90" t="e">
        <f t="shared" si="2"/>
        <v>#N/A</v>
      </c>
      <c r="BL103" s="90" t="e">
        <f t="shared" si="2"/>
        <v>#N/A</v>
      </c>
      <c r="BM103" s="90" t="e">
        <f t="shared" si="2"/>
        <v>#N/A</v>
      </c>
      <c r="BN103" s="90" t="e">
        <f t="shared" si="2"/>
        <v>#N/A</v>
      </c>
      <c r="BO103" s="90" t="e">
        <f t="shared" si="2"/>
        <v>#N/A</v>
      </c>
      <c r="BP103" s="90"/>
    </row>
    <row r="104" spans="3:68" x14ac:dyDescent="0.25">
      <c r="C104" s="3" t="s">
        <v>207</v>
      </c>
      <c r="D104" s="90" t="e">
        <f t="shared" si="1"/>
        <v>#N/A</v>
      </c>
      <c r="E104" s="90" t="e">
        <f t="shared" si="2"/>
        <v>#N/A</v>
      </c>
      <c r="F104" s="90" t="e">
        <f t="shared" si="2"/>
        <v>#N/A</v>
      </c>
      <c r="G104" s="90" t="e">
        <f t="shared" si="2"/>
        <v>#N/A</v>
      </c>
      <c r="H104" s="90" t="e">
        <f t="shared" si="2"/>
        <v>#N/A</v>
      </c>
      <c r="I104" s="90" t="e">
        <f t="shared" si="2"/>
        <v>#N/A</v>
      </c>
      <c r="J104" s="90" t="e">
        <f t="shared" si="2"/>
        <v>#N/A</v>
      </c>
      <c r="K104" s="90" t="e">
        <f t="shared" si="2"/>
        <v>#N/A</v>
      </c>
      <c r="L104" s="90" t="e">
        <f t="shared" si="2"/>
        <v>#N/A</v>
      </c>
      <c r="M104" s="90" t="e">
        <f t="shared" si="2"/>
        <v>#N/A</v>
      </c>
      <c r="N104" s="90" t="e">
        <f t="shared" si="2"/>
        <v>#N/A</v>
      </c>
      <c r="O104" s="90" t="e">
        <f t="shared" si="2"/>
        <v>#N/A</v>
      </c>
      <c r="P104" s="90" t="e">
        <f t="shared" si="2"/>
        <v>#N/A</v>
      </c>
      <c r="Q104" s="90" t="e">
        <f t="shared" si="2"/>
        <v>#N/A</v>
      </c>
      <c r="R104" s="90" t="e">
        <f t="shared" si="2"/>
        <v>#N/A</v>
      </c>
      <c r="S104" s="90" t="e">
        <f t="shared" si="2"/>
        <v>#N/A</v>
      </c>
      <c r="T104" s="90" t="e">
        <f t="shared" si="2"/>
        <v>#N/A</v>
      </c>
      <c r="U104" s="90" t="e">
        <f t="shared" si="2"/>
        <v>#N/A</v>
      </c>
      <c r="V104" s="90" t="e">
        <f t="shared" si="2"/>
        <v>#N/A</v>
      </c>
      <c r="W104" s="90" t="e">
        <f t="shared" si="2"/>
        <v>#N/A</v>
      </c>
      <c r="X104" s="90" t="e">
        <f t="shared" si="2"/>
        <v>#N/A</v>
      </c>
      <c r="Y104" s="90" t="e">
        <f t="shared" si="2"/>
        <v>#N/A</v>
      </c>
      <c r="Z104" s="90" t="e">
        <f t="shared" si="2"/>
        <v>#N/A</v>
      </c>
      <c r="AA104" s="90" t="e">
        <f t="shared" si="2"/>
        <v>#N/A</v>
      </c>
      <c r="AB104" s="90" t="e">
        <f t="shared" si="2"/>
        <v>#N/A</v>
      </c>
      <c r="AC104" s="90" t="e">
        <f t="shared" si="2"/>
        <v>#N/A</v>
      </c>
      <c r="AD104" s="90" t="e">
        <f t="shared" si="2"/>
        <v>#N/A</v>
      </c>
      <c r="AE104" s="90" t="e">
        <f t="shared" si="2"/>
        <v>#N/A</v>
      </c>
      <c r="AF104" s="90" t="e">
        <f t="shared" si="2"/>
        <v>#N/A</v>
      </c>
      <c r="AG104" s="90" t="e">
        <f t="shared" si="2"/>
        <v>#N/A</v>
      </c>
      <c r="AH104" s="90" t="e">
        <f t="shared" si="2"/>
        <v>#N/A</v>
      </c>
      <c r="AI104" s="90" t="e">
        <f t="shared" si="2"/>
        <v>#N/A</v>
      </c>
      <c r="AJ104" s="90" t="e">
        <f t="shared" si="2"/>
        <v>#N/A</v>
      </c>
      <c r="AK104" s="90" t="e">
        <f t="shared" si="2"/>
        <v>#N/A</v>
      </c>
      <c r="AL104" s="90" t="e">
        <f t="shared" si="2"/>
        <v>#N/A</v>
      </c>
      <c r="AM104" s="90" t="e">
        <f t="shared" si="2"/>
        <v>#N/A</v>
      </c>
      <c r="AN104" s="90" t="e">
        <f t="shared" si="2"/>
        <v>#N/A</v>
      </c>
      <c r="AO104" s="90" t="e">
        <f t="shared" si="2"/>
        <v>#N/A</v>
      </c>
      <c r="AP104" s="90" t="e">
        <f t="shared" si="2"/>
        <v>#N/A</v>
      </c>
      <c r="AQ104" s="90" t="e">
        <f t="shared" si="2"/>
        <v>#N/A</v>
      </c>
      <c r="AR104" s="90" t="e">
        <f t="shared" si="2"/>
        <v>#N/A</v>
      </c>
      <c r="AS104" s="90" t="e">
        <f t="shared" si="2"/>
        <v>#N/A</v>
      </c>
      <c r="AT104" s="90" t="e">
        <f t="shared" si="2"/>
        <v>#N/A</v>
      </c>
      <c r="AU104" s="90" t="e">
        <f t="shared" si="2"/>
        <v>#N/A</v>
      </c>
      <c r="AV104" s="90" t="e">
        <f t="shared" si="2"/>
        <v>#N/A</v>
      </c>
      <c r="AW104" s="90" t="e">
        <f t="shared" si="2"/>
        <v>#N/A</v>
      </c>
      <c r="AX104" s="90" t="e">
        <f t="shared" si="2"/>
        <v>#N/A</v>
      </c>
      <c r="AY104" s="90" t="e">
        <f t="shared" si="2"/>
        <v>#N/A</v>
      </c>
      <c r="AZ104" s="90" t="e">
        <f t="shared" si="2"/>
        <v>#N/A</v>
      </c>
      <c r="BA104" s="90" t="e">
        <f t="shared" si="2"/>
        <v>#N/A</v>
      </c>
      <c r="BB104" s="90" t="e">
        <f t="shared" si="2"/>
        <v>#N/A</v>
      </c>
      <c r="BC104" s="90" t="e">
        <f t="shared" si="2"/>
        <v>#N/A</v>
      </c>
      <c r="BD104" s="90" t="e">
        <f t="shared" si="2"/>
        <v>#N/A</v>
      </c>
      <c r="BE104" s="90" t="e">
        <f t="shared" si="2"/>
        <v>#N/A</v>
      </c>
      <c r="BF104" s="90" t="e">
        <f t="shared" si="2"/>
        <v>#N/A</v>
      </c>
      <c r="BG104" s="90" t="e">
        <f t="shared" si="2"/>
        <v>#N/A</v>
      </c>
      <c r="BH104" s="90" t="e">
        <f t="shared" si="2"/>
        <v>#N/A</v>
      </c>
      <c r="BI104" s="90" t="e">
        <f t="shared" si="2"/>
        <v>#N/A</v>
      </c>
      <c r="BJ104" s="90" t="e">
        <f t="shared" si="2"/>
        <v>#N/A</v>
      </c>
      <c r="BK104" s="90" t="e">
        <f t="shared" si="2"/>
        <v>#N/A</v>
      </c>
      <c r="BL104" s="90" t="e">
        <f t="shared" si="2"/>
        <v>#N/A</v>
      </c>
      <c r="BM104" s="90" t="e">
        <f t="shared" si="2"/>
        <v>#N/A</v>
      </c>
      <c r="BN104" s="90" t="e">
        <f t="shared" si="2"/>
        <v>#N/A</v>
      </c>
      <c r="BO104" s="90" t="e">
        <f t="shared" si="2"/>
        <v>#N/A</v>
      </c>
      <c r="BP104" s="90"/>
    </row>
    <row r="105" spans="3:68" x14ac:dyDescent="0.25">
      <c r="C105" s="3" t="s">
        <v>209</v>
      </c>
      <c r="D105" s="90" t="e">
        <f t="shared" si="1"/>
        <v>#N/A</v>
      </c>
      <c r="E105" s="90" t="e">
        <f t="shared" si="2"/>
        <v>#N/A</v>
      </c>
      <c r="F105" s="90" t="e">
        <f t="shared" si="2"/>
        <v>#N/A</v>
      </c>
      <c r="G105" s="90" t="e">
        <f t="shared" si="2"/>
        <v>#N/A</v>
      </c>
      <c r="H105" s="90" t="e">
        <f t="shared" si="2"/>
        <v>#N/A</v>
      </c>
      <c r="I105" s="90" t="e">
        <f t="shared" si="2"/>
        <v>#N/A</v>
      </c>
      <c r="J105" s="90" t="e">
        <f t="shared" si="2"/>
        <v>#N/A</v>
      </c>
      <c r="K105" s="90" t="e">
        <f t="shared" si="2"/>
        <v>#N/A</v>
      </c>
      <c r="L105" s="90" t="e">
        <f t="shared" si="2"/>
        <v>#N/A</v>
      </c>
      <c r="M105" s="90" t="e">
        <f t="shared" si="2"/>
        <v>#N/A</v>
      </c>
      <c r="N105" s="90" t="e">
        <f t="shared" si="2"/>
        <v>#N/A</v>
      </c>
      <c r="O105" s="90" t="e">
        <f t="shared" si="2"/>
        <v>#N/A</v>
      </c>
      <c r="P105" s="90" t="e">
        <f t="shared" si="2"/>
        <v>#N/A</v>
      </c>
      <c r="Q105" s="90" t="e">
        <f t="shared" si="2"/>
        <v>#N/A</v>
      </c>
      <c r="R105" s="90" t="e">
        <f t="shared" si="2"/>
        <v>#N/A</v>
      </c>
      <c r="S105" s="90" t="e">
        <f t="shared" si="2"/>
        <v>#N/A</v>
      </c>
      <c r="T105" s="90" t="e">
        <f t="shared" si="2"/>
        <v>#N/A</v>
      </c>
      <c r="U105" s="90" t="e">
        <f t="shared" si="2"/>
        <v>#N/A</v>
      </c>
      <c r="V105" s="90" t="e">
        <f t="shared" si="2"/>
        <v>#N/A</v>
      </c>
      <c r="W105" s="90" t="e">
        <f t="shared" si="2"/>
        <v>#N/A</v>
      </c>
      <c r="X105" s="90" t="e">
        <f t="shared" si="2"/>
        <v>#N/A</v>
      </c>
      <c r="Y105" s="90" t="e">
        <f t="shared" si="2"/>
        <v>#N/A</v>
      </c>
      <c r="Z105" s="90" t="e">
        <f t="shared" si="2"/>
        <v>#N/A</v>
      </c>
      <c r="AA105" s="90" t="e">
        <f t="shared" si="2"/>
        <v>#N/A</v>
      </c>
      <c r="AB105" s="90" t="e">
        <f t="shared" si="2"/>
        <v>#N/A</v>
      </c>
      <c r="AC105" s="90" t="e">
        <f t="shared" si="2"/>
        <v>#N/A</v>
      </c>
      <c r="AD105" s="90" t="e">
        <f t="shared" si="2"/>
        <v>#N/A</v>
      </c>
      <c r="AE105" s="90" t="e">
        <f t="shared" si="2"/>
        <v>#N/A</v>
      </c>
      <c r="AF105" s="90" t="e">
        <f t="shared" si="2"/>
        <v>#N/A</v>
      </c>
      <c r="AG105" s="90" t="e">
        <f t="shared" si="2"/>
        <v>#N/A</v>
      </c>
      <c r="AH105" s="90" t="e">
        <f t="shared" si="2"/>
        <v>#N/A</v>
      </c>
      <c r="AI105" s="90" t="e">
        <f t="shared" si="2"/>
        <v>#N/A</v>
      </c>
      <c r="AJ105" s="90" t="e">
        <f t="shared" si="2"/>
        <v>#N/A</v>
      </c>
      <c r="AK105" s="90" t="e">
        <f t="shared" si="2"/>
        <v>#N/A</v>
      </c>
      <c r="AL105" s="90" t="e">
        <f t="shared" si="2"/>
        <v>#N/A</v>
      </c>
      <c r="AM105" s="90" t="e">
        <f t="shared" si="2"/>
        <v>#N/A</v>
      </c>
      <c r="AN105" s="90" t="e">
        <f t="shared" si="2"/>
        <v>#N/A</v>
      </c>
      <c r="AO105" s="90" t="e">
        <f t="shared" si="2"/>
        <v>#N/A</v>
      </c>
      <c r="AP105" s="90" t="e">
        <f t="shared" si="2"/>
        <v>#N/A</v>
      </c>
      <c r="AQ105" s="90" t="e">
        <f t="shared" si="2"/>
        <v>#N/A</v>
      </c>
      <c r="AR105" s="90" t="e">
        <f t="shared" si="2"/>
        <v>#N/A</v>
      </c>
      <c r="AS105" s="90" t="e">
        <f t="shared" si="2"/>
        <v>#N/A</v>
      </c>
      <c r="AT105" s="90" t="e">
        <f t="shared" si="2"/>
        <v>#N/A</v>
      </c>
      <c r="AU105" s="90" t="e">
        <f t="shared" si="2"/>
        <v>#N/A</v>
      </c>
      <c r="AV105" s="90" t="e">
        <f t="shared" si="2"/>
        <v>#N/A</v>
      </c>
      <c r="AW105" s="90" t="e">
        <f t="shared" si="2"/>
        <v>#N/A</v>
      </c>
      <c r="AX105" s="90" t="e">
        <f t="shared" si="2"/>
        <v>#N/A</v>
      </c>
      <c r="AY105" s="90" t="e">
        <f t="shared" si="2"/>
        <v>#N/A</v>
      </c>
      <c r="AZ105" s="90" t="e">
        <f t="shared" si="2"/>
        <v>#N/A</v>
      </c>
      <c r="BA105" s="90" t="e">
        <f t="shared" si="2"/>
        <v>#N/A</v>
      </c>
      <c r="BB105" s="90" t="e">
        <f t="shared" si="2"/>
        <v>#N/A</v>
      </c>
      <c r="BC105" s="90" t="e">
        <f t="shared" si="2"/>
        <v>#N/A</v>
      </c>
      <c r="BD105" s="90" t="e">
        <f t="shared" si="2"/>
        <v>#N/A</v>
      </c>
      <c r="BE105" s="90" t="e">
        <f t="shared" si="2"/>
        <v>#N/A</v>
      </c>
      <c r="BF105" s="90" t="e">
        <f t="shared" si="2"/>
        <v>#N/A</v>
      </c>
      <c r="BG105" s="90" t="e">
        <f t="shared" si="2"/>
        <v>#N/A</v>
      </c>
      <c r="BH105" s="90" t="e">
        <f t="shared" si="2"/>
        <v>#N/A</v>
      </c>
      <c r="BI105" s="90" t="e">
        <f t="shared" si="2"/>
        <v>#N/A</v>
      </c>
      <c r="BJ105" s="90" t="e">
        <f t="shared" si="2"/>
        <v>#N/A</v>
      </c>
      <c r="BK105" s="90" t="e">
        <f t="shared" si="2"/>
        <v>#N/A</v>
      </c>
      <c r="BL105" s="90" t="e">
        <f t="shared" si="2"/>
        <v>#N/A</v>
      </c>
      <c r="BM105" s="90" t="e">
        <f t="shared" si="2"/>
        <v>#N/A</v>
      </c>
      <c r="BN105" s="90" t="e">
        <f t="shared" si="2"/>
        <v>#N/A</v>
      </c>
      <c r="BO105" s="90" t="e">
        <f t="shared" si="2"/>
        <v>#N/A</v>
      </c>
      <c r="BP105" s="90"/>
    </row>
    <row r="106" spans="3:68" x14ac:dyDescent="0.25">
      <c r="C106" s="3" t="s">
        <v>214</v>
      </c>
      <c r="D106" s="90" t="e">
        <f t="shared" si="1"/>
        <v>#N/A</v>
      </c>
      <c r="E106" s="90" t="e">
        <f t="shared" si="2"/>
        <v>#N/A</v>
      </c>
      <c r="F106" s="90" t="e">
        <f t="shared" si="2"/>
        <v>#N/A</v>
      </c>
      <c r="G106" s="90" t="e">
        <f t="shared" si="2"/>
        <v>#N/A</v>
      </c>
      <c r="H106" s="90" t="e">
        <f t="shared" si="2"/>
        <v>#N/A</v>
      </c>
      <c r="I106" s="90" t="e">
        <f t="shared" si="2"/>
        <v>#N/A</v>
      </c>
      <c r="J106" s="90" t="e">
        <f t="shared" si="2"/>
        <v>#N/A</v>
      </c>
      <c r="K106" s="90" t="e">
        <f t="shared" si="2"/>
        <v>#N/A</v>
      </c>
      <c r="L106" s="90" t="e">
        <f t="shared" si="2"/>
        <v>#N/A</v>
      </c>
      <c r="M106" s="90" t="e">
        <f t="shared" si="2"/>
        <v>#N/A</v>
      </c>
      <c r="N106" s="90" t="e">
        <f t="shared" si="2"/>
        <v>#N/A</v>
      </c>
      <c r="O106" s="90" t="e">
        <f t="shared" si="2"/>
        <v>#N/A</v>
      </c>
      <c r="P106" s="90" t="e">
        <f t="shared" si="2"/>
        <v>#N/A</v>
      </c>
      <c r="Q106" s="90" t="e">
        <f t="shared" si="2"/>
        <v>#N/A</v>
      </c>
      <c r="R106" s="90" t="e">
        <f t="shared" ref="E106:BO110" si="3">IF(ISBLANK(R11),NA(),R11)-IF(ISBLANK(R58),NA(),R58)</f>
        <v>#N/A</v>
      </c>
      <c r="S106" s="90" t="e">
        <f t="shared" si="3"/>
        <v>#N/A</v>
      </c>
      <c r="T106" s="90" t="e">
        <f t="shared" si="3"/>
        <v>#N/A</v>
      </c>
      <c r="U106" s="90" t="e">
        <f t="shared" si="3"/>
        <v>#N/A</v>
      </c>
      <c r="V106" s="90" t="e">
        <f t="shared" si="3"/>
        <v>#N/A</v>
      </c>
      <c r="W106" s="90" t="e">
        <f t="shared" si="3"/>
        <v>#N/A</v>
      </c>
      <c r="X106" s="90" t="e">
        <f t="shared" si="3"/>
        <v>#N/A</v>
      </c>
      <c r="Y106" s="90" t="e">
        <f t="shared" si="3"/>
        <v>#N/A</v>
      </c>
      <c r="Z106" s="90" t="e">
        <f t="shared" si="3"/>
        <v>#N/A</v>
      </c>
      <c r="AA106" s="90" t="e">
        <f t="shared" si="3"/>
        <v>#N/A</v>
      </c>
      <c r="AB106" s="90" t="e">
        <f t="shared" si="3"/>
        <v>#N/A</v>
      </c>
      <c r="AC106" s="90" t="e">
        <f t="shared" si="3"/>
        <v>#N/A</v>
      </c>
      <c r="AD106" s="90" t="e">
        <f t="shared" si="3"/>
        <v>#N/A</v>
      </c>
      <c r="AE106" s="90" t="e">
        <f t="shared" si="3"/>
        <v>#N/A</v>
      </c>
      <c r="AF106" s="90" t="e">
        <f t="shared" si="3"/>
        <v>#N/A</v>
      </c>
      <c r="AG106" s="90" t="e">
        <f t="shared" si="3"/>
        <v>#N/A</v>
      </c>
      <c r="AH106" s="90" t="e">
        <f t="shared" si="3"/>
        <v>#N/A</v>
      </c>
      <c r="AI106" s="90" t="e">
        <f t="shared" si="3"/>
        <v>#N/A</v>
      </c>
      <c r="AJ106" s="90" t="e">
        <f t="shared" si="3"/>
        <v>#N/A</v>
      </c>
      <c r="AK106" s="90" t="e">
        <f t="shared" si="3"/>
        <v>#N/A</v>
      </c>
      <c r="AL106" s="90" t="e">
        <f t="shared" si="3"/>
        <v>#N/A</v>
      </c>
      <c r="AM106" s="90" t="e">
        <f t="shared" si="3"/>
        <v>#N/A</v>
      </c>
      <c r="AN106" s="90" t="e">
        <f t="shared" si="3"/>
        <v>#N/A</v>
      </c>
      <c r="AO106" s="90" t="e">
        <f t="shared" si="3"/>
        <v>#N/A</v>
      </c>
      <c r="AP106" s="90" t="e">
        <f t="shared" si="3"/>
        <v>#N/A</v>
      </c>
      <c r="AQ106" s="90" t="e">
        <f t="shared" si="3"/>
        <v>#N/A</v>
      </c>
      <c r="AR106" s="90" t="e">
        <f t="shared" si="3"/>
        <v>#N/A</v>
      </c>
      <c r="AS106" s="90" t="e">
        <f t="shared" si="3"/>
        <v>#N/A</v>
      </c>
      <c r="AT106" s="90" t="e">
        <f t="shared" si="3"/>
        <v>#N/A</v>
      </c>
      <c r="AU106" s="90" t="e">
        <f t="shared" si="3"/>
        <v>#N/A</v>
      </c>
      <c r="AV106" s="90" t="e">
        <f t="shared" si="3"/>
        <v>#N/A</v>
      </c>
      <c r="AW106" s="90" t="e">
        <f t="shared" si="3"/>
        <v>#N/A</v>
      </c>
      <c r="AX106" s="90" t="e">
        <f t="shared" si="3"/>
        <v>#N/A</v>
      </c>
      <c r="AY106" s="90" t="e">
        <f t="shared" si="3"/>
        <v>#N/A</v>
      </c>
      <c r="AZ106" s="90" t="e">
        <f t="shared" si="3"/>
        <v>#N/A</v>
      </c>
      <c r="BA106" s="90" t="e">
        <f t="shared" si="3"/>
        <v>#N/A</v>
      </c>
      <c r="BB106" s="90" t="e">
        <f t="shared" si="3"/>
        <v>#N/A</v>
      </c>
      <c r="BC106" s="90" t="e">
        <f t="shared" si="3"/>
        <v>#N/A</v>
      </c>
      <c r="BD106" s="90" t="e">
        <f t="shared" si="3"/>
        <v>#N/A</v>
      </c>
      <c r="BE106" s="90" t="e">
        <f t="shared" si="3"/>
        <v>#N/A</v>
      </c>
      <c r="BF106" s="90" t="e">
        <f t="shared" si="3"/>
        <v>#N/A</v>
      </c>
      <c r="BG106" s="90" t="e">
        <f t="shared" si="3"/>
        <v>#N/A</v>
      </c>
      <c r="BH106" s="90" t="e">
        <f t="shared" si="3"/>
        <v>#N/A</v>
      </c>
      <c r="BI106" s="90" t="e">
        <f t="shared" si="3"/>
        <v>#N/A</v>
      </c>
      <c r="BJ106" s="90" t="e">
        <f t="shared" si="3"/>
        <v>#N/A</v>
      </c>
      <c r="BK106" s="90" t="e">
        <f t="shared" si="3"/>
        <v>#N/A</v>
      </c>
      <c r="BL106" s="90" t="e">
        <f t="shared" si="3"/>
        <v>#N/A</v>
      </c>
      <c r="BM106" s="90" t="e">
        <f t="shared" si="3"/>
        <v>#N/A</v>
      </c>
      <c r="BN106" s="90" t="e">
        <f t="shared" si="3"/>
        <v>#N/A</v>
      </c>
      <c r="BO106" s="90" t="e">
        <f t="shared" si="3"/>
        <v>#N/A</v>
      </c>
      <c r="BP106" s="90"/>
    </row>
    <row r="107" spans="3:68" x14ac:dyDescent="0.25">
      <c r="C107" s="1" t="s">
        <v>6</v>
      </c>
      <c r="D107" s="90" t="e">
        <f t="shared" si="1"/>
        <v>#N/A</v>
      </c>
      <c r="E107" s="90" t="e">
        <f t="shared" si="3"/>
        <v>#N/A</v>
      </c>
      <c r="F107" s="90" t="e">
        <f t="shared" si="3"/>
        <v>#N/A</v>
      </c>
      <c r="G107" s="90" t="e">
        <f t="shared" si="3"/>
        <v>#N/A</v>
      </c>
      <c r="H107" s="90" t="e">
        <f t="shared" si="3"/>
        <v>#N/A</v>
      </c>
      <c r="I107" s="90" t="e">
        <f t="shared" si="3"/>
        <v>#N/A</v>
      </c>
      <c r="J107" s="90" t="e">
        <f t="shared" si="3"/>
        <v>#N/A</v>
      </c>
      <c r="K107" s="90" t="e">
        <f t="shared" si="3"/>
        <v>#N/A</v>
      </c>
      <c r="L107" s="90" t="e">
        <f t="shared" si="3"/>
        <v>#N/A</v>
      </c>
      <c r="M107" s="90" t="e">
        <f t="shared" si="3"/>
        <v>#N/A</v>
      </c>
      <c r="N107" s="90" t="e">
        <f t="shared" si="3"/>
        <v>#N/A</v>
      </c>
      <c r="O107" s="90" t="e">
        <f t="shared" si="3"/>
        <v>#N/A</v>
      </c>
      <c r="P107" s="90" t="e">
        <f t="shared" si="3"/>
        <v>#N/A</v>
      </c>
      <c r="Q107" s="90" t="e">
        <f t="shared" si="3"/>
        <v>#N/A</v>
      </c>
      <c r="R107" s="90" t="e">
        <f t="shared" si="3"/>
        <v>#N/A</v>
      </c>
      <c r="S107" s="90" t="e">
        <f t="shared" si="3"/>
        <v>#N/A</v>
      </c>
      <c r="T107" s="90" t="e">
        <f t="shared" si="3"/>
        <v>#N/A</v>
      </c>
      <c r="U107" s="90" t="e">
        <f t="shared" si="3"/>
        <v>#N/A</v>
      </c>
      <c r="V107" s="90" t="e">
        <f t="shared" si="3"/>
        <v>#N/A</v>
      </c>
      <c r="W107" s="90" t="e">
        <f t="shared" si="3"/>
        <v>#N/A</v>
      </c>
      <c r="X107" s="90" t="e">
        <f t="shared" si="3"/>
        <v>#N/A</v>
      </c>
      <c r="Y107" s="90" t="e">
        <f t="shared" si="3"/>
        <v>#N/A</v>
      </c>
      <c r="Z107" s="90" t="e">
        <f t="shared" si="3"/>
        <v>#N/A</v>
      </c>
      <c r="AA107" s="90" t="e">
        <f t="shared" si="3"/>
        <v>#N/A</v>
      </c>
      <c r="AB107" s="90" t="e">
        <f t="shared" si="3"/>
        <v>#N/A</v>
      </c>
      <c r="AC107" s="90" t="e">
        <f t="shared" si="3"/>
        <v>#N/A</v>
      </c>
      <c r="AD107" s="90" t="e">
        <f t="shared" si="3"/>
        <v>#N/A</v>
      </c>
      <c r="AE107" s="90" t="e">
        <f t="shared" si="3"/>
        <v>#N/A</v>
      </c>
      <c r="AF107" s="90" t="e">
        <f t="shared" si="3"/>
        <v>#N/A</v>
      </c>
      <c r="AG107" s="90" t="e">
        <f t="shared" si="3"/>
        <v>#N/A</v>
      </c>
      <c r="AH107" s="90" t="e">
        <f t="shared" si="3"/>
        <v>#N/A</v>
      </c>
      <c r="AI107" s="90" t="e">
        <f t="shared" si="3"/>
        <v>#N/A</v>
      </c>
      <c r="AJ107" s="90" t="e">
        <f t="shared" si="3"/>
        <v>#N/A</v>
      </c>
      <c r="AK107" s="90" t="e">
        <f t="shared" si="3"/>
        <v>#N/A</v>
      </c>
      <c r="AL107" s="90" t="e">
        <f t="shared" si="3"/>
        <v>#N/A</v>
      </c>
      <c r="AM107" s="90" t="e">
        <f t="shared" si="3"/>
        <v>#N/A</v>
      </c>
      <c r="AN107" s="90" t="e">
        <f t="shared" si="3"/>
        <v>#N/A</v>
      </c>
      <c r="AO107" s="90" t="e">
        <f t="shared" si="3"/>
        <v>#N/A</v>
      </c>
      <c r="AP107" s="90" t="e">
        <f t="shared" si="3"/>
        <v>#N/A</v>
      </c>
      <c r="AQ107" s="90" t="e">
        <f t="shared" si="3"/>
        <v>#N/A</v>
      </c>
      <c r="AR107" s="90" t="e">
        <f t="shared" si="3"/>
        <v>#N/A</v>
      </c>
      <c r="AS107" s="90" t="e">
        <f t="shared" si="3"/>
        <v>#N/A</v>
      </c>
      <c r="AT107" s="90" t="e">
        <f t="shared" si="3"/>
        <v>#N/A</v>
      </c>
      <c r="AU107" s="90" t="e">
        <f t="shared" si="3"/>
        <v>#N/A</v>
      </c>
      <c r="AV107" s="90" t="e">
        <f t="shared" si="3"/>
        <v>#N/A</v>
      </c>
      <c r="AW107" s="90" t="e">
        <f t="shared" si="3"/>
        <v>#N/A</v>
      </c>
      <c r="AX107" s="90" t="e">
        <f t="shared" si="3"/>
        <v>#N/A</v>
      </c>
      <c r="AY107" s="90" t="e">
        <f t="shared" si="3"/>
        <v>#N/A</v>
      </c>
      <c r="AZ107" s="90" t="e">
        <f t="shared" si="3"/>
        <v>#N/A</v>
      </c>
      <c r="BA107" s="90" t="e">
        <f t="shared" si="3"/>
        <v>#N/A</v>
      </c>
      <c r="BB107" s="90" t="e">
        <f t="shared" si="3"/>
        <v>#N/A</v>
      </c>
      <c r="BC107" s="90" t="e">
        <f t="shared" si="3"/>
        <v>#N/A</v>
      </c>
      <c r="BD107" s="90" t="e">
        <f t="shared" si="3"/>
        <v>#N/A</v>
      </c>
      <c r="BE107" s="90" t="e">
        <f t="shared" si="3"/>
        <v>#N/A</v>
      </c>
      <c r="BF107" s="90" t="e">
        <f t="shared" si="3"/>
        <v>#N/A</v>
      </c>
      <c r="BG107" s="90" t="e">
        <f t="shared" si="3"/>
        <v>#N/A</v>
      </c>
      <c r="BH107" s="90" t="e">
        <f t="shared" si="3"/>
        <v>#N/A</v>
      </c>
      <c r="BI107" s="90" t="e">
        <f t="shared" si="3"/>
        <v>#N/A</v>
      </c>
      <c r="BJ107" s="90" t="e">
        <f t="shared" si="3"/>
        <v>#N/A</v>
      </c>
      <c r="BK107" s="90" t="e">
        <f t="shared" si="3"/>
        <v>#N/A</v>
      </c>
      <c r="BL107" s="90" t="e">
        <f t="shared" si="3"/>
        <v>#N/A</v>
      </c>
      <c r="BM107" s="90" t="e">
        <f t="shared" si="3"/>
        <v>#N/A</v>
      </c>
      <c r="BN107" s="90" t="e">
        <f t="shared" si="3"/>
        <v>#N/A</v>
      </c>
      <c r="BO107" s="90" t="e">
        <f t="shared" si="3"/>
        <v>#N/A</v>
      </c>
      <c r="BP107" s="90"/>
    </row>
    <row r="108" spans="3:68" x14ac:dyDescent="0.25">
      <c r="C108" s="3" t="s">
        <v>7</v>
      </c>
      <c r="D108" s="90">
        <f t="shared" si="1"/>
        <v>0.46810376229294093</v>
      </c>
      <c r="E108" s="90">
        <f t="shared" si="3"/>
        <v>6.546195774696173E-3</v>
      </c>
      <c r="F108" s="90">
        <f t="shared" si="3"/>
        <v>0.54075775184394104</v>
      </c>
      <c r="G108" s="90">
        <f t="shared" si="3"/>
        <v>6.1309523809569555E-3</v>
      </c>
      <c r="H108" s="90">
        <f t="shared" si="3"/>
        <v>8.2973653950205062E-2</v>
      </c>
      <c r="I108" s="90">
        <f t="shared" si="3"/>
        <v>6.6233794417385639E-2</v>
      </c>
      <c r="J108" s="90">
        <f t="shared" si="3"/>
        <v>-0.43011067069850384</v>
      </c>
      <c r="K108" s="90">
        <f t="shared" si="3"/>
        <v>0.3435684065519311</v>
      </c>
      <c r="L108" s="90">
        <f t="shared" si="3"/>
        <v>0.49660822510826108</v>
      </c>
      <c r="M108" s="90">
        <f t="shared" si="3"/>
        <v>-2.0447206439385468E-2</v>
      </c>
      <c r="N108" s="90">
        <f t="shared" si="3"/>
        <v>-1.3884076112689527</v>
      </c>
      <c r="O108" s="90">
        <f t="shared" si="3"/>
        <v>-99.22355917874404</v>
      </c>
      <c r="P108" s="90">
        <f t="shared" si="3"/>
        <v>99.922160268984484</v>
      </c>
      <c r="Q108" s="90">
        <f t="shared" si="3"/>
        <v>-1.2336492717352598E-2</v>
      </c>
      <c r="R108" s="90">
        <f t="shared" si="3"/>
        <v>1.1381025658380395E-2</v>
      </c>
      <c r="S108" s="90">
        <f t="shared" si="3"/>
        <v>8.1051305658853323E-2</v>
      </c>
      <c r="T108" s="90">
        <f t="shared" si="3"/>
        <v>1.1924246031746009</v>
      </c>
      <c r="U108" s="90">
        <f t="shared" si="3"/>
        <v>3.5364938446974747E-2</v>
      </c>
      <c r="V108" s="90">
        <f t="shared" si="3"/>
        <v>0.21357987604183393</v>
      </c>
      <c r="W108" s="90">
        <f t="shared" si="3"/>
        <v>1.1560250946970996E-2</v>
      </c>
      <c r="X108" s="90">
        <f t="shared" si="3"/>
        <v>0.49922137438536041</v>
      </c>
      <c r="Y108" s="90">
        <f t="shared" si="3"/>
        <v>0.10378229843073328</v>
      </c>
      <c r="Z108" s="90">
        <f t="shared" si="3"/>
        <v>-0.18439808704277993</v>
      </c>
      <c r="AA108" s="90">
        <f t="shared" si="3"/>
        <v>2.6785714285608719E-3</v>
      </c>
      <c r="AB108" s="90">
        <f t="shared" si="3"/>
        <v>1.0215831892310234E-2</v>
      </c>
      <c r="AC108" s="90">
        <f t="shared" si="3"/>
        <v>-0.24685343327982423</v>
      </c>
      <c r="AD108" s="90">
        <f t="shared" si="3"/>
        <v>-0.39340018978605329</v>
      </c>
      <c r="AE108" s="90">
        <f t="shared" si="3"/>
        <v>1.0399855699855749</v>
      </c>
      <c r="AF108" s="90">
        <f t="shared" si="3"/>
        <v>-0.33145519649622912</v>
      </c>
      <c r="AG108" s="90">
        <f t="shared" si="3"/>
        <v>0.10371385450486059</v>
      </c>
      <c r="AH108" s="90">
        <f t="shared" si="3"/>
        <v>-0.26328450201589959</v>
      </c>
      <c r="AI108" s="90">
        <f t="shared" si="3"/>
        <v>0.18556300951087223</v>
      </c>
      <c r="AJ108" s="90">
        <f t="shared" si="3"/>
        <v>-0.25735696248195694</v>
      </c>
      <c r="AK108" s="90">
        <f t="shared" si="3"/>
        <v>-4.9152758049242351E-2</v>
      </c>
      <c r="AL108" s="90">
        <f t="shared" si="3"/>
        <v>-0.11730954071970245</v>
      </c>
      <c r="AM108" s="90">
        <f t="shared" si="3"/>
        <v>0.47948313087690764</v>
      </c>
      <c r="AN108" s="90">
        <f t="shared" si="3"/>
        <v>-2.1220348011365076E-2</v>
      </c>
      <c r="AO108" s="90">
        <f t="shared" si="3"/>
        <v>-4.5955078124997328E-2</v>
      </c>
      <c r="AP108" s="90">
        <f t="shared" si="3"/>
        <v>-1.1719952752578422E-2</v>
      </c>
      <c r="AQ108" s="90">
        <f t="shared" si="3"/>
        <v>-0.29399301609849715</v>
      </c>
      <c r="AR108" s="90">
        <f t="shared" si="3"/>
        <v>0.88170738440302898</v>
      </c>
      <c r="AS108" s="90">
        <f t="shared" si="3"/>
        <v>-0.16826923532195792</v>
      </c>
      <c r="AT108" s="90">
        <f t="shared" si="3"/>
        <v>-0.14721554270383308</v>
      </c>
      <c r="AU108" s="90">
        <f t="shared" si="3"/>
        <v>-0.11660069278547525</v>
      </c>
      <c r="AV108" s="90">
        <f t="shared" si="3"/>
        <v>1.6458990521480388</v>
      </c>
      <c r="AW108" s="90">
        <f t="shared" si="3"/>
        <v>-0.41553864538238372</v>
      </c>
      <c r="AX108" s="90">
        <f t="shared" si="3"/>
        <v>-0.23117216210538061</v>
      </c>
      <c r="AY108" s="90">
        <f t="shared" si="3"/>
        <v>-1.6121031746038739E-2</v>
      </c>
      <c r="AZ108" s="90">
        <f t="shared" si="3"/>
        <v>0.58066741071429107</v>
      </c>
      <c r="BA108" s="90">
        <f t="shared" si="3"/>
        <v>-0.46049005681816979</v>
      </c>
      <c r="BB108" s="90">
        <f t="shared" si="3"/>
        <v>6.2899255329345891</v>
      </c>
      <c r="BC108" s="90">
        <f t="shared" si="3"/>
        <v>1.9297619047627279E-2</v>
      </c>
      <c r="BD108" s="90">
        <f t="shared" si="3"/>
        <v>-0.39516108067281408</v>
      </c>
      <c r="BE108" s="90">
        <f t="shared" si="3"/>
        <v>0.17440859250399043</v>
      </c>
      <c r="BF108" s="90">
        <f t="shared" si="3"/>
        <v>-10.548333333333325</v>
      </c>
      <c r="BG108" s="90">
        <f t="shared" si="3"/>
        <v>1.4766666666666737</v>
      </c>
      <c r="BH108" s="90">
        <f t="shared" si="3"/>
        <v>42.267673126972198</v>
      </c>
      <c r="BI108" s="90">
        <f t="shared" si="3"/>
        <v>3.1343436164025746</v>
      </c>
      <c r="BJ108" s="90">
        <f t="shared" si="3"/>
        <v>-15.051679711303159</v>
      </c>
      <c r="BK108" s="90">
        <f t="shared" si="3"/>
        <v>-16.270337031938297</v>
      </c>
      <c r="BL108" s="90">
        <f t="shared" si="3"/>
        <v>47.887673126972203</v>
      </c>
      <c r="BM108" s="90">
        <f t="shared" si="3"/>
        <v>1.0276769497359126</v>
      </c>
      <c r="BN108" s="90">
        <f t="shared" si="3"/>
        <v>-14.076679711303143</v>
      </c>
      <c r="BO108" s="90">
        <f t="shared" si="3"/>
        <v>-22.992003698604968</v>
      </c>
      <c r="BP108" s="90"/>
    </row>
    <row r="109" spans="3:68" x14ac:dyDescent="0.25">
      <c r="C109" s="3" t="s">
        <v>8</v>
      </c>
      <c r="D109" s="90">
        <f t="shared" si="1"/>
        <v>1.3500382214026772</v>
      </c>
      <c r="E109" s="90">
        <f t="shared" si="3"/>
        <v>-0.93495959877794377</v>
      </c>
      <c r="F109" s="90">
        <f t="shared" si="3"/>
        <v>-0.69901437952896828</v>
      </c>
      <c r="G109" s="90">
        <f t="shared" si="3"/>
        <v>-4.6180555555558556E-2</v>
      </c>
      <c r="H109" s="90">
        <f t="shared" si="3"/>
        <v>9.5628917523445267E-2</v>
      </c>
      <c r="I109" s="90">
        <f t="shared" si="3"/>
        <v>-1.8161320938176431</v>
      </c>
      <c r="J109" s="90">
        <f t="shared" si="3"/>
        <v>-6.2591669390869242E-2</v>
      </c>
      <c r="K109" s="90">
        <f t="shared" si="3"/>
        <v>-0.52865820986455248</v>
      </c>
      <c r="L109" s="90">
        <f t="shared" si="3"/>
        <v>-2.3376204906204876</v>
      </c>
      <c r="M109" s="90">
        <f t="shared" si="3"/>
        <v>0.98323721590910651</v>
      </c>
      <c r="N109" s="90">
        <f t="shared" si="3"/>
        <v>-8.0788565932765124</v>
      </c>
      <c r="O109" s="90">
        <f t="shared" si="3"/>
        <v>-57.959847912353375</v>
      </c>
      <c r="P109" s="90">
        <f t="shared" si="3"/>
        <v>61.856976649869239</v>
      </c>
      <c r="Q109" s="90">
        <f t="shared" si="3"/>
        <v>-1.2020983833874439</v>
      </c>
      <c r="R109" s="90">
        <f t="shared" si="3"/>
        <v>-2.6124555826118439</v>
      </c>
      <c r="S109" s="90">
        <f t="shared" si="3"/>
        <v>-1.2615208824966615</v>
      </c>
      <c r="T109" s="90">
        <f t="shared" si="3"/>
        <v>0.94899693362194171</v>
      </c>
      <c r="U109" s="90">
        <f t="shared" si="3"/>
        <v>-3.24583232717805</v>
      </c>
      <c r="V109" s="90">
        <f t="shared" si="3"/>
        <v>-3.8905438100546732</v>
      </c>
      <c r="W109" s="90">
        <f t="shared" si="3"/>
        <v>-3.0545429687499954</v>
      </c>
      <c r="X109" s="90">
        <f t="shared" si="3"/>
        <v>-5.0807538509855803</v>
      </c>
      <c r="Y109" s="90">
        <f t="shared" si="3"/>
        <v>-1.6277188909181035</v>
      </c>
      <c r="Z109" s="90">
        <f t="shared" si="3"/>
        <v>1.9360443961891889</v>
      </c>
      <c r="AA109" s="90">
        <f t="shared" si="3"/>
        <v>3.1737348579782818</v>
      </c>
      <c r="AB109" s="90">
        <f t="shared" si="3"/>
        <v>2.0194794754611252</v>
      </c>
      <c r="AC109" s="90">
        <f t="shared" si="3"/>
        <v>-2.976714843749992</v>
      </c>
      <c r="AD109" s="90">
        <f t="shared" si="3"/>
        <v>1.5206737405106807</v>
      </c>
      <c r="AE109" s="90">
        <f t="shared" si="3"/>
        <v>-4.8287079725829649</v>
      </c>
      <c r="AF109" s="90">
        <f t="shared" si="3"/>
        <v>2.829725497159103</v>
      </c>
      <c r="AG109" s="90">
        <f t="shared" si="3"/>
        <v>1.4609066671175981</v>
      </c>
      <c r="AH109" s="90">
        <f t="shared" si="3"/>
        <v>2.6531035242090866</v>
      </c>
      <c r="AI109" s="90">
        <f t="shared" si="3"/>
        <v>1.6900529513888856</v>
      </c>
      <c r="AJ109" s="90">
        <f t="shared" si="3"/>
        <v>1.5111159812409767</v>
      </c>
      <c r="AK109" s="90">
        <f t="shared" si="3"/>
        <v>2.1123430989583305</v>
      </c>
      <c r="AL109" s="90">
        <f t="shared" si="3"/>
        <v>1.0723734019886422</v>
      </c>
      <c r="AM109" s="90">
        <f t="shared" si="3"/>
        <v>-2.6452242616136203</v>
      </c>
      <c r="AN109" s="90">
        <f t="shared" si="3"/>
        <v>-2.8192353219704813E-2</v>
      </c>
      <c r="AO109" s="90">
        <f t="shared" si="3"/>
        <v>1.2317625473484846</v>
      </c>
      <c r="AP109" s="90">
        <f t="shared" si="3"/>
        <v>0.17431456043956217</v>
      </c>
      <c r="AQ109" s="90">
        <f t="shared" si="3"/>
        <v>-1.739703065814389</v>
      </c>
      <c r="AR109" s="90">
        <f t="shared" si="3"/>
        <v>3.3195256211180109</v>
      </c>
      <c r="AS109" s="90">
        <f t="shared" si="3"/>
        <v>-2.1909105705492316</v>
      </c>
      <c r="AT109" s="90">
        <f t="shared" si="3"/>
        <v>4.4838072944850325</v>
      </c>
      <c r="AU109" s="90">
        <f t="shared" si="3"/>
        <v>-1.3973542628868501</v>
      </c>
      <c r="AV109" s="90">
        <f t="shared" si="3"/>
        <v>12.885226272698873</v>
      </c>
      <c r="AW109" s="90">
        <f t="shared" si="3"/>
        <v>-7.2031701783459496</v>
      </c>
      <c r="AX109" s="90">
        <f t="shared" si="3"/>
        <v>3.2879343526246174</v>
      </c>
      <c r="AY109" s="90">
        <f t="shared" si="3"/>
        <v>2.7428776455026451</v>
      </c>
      <c r="AZ109" s="90">
        <f t="shared" si="3"/>
        <v>1.3002378358004307</v>
      </c>
      <c r="BA109" s="90">
        <f t="shared" si="3"/>
        <v>0.67653247974537223</v>
      </c>
      <c r="BB109" s="90">
        <f t="shared" si="3"/>
        <v>0.31695965608465571</v>
      </c>
      <c r="BC109" s="90">
        <f t="shared" si="3"/>
        <v>1.2671694555015094</v>
      </c>
      <c r="BD109" s="90">
        <f t="shared" si="3"/>
        <v>2.6242393845558993</v>
      </c>
      <c r="BE109" s="90">
        <f t="shared" si="3"/>
        <v>1.4321588203463165</v>
      </c>
      <c r="BF109" s="90">
        <f t="shared" si="3"/>
        <v>-19.799999999999994</v>
      </c>
      <c r="BG109" s="90" t="e">
        <f t="shared" si="3"/>
        <v>#N/A</v>
      </c>
      <c r="BH109" s="90" t="e">
        <f t="shared" si="3"/>
        <v>#N/A</v>
      </c>
      <c r="BI109" s="90" t="e">
        <f t="shared" si="3"/>
        <v>#N/A</v>
      </c>
      <c r="BJ109" s="90" t="e">
        <f t="shared" si="3"/>
        <v>#N/A</v>
      </c>
      <c r="BK109" s="90" t="e">
        <f t="shared" si="3"/>
        <v>#N/A</v>
      </c>
      <c r="BL109" s="90" t="e">
        <f t="shared" si="3"/>
        <v>#N/A</v>
      </c>
      <c r="BM109" s="90" t="e">
        <f t="shared" si="3"/>
        <v>#N/A</v>
      </c>
      <c r="BN109" s="90" t="e">
        <f t="shared" si="3"/>
        <v>#N/A</v>
      </c>
      <c r="BO109" s="90" t="e">
        <f t="shared" si="3"/>
        <v>#N/A</v>
      </c>
      <c r="BP109" s="90"/>
    </row>
    <row r="110" spans="3:68" x14ac:dyDescent="0.25">
      <c r="C110" s="3" t="s">
        <v>9</v>
      </c>
      <c r="D110" s="90">
        <f t="shared" si="1"/>
        <v>3.1616471772019494</v>
      </c>
      <c r="E110" s="90">
        <f t="shared" si="3"/>
        <v>-0.17184556220689728</v>
      </c>
      <c r="F110" s="90">
        <f t="shared" si="3"/>
        <v>-1.8443305310235445</v>
      </c>
      <c r="G110" s="90">
        <f t="shared" si="3"/>
        <v>1.0009623015873004</v>
      </c>
      <c r="H110" s="90">
        <f t="shared" si="3"/>
        <v>1.8098809101055267</v>
      </c>
      <c r="I110" s="90">
        <f t="shared" si="3"/>
        <v>-2.4379852092352152</v>
      </c>
      <c r="J110" s="90">
        <f t="shared" si="3"/>
        <v>0.29819008572157202</v>
      </c>
      <c r="K110" s="90">
        <f t="shared" si="3"/>
        <v>2.4209160574102881</v>
      </c>
      <c r="L110" s="90">
        <f t="shared" si="3"/>
        <v>5.464502525252513</v>
      </c>
      <c r="M110" s="90">
        <f t="shared" si="3"/>
        <v>2.33662357954546</v>
      </c>
      <c r="N110" s="90">
        <f t="shared" si="3"/>
        <v>-9.2360349786931621</v>
      </c>
      <c r="O110" s="90">
        <f t="shared" si="3"/>
        <v>-90.321657608695716</v>
      </c>
      <c r="P110" s="90">
        <f t="shared" si="3"/>
        <v>109.33464250202923</v>
      </c>
      <c r="Q110" s="90">
        <f t="shared" ref="E110:BO114" si="4">IF(ISBLANK(Q15),NA(),Q15)-IF(ISBLANK(Q62),NA(),Q62)</f>
        <v>2.5368629374098219</v>
      </c>
      <c r="R110" s="90">
        <f t="shared" si="4"/>
        <v>1.7030954776560279</v>
      </c>
      <c r="S110" s="90">
        <f t="shared" si="4"/>
        <v>1.4875053571776817</v>
      </c>
      <c r="T110" s="90">
        <f t="shared" si="4"/>
        <v>7.9184983766233898</v>
      </c>
      <c r="U110" s="90">
        <f t="shared" si="4"/>
        <v>1.6954383877841082</v>
      </c>
      <c r="V110" s="90">
        <f t="shared" si="4"/>
        <v>-0.20519668073472985</v>
      </c>
      <c r="W110" s="90">
        <f t="shared" si="4"/>
        <v>1.0496245265151529</v>
      </c>
      <c r="X110" s="90">
        <f t="shared" si="4"/>
        <v>1.7659150356927285</v>
      </c>
      <c r="Y110" s="90">
        <f t="shared" si="4"/>
        <v>0.50885248692279461</v>
      </c>
      <c r="Z110" s="90">
        <f t="shared" si="4"/>
        <v>-0.48923995400924269</v>
      </c>
      <c r="AA110" s="90">
        <f t="shared" si="4"/>
        <v>1.1074592731829682</v>
      </c>
      <c r="AB110" s="90">
        <f t="shared" si="4"/>
        <v>3.7229208456851097</v>
      </c>
      <c r="AC110" s="90">
        <f t="shared" si="4"/>
        <v>0.83760912796441289</v>
      </c>
      <c r="AD110" s="90">
        <f t="shared" si="4"/>
        <v>0.45701561421670078</v>
      </c>
      <c r="AE110" s="90">
        <f t="shared" si="4"/>
        <v>-2.8203690476190602</v>
      </c>
      <c r="AF110" s="90">
        <f t="shared" si="4"/>
        <v>1.2055326112689357</v>
      </c>
      <c r="AG110" s="90">
        <f t="shared" si="4"/>
        <v>-0.38414533166486109</v>
      </c>
      <c r="AH110" s="90">
        <f t="shared" si="4"/>
        <v>1.2240119774073008</v>
      </c>
      <c r="AI110" s="90">
        <f t="shared" si="4"/>
        <v>2.5336873625129357</v>
      </c>
      <c r="AJ110" s="90">
        <f t="shared" si="4"/>
        <v>2.3669812409812536</v>
      </c>
      <c r="AK110" s="90">
        <f t="shared" si="4"/>
        <v>2.1511007930871209</v>
      </c>
      <c r="AL110" s="90">
        <f t="shared" si="4"/>
        <v>1.6463018465909123</v>
      </c>
      <c r="AM110" s="90">
        <f t="shared" si="4"/>
        <v>-1.4264348661792496</v>
      </c>
      <c r="AN110" s="90">
        <f t="shared" si="4"/>
        <v>0.76791163589015099</v>
      </c>
      <c r="AO110" s="90">
        <f t="shared" si="4"/>
        <v>1.1498741122159046</v>
      </c>
      <c r="AP110" s="90">
        <f t="shared" si="4"/>
        <v>0.61363931358496515</v>
      </c>
      <c r="AQ110" s="90">
        <f t="shared" si="4"/>
        <v>-0.8427792376894061</v>
      </c>
      <c r="AR110" s="90">
        <f t="shared" si="4"/>
        <v>4.0592562111801058</v>
      </c>
      <c r="AS110" s="90">
        <f t="shared" si="4"/>
        <v>-1.6440159801136289</v>
      </c>
      <c r="AT110" s="90">
        <f t="shared" si="4"/>
        <v>1.6272854831800174</v>
      </c>
      <c r="AU110" s="90">
        <f t="shared" si="4"/>
        <v>1.6650887415724469</v>
      </c>
      <c r="AV110" s="90">
        <f t="shared" si="4"/>
        <v>2.4499506488850074</v>
      </c>
      <c r="AW110" s="90">
        <f t="shared" si="4"/>
        <v>-1.2318470700306534</v>
      </c>
      <c r="AX110" s="90">
        <f t="shared" si="4"/>
        <v>-2.5397453658772946</v>
      </c>
      <c r="AY110" s="90">
        <f t="shared" si="4"/>
        <v>-0.87860648148148357</v>
      </c>
      <c r="AZ110" s="90">
        <f t="shared" si="4"/>
        <v>-0.92810289884869945</v>
      </c>
      <c r="BA110" s="90">
        <f t="shared" si="4"/>
        <v>2.436935298859126</v>
      </c>
      <c r="BB110" s="90">
        <f t="shared" si="4"/>
        <v>1.223570767195767</v>
      </c>
      <c r="BC110" s="90">
        <f t="shared" si="4"/>
        <v>3.3189976473045348</v>
      </c>
      <c r="BD110" s="90">
        <f t="shared" si="4"/>
        <v>3.4026485177404311</v>
      </c>
      <c r="BE110" s="90">
        <f t="shared" si="4"/>
        <v>-13.470993326118332</v>
      </c>
      <c r="BF110" s="90">
        <f t="shared" si="4"/>
        <v>-37.725555555555552</v>
      </c>
      <c r="BG110" s="90">
        <f t="shared" si="4"/>
        <v>-18.223333333333336</v>
      </c>
      <c r="BH110" s="90">
        <f t="shared" si="4"/>
        <v>25.81611875743733</v>
      </c>
      <c r="BI110" s="90">
        <f t="shared" si="4"/>
        <v>-22.370723436756776</v>
      </c>
      <c r="BJ110" s="90">
        <f t="shared" si="4"/>
        <v>-51.644541166519964</v>
      </c>
      <c r="BK110" s="90">
        <f t="shared" si="4"/>
        <v>-38.439187487493939</v>
      </c>
      <c r="BL110" s="90">
        <f t="shared" si="4"/>
        <v>36.239452090770662</v>
      </c>
      <c r="BM110" s="90">
        <f t="shared" si="4"/>
        <v>-18.689056770090112</v>
      </c>
      <c r="BN110" s="90">
        <f t="shared" si="4"/>
        <v>-44.447874499853299</v>
      </c>
      <c r="BO110" s="90">
        <f t="shared" si="4"/>
        <v>-34.739187487493929</v>
      </c>
      <c r="BP110" s="90"/>
    </row>
    <row r="111" spans="3:68" x14ac:dyDescent="0.25">
      <c r="C111" s="3" t="s">
        <v>10</v>
      </c>
      <c r="D111" s="90">
        <f t="shared" si="1"/>
        <v>2.6893725184933714</v>
      </c>
      <c r="E111" s="90">
        <f t="shared" si="4"/>
        <v>2.852973808960158</v>
      </c>
      <c r="F111" s="90">
        <f t="shared" si="4"/>
        <v>-0.65296466043393764</v>
      </c>
      <c r="G111" s="90">
        <f t="shared" si="4"/>
        <v>0.68507936507936051</v>
      </c>
      <c r="H111" s="90">
        <f t="shared" si="4"/>
        <v>1.2838528702200733</v>
      </c>
      <c r="I111" s="90">
        <f t="shared" si="4"/>
        <v>-2.948741488546176</v>
      </c>
      <c r="J111" s="90">
        <f t="shared" si="4"/>
        <v>1.1488057099269895</v>
      </c>
      <c r="K111" s="90">
        <f t="shared" si="4"/>
        <v>1.9007567206909854</v>
      </c>
      <c r="L111" s="90">
        <f t="shared" si="4"/>
        <v>2.0452893217893262</v>
      </c>
      <c r="M111" s="90">
        <f t="shared" si="4"/>
        <v>0.99847283380680096</v>
      </c>
      <c r="N111" s="90">
        <f t="shared" si="4"/>
        <v>-8.8692299360795559</v>
      </c>
      <c r="O111" s="90">
        <f t="shared" si="4"/>
        <v>-101.70959963768109</v>
      </c>
      <c r="P111" s="90">
        <f t="shared" si="4"/>
        <v>113.74303792670003</v>
      </c>
      <c r="Q111" s="90">
        <f t="shared" si="4"/>
        <v>2.5425652450848091</v>
      </c>
      <c r="R111" s="90">
        <f t="shared" si="4"/>
        <v>1.4918998438627469</v>
      </c>
      <c r="S111" s="90">
        <f t="shared" si="4"/>
        <v>1.6923574710383278</v>
      </c>
      <c r="T111" s="90">
        <f t="shared" si="4"/>
        <v>7.0293152958152803</v>
      </c>
      <c r="U111" s="90">
        <f t="shared" si="4"/>
        <v>1.0284450165719647</v>
      </c>
      <c r="V111" s="90">
        <f t="shared" si="4"/>
        <v>-0.9550790399214435</v>
      </c>
      <c r="W111" s="90">
        <f t="shared" si="4"/>
        <v>0.95287582859848641</v>
      </c>
      <c r="X111" s="90">
        <f t="shared" si="4"/>
        <v>0.69988431946600826</v>
      </c>
      <c r="Y111" s="90">
        <f t="shared" si="4"/>
        <v>1.2004865310470727</v>
      </c>
      <c r="Z111" s="90">
        <f t="shared" si="4"/>
        <v>-1.3144917494284769</v>
      </c>
      <c r="AA111" s="90">
        <f t="shared" si="4"/>
        <v>1.4595634920634808</v>
      </c>
      <c r="AB111" s="90">
        <f t="shared" si="4"/>
        <v>3.7903438683712096</v>
      </c>
      <c r="AC111" s="90">
        <f t="shared" si="4"/>
        <v>-0.4256040560153167</v>
      </c>
      <c r="AD111" s="90">
        <f t="shared" si="4"/>
        <v>1.3080788474810063</v>
      </c>
      <c r="AE111" s="90">
        <f t="shared" si="4"/>
        <v>-1.7514604978355095</v>
      </c>
      <c r="AF111" s="90">
        <f t="shared" si="4"/>
        <v>0.93040334990531903</v>
      </c>
      <c r="AG111" s="90">
        <f t="shared" si="4"/>
        <v>-1.824430507643406</v>
      </c>
      <c r="AH111" s="90">
        <f t="shared" si="4"/>
        <v>-0.90891054629327073</v>
      </c>
      <c r="AI111" s="90">
        <f t="shared" si="4"/>
        <v>0.15822467542271568</v>
      </c>
      <c r="AJ111" s="90">
        <f t="shared" si="4"/>
        <v>3.5724204545454654</v>
      </c>
      <c r="AK111" s="90">
        <f t="shared" si="4"/>
        <v>-0.16658641098485205</v>
      </c>
      <c r="AL111" s="90">
        <f t="shared" si="4"/>
        <v>1.1400624999999991</v>
      </c>
      <c r="AM111" s="90">
        <f t="shared" si="4"/>
        <v>-0.39897770013803679</v>
      </c>
      <c r="AN111" s="90">
        <f t="shared" si="4"/>
        <v>-1.3130609611742479</v>
      </c>
      <c r="AO111" s="90">
        <f t="shared" si="4"/>
        <v>1.3262728456439419</v>
      </c>
      <c r="AP111" s="90">
        <f t="shared" si="4"/>
        <v>-0.63924571322397128</v>
      </c>
      <c r="AQ111" s="90">
        <f t="shared" si="4"/>
        <v>-0.56598561789773072</v>
      </c>
      <c r="AR111" s="90">
        <f t="shared" si="4"/>
        <v>4.7188585231194082</v>
      </c>
      <c r="AS111" s="90">
        <f t="shared" si="4"/>
        <v>-3.2950833333333307</v>
      </c>
      <c r="AT111" s="90">
        <f t="shared" si="4"/>
        <v>-2.2713147518713726</v>
      </c>
      <c r="AU111" s="90">
        <f t="shared" si="4"/>
        <v>1.5473741307002342</v>
      </c>
      <c r="AV111" s="90">
        <f t="shared" si="4"/>
        <v>1.0424049034355534</v>
      </c>
      <c r="AW111" s="90">
        <f t="shared" si="4"/>
        <v>-1.6544546046401649</v>
      </c>
      <c r="AX111" s="90">
        <f t="shared" si="4"/>
        <v>-3.7186159204623692</v>
      </c>
      <c r="AY111" s="90">
        <f t="shared" si="4"/>
        <v>-0.62541534391532139</v>
      </c>
      <c r="AZ111" s="90">
        <f t="shared" si="4"/>
        <v>-1.065047388980247</v>
      </c>
      <c r="BA111" s="90">
        <f t="shared" si="4"/>
        <v>2.2012233382936479</v>
      </c>
      <c r="BB111" s="90">
        <f t="shared" si="4"/>
        <v>-2.3200337301587197</v>
      </c>
      <c r="BC111" s="90">
        <f t="shared" si="4"/>
        <v>2.9314455870067277</v>
      </c>
      <c r="BD111" s="90">
        <f t="shared" si="4"/>
        <v>0.88576313815455876</v>
      </c>
      <c r="BE111" s="90">
        <f t="shared" si="4"/>
        <v>-14.284100288600278</v>
      </c>
      <c r="BF111" s="90">
        <f t="shared" si="4"/>
        <v>-39.154444444444451</v>
      </c>
      <c r="BG111" s="90">
        <f t="shared" si="4"/>
        <v>-17.973333333333336</v>
      </c>
      <c r="BH111" s="90">
        <f t="shared" si="4"/>
        <v>23.263286137283117</v>
      </c>
      <c r="BI111" s="90">
        <f t="shared" si="4"/>
        <v>-22.390822514514063</v>
      </c>
      <c r="BJ111" s="90">
        <f t="shared" si="4"/>
        <v>-50.592431690990466</v>
      </c>
      <c r="BK111" s="90">
        <f t="shared" si="4"/>
        <v>-35.60003193177856</v>
      </c>
      <c r="BL111" s="90">
        <f t="shared" si="4"/>
        <v>38.234952803949767</v>
      </c>
      <c r="BM111" s="90">
        <f t="shared" si="4"/>
        <v>-17.91415584784739</v>
      </c>
      <c r="BN111" s="90">
        <f t="shared" si="4"/>
        <v>-44.124098357657132</v>
      </c>
      <c r="BO111" s="90">
        <f t="shared" si="4"/>
        <v>-33.628365265111881</v>
      </c>
      <c r="BP111" s="90"/>
    </row>
    <row r="112" spans="3:68" x14ac:dyDescent="0.25">
      <c r="C112" s="3" t="s">
        <v>11</v>
      </c>
      <c r="D112" s="90">
        <f t="shared" si="1"/>
        <v>1.2109956114736988</v>
      </c>
      <c r="E112" s="90">
        <f t="shared" si="4"/>
        <v>-3.3484450215182093</v>
      </c>
      <c r="F112" s="90">
        <f t="shared" si="4"/>
        <v>0.94278341366893414</v>
      </c>
      <c r="G112" s="90">
        <f t="shared" si="4"/>
        <v>0.64876055555554757</v>
      </c>
      <c r="H112" s="90">
        <f t="shared" si="4"/>
        <v>0.38476027894739673</v>
      </c>
      <c r="I112" s="90">
        <f t="shared" si="4"/>
        <v>0.34934542426215387</v>
      </c>
      <c r="J112" s="90">
        <f t="shared" si="4"/>
        <v>-3.5775002663815201</v>
      </c>
      <c r="K112" s="90">
        <f t="shared" si="4"/>
        <v>-1.1293189260777794</v>
      </c>
      <c r="L112" s="90">
        <f t="shared" si="4"/>
        <v>-0.32778339556276848</v>
      </c>
      <c r="M112" s="90">
        <f t="shared" si="4"/>
        <v>0.67319568359376092</v>
      </c>
      <c r="N112" s="90">
        <f t="shared" si="4"/>
        <v>1.6704751947206233</v>
      </c>
      <c r="O112" s="90">
        <f t="shared" si="4"/>
        <v>-70.659455548222908</v>
      </c>
      <c r="P112" s="90">
        <f t="shared" si="4"/>
        <v>74.548361766098481</v>
      </c>
      <c r="Q112" s="90">
        <f t="shared" si="4"/>
        <v>0.22063954435536459</v>
      </c>
      <c r="R112" s="90">
        <f t="shared" si="4"/>
        <v>1.7878523920144431</v>
      </c>
      <c r="S112" s="90">
        <f t="shared" si="4"/>
        <v>1.8267399145425003</v>
      </c>
      <c r="T112" s="90">
        <f t="shared" si="4"/>
        <v>3.3608223277416727</v>
      </c>
      <c r="U112" s="90">
        <f t="shared" si="4"/>
        <v>1.3111301210345658</v>
      </c>
      <c r="V112" s="90">
        <f t="shared" si="4"/>
        <v>-0.32842739085309347</v>
      </c>
      <c r="W112" s="90">
        <f t="shared" si="4"/>
        <v>1.123624583037401</v>
      </c>
      <c r="X112" s="90">
        <f t="shared" si="4"/>
        <v>1.3916136072493543</v>
      </c>
      <c r="Y112" s="90">
        <f t="shared" si="4"/>
        <v>-0.63485107288848042</v>
      </c>
      <c r="Z112" s="90">
        <f t="shared" si="4"/>
        <v>1.8064164042483455</v>
      </c>
      <c r="AA112" s="90">
        <f t="shared" si="4"/>
        <v>1.0382991468253877</v>
      </c>
      <c r="AB112" s="90">
        <f t="shared" si="4"/>
        <v>0.31113471244801616</v>
      </c>
      <c r="AC112" s="90">
        <f t="shared" si="4"/>
        <v>0.28562561743196824</v>
      </c>
      <c r="AD112" s="90">
        <f t="shared" si="4"/>
        <v>-0.6711560609472258</v>
      </c>
      <c r="AE112" s="90">
        <f t="shared" si="4"/>
        <v>-1.1794472519841364</v>
      </c>
      <c r="AF112" s="90">
        <f t="shared" si="4"/>
        <v>-0.71572836440576992</v>
      </c>
      <c r="AG112" s="90">
        <f t="shared" si="4"/>
        <v>-0.88486063735852127</v>
      </c>
      <c r="AH112" s="90">
        <f t="shared" si="4"/>
        <v>0.69966282004831015</v>
      </c>
      <c r="AI112" s="90">
        <f t="shared" si="4"/>
        <v>1.6844357691255283</v>
      </c>
      <c r="AJ112" s="90">
        <f t="shared" si="4"/>
        <v>1.8015693949314695</v>
      </c>
      <c r="AK112" s="90">
        <f t="shared" si="4"/>
        <v>0.51925249733664813</v>
      </c>
      <c r="AL112" s="90">
        <f t="shared" si="4"/>
        <v>-0.40095758226800271</v>
      </c>
      <c r="AM112" s="90">
        <f t="shared" si="4"/>
        <v>-5.7976706403120915E-2</v>
      </c>
      <c r="AN112" s="90">
        <f t="shared" si="4"/>
        <v>0.32550276071259887</v>
      </c>
      <c r="AO112" s="90">
        <f t="shared" si="4"/>
        <v>-0.29147802385180199</v>
      </c>
      <c r="AP112" s="90">
        <f t="shared" si="4"/>
        <v>0.37595106480597806</v>
      </c>
      <c r="AQ112" s="90">
        <f t="shared" si="4"/>
        <v>-0.2781769472064255</v>
      </c>
      <c r="AR112" s="90">
        <f t="shared" si="4"/>
        <v>1.3624340118185003</v>
      </c>
      <c r="AS112" s="90">
        <f t="shared" si="4"/>
        <v>0.2675822102864629</v>
      </c>
      <c r="AT112" s="90">
        <f t="shared" si="4"/>
        <v>0.2418677312607187</v>
      </c>
      <c r="AU112" s="90">
        <f t="shared" si="4"/>
        <v>-0.46458008300154319</v>
      </c>
      <c r="AV112" s="90">
        <f t="shared" si="4"/>
        <v>6.3358918628283334</v>
      </c>
      <c r="AW112" s="90">
        <f t="shared" si="4"/>
        <v>-3.2183190945307132</v>
      </c>
      <c r="AX112" s="90">
        <f t="shared" si="4"/>
        <v>1.3072639047672965</v>
      </c>
      <c r="AY112" s="90">
        <f t="shared" si="4"/>
        <v>-8.718258511904736</v>
      </c>
      <c r="AZ112" s="90">
        <f t="shared" si="4"/>
        <v>4.1236104948995091</v>
      </c>
      <c r="BA112" s="90">
        <f t="shared" si="4"/>
        <v>1.9969354465553977</v>
      </c>
      <c r="BB112" s="90">
        <f t="shared" si="4"/>
        <v>1.7951260593512828</v>
      </c>
      <c r="BC112" s="90">
        <f t="shared" si="4"/>
        <v>-9.7224665494216822E-2</v>
      </c>
      <c r="BD112" s="90">
        <f t="shared" si="4"/>
        <v>2.4434743730398196</v>
      </c>
      <c r="BE112" s="90">
        <f t="shared" si="4"/>
        <v>-0.65951731680289782</v>
      </c>
      <c r="BF112" s="90">
        <f t="shared" si="4"/>
        <v>-14.837777777777795</v>
      </c>
      <c r="BG112" s="90">
        <f t="shared" si="4"/>
        <v>-1.9233333333333391</v>
      </c>
      <c r="BH112" s="90">
        <f t="shared" si="4"/>
        <v>18.166762433031757</v>
      </c>
      <c r="BI112" s="90">
        <f t="shared" si="4"/>
        <v>-0.40112337259898112</v>
      </c>
      <c r="BJ112" s="90">
        <f t="shared" si="4"/>
        <v>-13.916909838598343</v>
      </c>
      <c r="BK112" s="90">
        <f t="shared" si="4"/>
        <v>-10.703729221834436</v>
      </c>
      <c r="BL112" s="90">
        <f t="shared" si="4"/>
        <v>19.192137969560704</v>
      </c>
      <c r="BM112" s="90">
        <f t="shared" si="4"/>
        <v>-2.3060614301128979</v>
      </c>
      <c r="BN112" s="90">
        <f t="shared" si="4"/>
        <v>-17.152106950951548</v>
      </c>
      <c r="BO112" s="90">
        <f t="shared" si="4"/>
        <v>-14.352302921829597</v>
      </c>
      <c r="BP112" s="90"/>
    </row>
    <row r="113" spans="3:68" x14ac:dyDescent="0.25">
      <c r="C113" s="3" t="s">
        <v>12</v>
      </c>
      <c r="D113" s="90">
        <f t="shared" si="1"/>
        <v>3.6891329958565109</v>
      </c>
      <c r="E113" s="90">
        <f t="shared" si="4"/>
        <v>-4.493975178571425</v>
      </c>
      <c r="F113" s="90">
        <f t="shared" si="4"/>
        <v>2.1077394754397005</v>
      </c>
      <c r="G113" s="90">
        <f t="shared" si="4"/>
        <v>1.2103183134920883</v>
      </c>
      <c r="H113" s="90">
        <f t="shared" si="4"/>
        <v>-0.10287518718152455</v>
      </c>
      <c r="I113" s="90">
        <f t="shared" si="4"/>
        <v>1.3015515170299494</v>
      </c>
      <c r="J113" s="90">
        <f t="shared" si="4"/>
        <v>-2.9009074616114745</v>
      </c>
      <c r="K113" s="90">
        <f t="shared" si="4"/>
        <v>-1.1649661131376874</v>
      </c>
      <c r="L113" s="90">
        <f t="shared" si="4"/>
        <v>0.33557048232322728</v>
      </c>
      <c r="M113" s="90">
        <f t="shared" si="4"/>
        <v>1.3311840281723377</v>
      </c>
      <c r="N113" s="90">
        <f t="shared" si="4"/>
        <v>0.86368979314629968</v>
      </c>
      <c r="O113" s="90">
        <f t="shared" si="4"/>
        <v>-87.994769753278149</v>
      </c>
      <c r="P113" s="90">
        <f t="shared" si="4"/>
        <v>96.093645260430776</v>
      </c>
      <c r="Q113" s="90">
        <f t="shared" si="4"/>
        <v>0.12234119443599667</v>
      </c>
      <c r="R113" s="90">
        <f t="shared" si="4"/>
        <v>1.9619719942491187</v>
      </c>
      <c r="S113" s="90">
        <f t="shared" si="4"/>
        <v>1.9085964576466026</v>
      </c>
      <c r="T113" s="90">
        <f t="shared" si="4"/>
        <v>8.1289307161796529</v>
      </c>
      <c r="U113" s="90">
        <f t="shared" si="4"/>
        <v>3.5474419414062481</v>
      </c>
      <c r="V113" s="90">
        <f t="shared" si="4"/>
        <v>-0.80797025926104027</v>
      </c>
      <c r="W113" s="90">
        <f t="shared" si="4"/>
        <v>2.4533441418974746</v>
      </c>
      <c r="X113" s="90">
        <f t="shared" si="4"/>
        <v>2.0008713769605393</v>
      </c>
      <c r="Y113" s="90">
        <f t="shared" si="4"/>
        <v>-1.159562169687689E-2</v>
      </c>
      <c r="Z113" s="90">
        <f t="shared" si="4"/>
        <v>3.6664242938509588</v>
      </c>
      <c r="AA113" s="90">
        <f t="shared" si="4"/>
        <v>1.2700000476190532</v>
      </c>
      <c r="AB113" s="90">
        <f t="shared" si="4"/>
        <v>1.2387342603510518</v>
      </c>
      <c r="AC113" s="90">
        <f t="shared" si="4"/>
        <v>0.34468434063375497</v>
      </c>
      <c r="AD113" s="90">
        <f t="shared" si="4"/>
        <v>-0.55263794634230834</v>
      </c>
      <c r="AE113" s="90">
        <f t="shared" si="4"/>
        <v>-0.69836868055555357</v>
      </c>
      <c r="AF113" s="90">
        <f t="shared" si="4"/>
        <v>1.1002502252012363</v>
      </c>
      <c r="AG113" s="90">
        <f t="shared" si="4"/>
        <v>-1.3887443582983963</v>
      </c>
      <c r="AH113" s="90">
        <f t="shared" si="4"/>
        <v>-0.48925883206658227</v>
      </c>
      <c r="AI113" s="90">
        <f t="shared" si="4"/>
        <v>-1.4007303665984381</v>
      </c>
      <c r="AJ113" s="90">
        <f t="shared" si="4"/>
        <v>0.28745158856420261</v>
      </c>
      <c r="AK113" s="90">
        <f t="shared" si="4"/>
        <v>-4.4704666370741108E-2</v>
      </c>
      <c r="AL113" s="90">
        <f t="shared" si="4"/>
        <v>-1.9510528514145271</v>
      </c>
      <c r="AM113" s="90">
        <f t="shared" si="4"/>
        <v>0.85817557429018976</v>
      </c>
      <c r="AN113" s="90">
        <f t="shared" si="4"/>
        <v>-0.28629117986506003</v>
      </c>
      <c r="AO113" s="90">
        <f t="shared" si="4"/>
        <v>0.42932114950284017</v>
      </c>
      <c r="AP113" s="90">
        <f t="shared" si="4"/>
        <v>-4.8024754547565962</v>
      </c>
      <c r="AQ113" s="90">
        <f t="shared" si="4"/>
        <v>-1.1519082053148679</v>
      </c>
      <c r="AR113" s="90">
        <f t="shared" si="4"/>
        <v>-1.4273405919599753</v>
      </c>
      <c r="AS113" s="90">
        <f t="shared" si="4"/>
        <v>1.8104117256451175</v>
      </c>
      <c r="AT113" s="90">
        <f t="shared" si="4"/>
        <v>0.86057210276029394</v>
      </c>
      <c r="AU113" s="90">
        <f t="shared" si="4"/>
        <v>-1.6834855389426338</v>
      </c>
      <c r="AV113" s="90">
        <f t="shared" si="4"/>
        <v>-2.8305634698114943</v>
      </c>
      <c r="AW113" s="90">
        <f t="shared" si="4"/>
        <v>-1.5218454256008869</v>
      </c>
      <c r="AX113" s="90">
        <f t="shared" si="4"/>
        <v>-0.48880613515242999</v>
      </c>
      <c r="AY113" s="90">
        <f t="shared" si="4"/>
        <v>-7.2834877480158582</v>
      </c>
      <c r="AZ113" s="90">
        <f t="shared" si="4"/>
        <v>1.4552617812776241</v>
      </c>
      <c r="BA113" s="90">
        <f t="shared" si="4"/>
        <v>0.665228306818193</v>
      </c>
      <c r="BB113" s="90">
        <f t="shared" si="4"/>
        <v>-1.1434333378623052</v>
      </c>
      <c r="BC113" s="90">
        <f t="shared" si="4"/>
        <v>0.27835952335858494</v>
      </c>
      <c r="BD113" s="90">
        <f t="shared" si="4"/>
        <v>2.3264585840336913</v>
      </c>
      <c r="BE113" s="90">
        <f t="shared" si="4"/>
        <v>-3.759951574217272</v>
      </c>
      <c r="BF113" s="90">
        <f t="shared" si="4"/>
        <v>-31.29</v>
      </c>
      <c r="BG113" s="90" t="e">
        <f t="shared" si="4"/>
        <v>#N/A</v>
      </c>
      <c r="BH113" s="90" t="e">
        <f t="shared" si="4"/>
        <v>#N/A</v>
      </c>
      <c r="BI113" s="90" t="e">
        <f t="shared" si="4"/>
        <v>#N/A</v>
      </c>
      <c r="BJ113" s="90" t="e">
        <f t="shared" si="4"/>
        <v>#N/A</v>
      </c>
      <c r="BK113" s="90" t="e">
        <f t="shared" si="4"/>
        <v>#N/A</v>
      </c>
      <c r="BL113" s="90" t="e">
        <f t="shared" si="4"/>
        <v>#N/A</v>
      </c>
      <c r="BM113" s="90" t="e">
        <f t="shared" si="4"/>
        <v>#N/A</v>
      </c>
      <c r="BN113" s="90" t="e">
        <f t="shared" si="4"/>
        <v>#N/A</v>
      </c>
      <c r="BO113" s="90" t="e">
        <f t="shared" si="4"/>
        <v>#N/A</v>
      </c>
      <c r="BP113" s="90"/>
    </row>
    <row r="114" spans="3:68" x14ac:dyDescent="0.25">
      <c r="C114" s="3" t="s">
        <v>13</v>
      </c>
      <c r="D114" s="90">
        <f t="shared" si="1"/>
        <v>2.6616980622399922E-2</v>
      </c>
      <c r="E114" s="90">
        <f t="shared" si="4"/>
        <v>1.39850302409954E-2</v>
      </c>
      <c r="F114" s="90">
        <f t="shared" si="4"/>
        <v>0.26040153074720962</v>
      </c>
      <c r="G114" s="90">
        <f t="shared" si="4"/>
        <v>3.4586309524087255E-4</v>
      </c>
      <c r="H114" s="90">
        <f t="shared" si="4"/>
        <v>-1.7690307511507797E-2</v>
      </c>
      <c r="I114" s="90">
        <f t="shared" si="4"/>
        <v>-6.6732994016611258E-2</v>
      </c>
      <c r="J114" s="90">
        <f t="shared" si="4"/>
        <v>4.5068913701832969E-2</v>
      </c>
      <c r="K114" s="90">
        <f t="shared" si="4"/>
        <v>-0.17319143967822725</v>
      </c>
      <c r="L114" s="90">
        <f t="shared" si="4"/>
        <v>-2.2586186868686298E-2</v>
      </c>
      <c r="M114" s="90">
        <f t="shared" si="4"/>
        <v>-5.8925780954083962E-2</v>
      </c>
      <c r="N114" s="90">
        <f t="shared" si="4"/>
        <v>-0.14962988488399986</v>
      </c>
      <c r="O114" s="90">
        <f t="shared" si="4"/>
        <v>-43.37993904632507</v>
      </c>
      <c r="P114" s="90">
        <f t="shared" ref="E114:BO118" si="5">IF(ISBLANK(P19),NA(),P19)-IF(ISBLANK(P66),NA(),P66)</f>
        <v>42.805664589125065</v>
      </c>
      <c r="Q114" s="90">
        <f t="shared" si="5"/>
        <v>9.3530167777103657E-2</v>
      </c>
      <c r="R114" s="90">
        <f t="shared" si="5"/>
        <v>-8.3544152462167176E-4</v>
      </c>
      <c r="S114" s="90">
        <f t="shared" si="5"/>
        <v>-0.10787760834893589</v>
      </c>
      <c r="T114" s="90">
        <f t="shared" si="5"/>
        <v>-8.5925745851369584E-2</v>
      </c>
      <c r="U114" s="90">
        <f t="shared" si="5"/>
        <v>0.17813816790955173</v>
      </c>
      <c r="V114" s="90">
        <f t="shared" si="5"/>
        <v>-8.4416729355787368E-2</v>
      </c>
      <c r="W114" s="90">
        <f t="shared" si="5"/>
        <v>2.0047970229633449E-2</v>
      </c>
      <c r="X114" s="90">
        <f t="shared" si="5"/>
        <v>0.10642302530167314</v>
      </c>
      <c r="Y114" s="90">
        <f t="shared" si="5"/>
        <v>-9.5189279091094647E-3</v>
      </c>
      <c r="Z114" s="90">
        <f t="shared" si="5"/>
        <v>-9.5145529230833858E-2</v>
      </c>
      <c r="AA114" s="90">
        <f t="shared" si="5"/>
        <v>-8.2946716269844956E-2</v>
      </c>
      <c r="AB114" s="90">
        <f t="shared" si="5"/>
        <v>-0.14974741105433864</v>
      </c>
      <c r="AC114" s="90">
        <f t="shared" si="5"/>
        <v>-0.24808646768722298</v>
      </c>
      <c r="AD114" s="90">
        <f t="shared" si="5"/>
        <v>-8.2846419082130751E-2</v>
      </c>
      <c r="AE114" s="90">
        <f t="shared" si="5"/>
        <v>-0.30682747023809398</v>
      </c>
      <c r="AF114" s="90">
        <f t="shared" si="5"/>
        <v>-0.40337053888494268</v>
      </c>
      <c r="AG114" s="90">
        <f t="shared" si="5"/>
        <v>-0.17478640695457415</v>
      </c>
      <c r="AH114" s="90">
        <f t="shared" si="5"/>
        <v>0.12265943756583653</v>
      </c>
      <c r="AI114" s="90">
        <f t="shared" si="5"/>
        <v>-3.1821602755407241E-2</v>
      </c>
      <c r="AJ114" s="90">
        <f t="shared" si="5"/>
        <v>-7.5569332611831186E-2</v>
      </c>
      <c r="AK114" s="90">
        <f t="shared" si="5"/>
        <v>-0.60590765151514603</v>
      </c>
      <c r="AL114" s="90">
        <f t="shared" si="5"/>
        <v>0.15077070371685863</v>
      </c>
      <c r="AM114" s="90">
        <f t="shared" si="5"/>
        <v>-0.20336765524579903</v>
      </c>
      <c r="AN114" s="90">
        <f t="shared" si="5"/>
        <v>-1.7844388908617503E-2</v>
      </c>
      <c r="AO114" s="90">
        <f t="shared" si="5"/>
        <v>2.1583673325043407E-2</v>
      </c>
      <c r="AP114" s="90">
        <f t="shared" si="5"/>
        <v>-0.1754343226562014</v>
      </c>
      <c r="AQ114" s="90">
        <f t="shared" si="5"/>
        <v>-1.9678412937967238E-2</v>
      </c>
      <c r="AR114" s="90">
        <f t="shared" si="5"/>
        <v>0.29175046497584134</v>
      </c>
      <c r="AS114" s="90">
        <f t="shared" si="5"/>
        <v>-2.2720421105589139E-2</v>
      </c>
      <c r="AT114" s="90">
        <f t="shared" si="5"/>
        <v>5.1063112317351056E-2</v>
      </c>
      <c r="AU114" s="90">
        <f t="shared" si="5"/>
        <v>0.54601782314727387</v>
      </c>
      <c r="AV114" s="90">
        <f t="shared" si="5"/>
        <v>-9.8593778393777143E-2</v>
      </c>
      <c r="AW114" s="90">
        <f t="shared" si="5"/>
        <v>-0.48318887824957812</v>
      </c>
      <c r="AX114" s="90">
        <f t="shared" si="5"/>
        <v>-0.26364477287008015</v>
      </c>
      <c r="AY114" s="90">
        <f t="shared" si="5"/>
        <v>-0.29294264880954302</v>
      </c>
      <c r="AZ114" s="90">
        <f t="shared" si="5"/>
        <v>-3.537377028608546E-2</v>
      </c>
      <c r="BA114" s="90">
        <f t="shared" si="5"/>
        <v>-0.2186981664299239</v>
      </c>
      <c r="BB114" s="90">
        <f t="shared" si="5"/>
        <v>-7.4261340364053297E-2</v>
      </c>
      <c r="BC114" s="90">
        <f t="shared" si="5"/>
        <v>-0.26968650342713119</v>
      </c>
      <c r="BD114" s="90">
        <f t="shared" si="5"/>
        <v>-0.22370111825143368</v>
      </c>
      <c r="BE114" s="90">
        <f t="shared" si="5"/>
        <v>-0.44625653943096211</v>
      </c>
      <c r="BF114" s="90">
        <f t="shared" si="5"/>
        <v>-17.606666666666676</v>
      </c>
      <c r="BG114" s="90">
        <f t="shared" si="5"/>
        <v>-1.7566666666666606</v>
      </c>
      <c r="BH114" s="90">
        <f t="shared" si="5"/>
        <v>14.376277492380012</v>
      </c>
      <c r="BI114" s="90">
        <f t="shared" si="5"/>
        <v>0.51590504286095751</v>
      </c>
      <c r="BJ114" s="90">
        <f t="shared" si="5"/>
        <v>-12.115774873964774</v>
      </c>
      <c r="BK114" s="90">
        <f t="shared" si="5"/>
        <v>-8.7664076612761903</v>
      </c>
      <c r="BL114" s="90">
        <f t="shared" si="5"/>
        <v>15.35611346754655</v>
      </c>
      <c r="BM114" s="90">
        <f t="shared" si="5"/>
        <v>-1.1486650087520331</v>
      </c>
      <c r="BN114" s="90">
        <f t="shared" si="5"/>
        <v>-13.576652255231579</v>
      </c>
      <c r="BO114" s="90">
        <f t="shared" si="5"/>
        <v>-10.127462870229628</v>
      </c>
      <c r="BP114" s="90"/>
    </row>
    <row r="115" spans="3:68" x14ac:dyDescent="0.25">
      <c r="C115" s="3" t="s">
        <v>14</v>
      </c>
      <c r="D115" s="90">
        <f t="shared" si="1"/>
        <v>2.7540048976391063E-2</v>
      </c>
      <c r="E115" s="90">
        <f t="shared" si="5"/>
        <v>1.7821922883975105E-2</v>
      </c>
      <c r="F115" s="90">
        <f t="shared" si="5"/>
        <v>0.25946832117584506</v>
      </c>
      <c r="G115" s="90">
        <f t="shared" si="5"/>
        <v>1.9616071428885107E-4</v>
      </c>
      <c r="H115" s="90">
        <f t="shared" si="5"/>
        <v>-1.8105020320383858E-2</v>
      </c>
      <c r="I115" s="90">
        <f t="shared" si="5"/>
        <v>-6.8501938582258504E-2</v>
      </c>
      <c r="J115" s="90">
        <f t="shared" si="5"/>
        <v>4.6708324161869541E-2</v>
      </c>
      <c r="K115" s="90">
        <f t="shared" si="5"/>
        <v>-0.16782020213294402</v>
      </c>
      <c r="L115" s="90">
        <f t="shared" si="5"/>
        <v>-6.3970553751673265E-3</v>
      </c>
      <c r="M115" s="90">
        <f t="shared" si="5"/>
        <v>-6.1213035037873453E-2</v>
      </c>
      <c r="N115" s="90">
        <f t="shared" si="5"/>
        <v>-0.14623178829309325</v>
      </c>
      <c r="O115" s="90">
        <f t="shared" si="5"/>
        <v>-43.234525496031743</v>
      </c>
      <c r="P115" s="90">
        <f t="shared" si="5"/>
        <v>42.676740138297028</v>
      </c>
      <c r="Q115" s="90">
        <f t="shared" si="5"/>
        <v>9.1618956726883027E-2</v>
      </c>
      <c r="R115" s="90">
        <f t="shared" si="5"/>
        <v>-8.1752467477258506E-4</v>
      </c>
      <c r="S115" s="90">
        <f t="shared" si="5"/>
        <v>-1.8356942372726337E-2</v>
      </c>
      <c r="T115" s="90">
        <f t="shared" si="5"/>
        <v>-7.0233368506492866E-2</v>
      </c>
      <c r="U115" s="90">
        <f t="shared" si="5"/>
        <v>0.10232334783380281</v>
      </c>
      <c r="V115" s="90">
        <f t="shared" si="5"/>
        <v>-6.0946440263819568E-2</v>
      </c>
      <c r="W115" s="90">
        <f t="shared" si="5"/>
        <v>1.8984403113165627E-2</v>
      </c>
      <c r="X115" s="90">
        <f t="shared" si="5"/>
        <v>0.10008578823219239</v>
      </c>
      <c r="Y115" s="90">
        <f t="shared" si="5"/>
        <v>-8.3279911277998053E-3</v>
      </c>
      <c r="Z115" s="90">
        <f t="shared" si="5"/>
        <v>-9.3464283955256633E-2</v>
      </c>
      <c r="AA115" s="90">
        <f t="shared" si="5"/>
        <v>-8.2118561507940058E-2</v>
      </c>
      <c r="AB115" s="90">
        <f t="shared" si="5"/>
        <v>-0.15026416124989694</v>
      </c>
      <c r="AC115" s="90">
        <f t="shared" si="5"/>
        <v>-0.25287646579587175</v>
      </c>
      <c r="AD115" s="90">
        <f t="shared" si="5"/>
        <v>-8.9363818581780663E-2</v>
      </c>
      <c r="AE115" s="90">
        <f t="shared" si="5"/>
        <v>-0.30844728174603375</v>
      </c>
      <c r="AF115" s="90">
        <f t="shared" si="5"/>
        <v>-0.34177119288588642</v>
      </c>
      <c r="AG115" s="90">
        <f t="shared" si="5"/>
        <v>-0.17836601124245277</v>
      </c>
      <c r="AH115" s="90">
        <f t="shared" si="5"/>
        <v>0.1147704707420516</v>
      </c>
      <c r="AI115" s="90">
        <f t="shared" si="5"/>
        <v>-2.5043803559299249E-2</v>
      </c>
      <c r="AJ115" s="90">
        <f t="shared" si="5"/>
        <v>-7.5147651515152347E-2</v>
      </c>
      <c r="AK115" s="90">
        <f t="shared" si="5"/>
        <v>-0.60961537464489268</v>
      </c>
      <c r="AL115" s="90">
        <f t="shared" si="5"/>
        <v>0.14670255326704762</v>
      </c>
      <c r="AM115" s="90">
        <f t="shared" si="5"/>
        <v>-0.22795545709728415</v>
      </c>
      <c r="AN115" s="90">
        <f t="shared" si="5"/>
        <v>-1.7026928858904E-2</v>
      </c>
      <c r="AO115" s="90">
        <f t="shared" si="5"/>
        <v>1.9213853781952395E-2</v>
      </c>
      <c r="AP115" s="90">
        <f t="shared" si="5"/>
        <v>-0.18405669048945583</v>
      </c>
      <c r="AQ115" s="90">
        <f t="shared" si="5"/>
        <v>-1.9254433889678069E-2</v>
      </c>
      <c r="AR115" s="90">
        <f t="shared" si="5"/>
        <v>0.31397516088682664</v>
      </c>
      <c r="AS115" s="90">
        <f t="shared" si="5"/>
        <v>-2.851800485322542E-2</v>
      </c>
      <c r="AT115" s="90">
        <f t="shared" si="5"/>
        <v>5.3277162937980904E-2</v>
      </c>
      <c r="AU115" s="90">
        <f t="shared" si="5"/>
        <v>0.52857578106917202</v>
      </c>
      <c r="AV115" s="90">
        <f t="shared" si="5"/>
        <v>-0.10139376517748389</v>
      </c>
      <c r="AW115" s="90">
        <f t="shared" si="5"/>
        <v>-0.48849041971052998</v>
      </c>
      <c r="AX115" s="90">
        <f t="shared" si="5"/>
        <v>-0.27970985939924731</v>
      </c>
      <c r="AY115" s="90">
        <f t="shared" si="5"/>
        <v>-0.28616866071425306</v>
      </c>
      <c r="AZ115" s="90">
        <f t="shared" si="5"/>
        <v>-3.2291894382975528E-2</v>
      </c>
      <c r="BA115" s="90">
        <f t="shared" si="5"/>
        <v>-0.22049738813918651</v>
      </c>
      <c r="BB115" s="90">
        <f t="shared" si="5"/>
        <v>-8.0597730848857907E-2</v>
      </c>
      <c r="BC115" s="90">
        <f t="shared" si="5"/>
        <v>-0.26066783369408597</v>
      </c>
      <c r="BD115" s="90">
        <f t="shared" si="5"/>
        <v>-0.22716675093147032</v>
      </c>
      <c r="BE115" s="90">
        <f t="shared" si="5"/>
        <v>-2.2074827112288276</v>
      </c>
      <c r="BF115" s="90">
        <f t="shared" si="5"/>
        <v>-36.51333333333335</v>
      </c>
      <c r="BG115" s="90" t="e">
        <f t="shared" si="5"/>
        <v>#N/A</v>
      </c>
      <c r="BH115" s="90" t="e">
        <f t="shared" si="5"/>
        <v>#N/A</v>
      </c>
      <c r="BI115" s="90" t="e">
        <f t="shared" si="5"/>
        <v>#N/A</v>
      </c>
      <c r="BJ115" s="90" t="e">
        <f t="shared" si="5"/>
        <v>#N/A</v>
      </c>
      <c r="BK115" s="90" t="e">
        <f t="shared" si="5"/>
        <v>#N/A</v>
      </c>
      <c r="BL115" s="90" t="e">
        <f t="shared" si="5"/>
        <v>#N/A</v>
      </c>
      <c r="BM115" s="90" t="e">
        <f t="shared" si="5"/>
        <v>#N/A</v>
      </c>
      <c r="BN115" s="90" t="e">
        <f t="shared" si="5"/>
        <v>#N/A</v>
      </c>
      <c r="BO115" s="90" t="e">
        <f t="shared" si="5"/>
        <v>#N/A</v>
      </c>
      <c r="BP115" s="90"/>
    </row>
    <row r="116" spans="3:68" x14ac:dyDescent="0.25">
      <c r="C116" s="3" t="s">
        <v>15</v>
      </c>
      <c r="D116" s="90">
        <f t="shared" si="1"/>
        <v>-0.46317774664910161</v>
      </c>
      <c r="E116" s="90">
        <f t="shared" si="5"/>
        <v>-1.176004540202527</v>
      </c>
      <c r="F116" s="90">
        <f t="shared" si="5"/>
        <v>0.94881971254622499</v>
      </c>
      <c r="G116" s="90">
        <f t="shared" si="5"/>
        <v>1.4298794613095218</v>
      </c>
      <c r="H116" s="90">
        <f t="shared" si="5"/>
        <v>-0.47841795263178355</v>
      </c>
      <c r="I116" s="90">
        <f t="shared" si="5"/>
        <v>-1.0963517379092238</v>
      </c>
      <c r="J116" s="90">
        <f t="shared" si="5"/>
        <v>-4.4200660996921641</v>
      </c>
      <c r="K116" s="90">
        <f t="shared" si="5"/>
        <v>-1.2865754033061521</v>
      </c>
      <c r="L116" s="90">
        <f t="shared" si="5"/>
        <v>-1.4501022727273494E-3</v>
      </c>
      <c r="M116" s="90">
        <f t="shared" si="5"/>
        <v>0.49057568119673789</v>
      </c>
      <c r="N116" s="90">
        <f t="shared" si="5"/>
        <v>1.9205877376597797</v>
      </c>
      <c r="O116" s="90">
        <f t="shared" si="5"/>
        <v>-37.509886406314685</v>
      </c>
      <c r="P116" s="90">
        <f t="shared" si="5"/>
        <v>46.886318863122014</v>
      </c>
      <c r="Q116" s="90">
        <f t="shared" si="5"/>
        <v>-2.4199974195132228</v>
      </c>
      <c r="R116" s="90">
        <f t="shared" si="5"/>
        <v>0.54869178378511663</v>
      </c>
      <c r="S116" s="90">
        <f t="shared" si="5"/>
        <v>-1.1291183346180063</v>
      </c>
      <c r="T116" s="90">
        <f t="shared" si="5"/>
        <v>0.86247844877343738</v>
      </c>
      <c r="U116" s="90">
        <f t="shared" si="5"/>
        <v>0.86275945969460466</v>
      </c>
      <c r="V116" s="90">
        <f t="shared" si="5"/>
        <v>7.7438825940959077E-2</v>
      </c>
      <c r="W116" s="90">
        <f t="shared" si="5"/>
        <v>-0.34971564556699519</v>
      </c>
      <c r="X116" s="90">
        <f t="shared" si="5"/>
        <v>0.60883656539800768</v>
      </c>
      <c r="Y116" s="90">
        <f t="shared" si="5"/>
        <v>-0.71348129716951192</v>
      </c>
      <c r="Z116" s="90">
        <f t="shared" si="5"/>
        <v>0.83141250582970372</v>
      </c>
      <c r="AA116" s="90">
        <f t="shared" si="5"/>
        <v>1.7075312896825459</v>
      </c>
      <c r="AB116" s="90">
        <f t="shared" si="5"/>
        <v>0.86400664139569372</v>
      </c>
      <c r="AC116" s="90">
        <f t="shared" si="5"/>
        <v>-0.5907305655943702</v>
      </c>
      <c r="AD116" s="90">
        <f t="shared" si="5"/>
        <v>-0.81384142891650413</v>
      </c>
      <c r="AE116" s="90">
        <f t="shared" si="5"/>
        <v>1.1159764880952281</v>
      </c>
      <c r="AF116" s="90">
        <f t="shared" si="5"/>
        <v>1.0628243987630199</v>
      </c>
      <c r="AG116" s="90">
        <f t="shared" si="5"/>
        <v>-0.91359408264986897</v>
      </c>
      <c r="AH116" s="90">
        <f t="shared" si="5"/>
        <v>1.7205307761568776</v>
      </c>
      <c r="AI116" s="90">
        <f t="shared" si="5"/>
        <v>1.61210865180729</v>
      </c>
      <c r="AJ116" s="90">
        <f t="shared" si="5"/>
        <v>0.88674230023448786</v>
      </c>
      <c r="AK116" s="90">
        <f t="shared" si="5"/>
        <v>0.16399343131511301</v>
      </c>
      <c r="AL116" s="90">
        <f t="shared" si="5"/>
        <v>1.8876230468745092E-2</v>
      </c>
      <c r="AM116" s="90">
        <f t="shared" si="5"/>
        <v>5.6504392743246257E-2</v>
      </c>
      <c r="AN116" s="90">
        <f t="shared" si="5"/>
        <v>-9.6170553089507393E-3</v>
      </c>
      <c r="AO116" s="90">
        <f t="shared" si="5"/>
        <v>-0.49118784306935837</v>
      </c>
      <c r="AP116" s="90">
        <f t="shared" si="5"/>
        <v>0.22716590766708933</v>
      </c>
      <c r="AQ116" s="90">
        <f t="shared" si="5"/>
        <v>-0.80596333140979581</v>
      </c>
      <c r="AR116" s="90">
        <f t="shared" si="5"/>
        <v>0.39629529252933082</v>
      </c>
      <c r="AS116" s="90">
        <f t="shared" si="5"/>
        <v>4.4400653912163079E-2</v>
      </c>
      <c r="AT116" s="90">
        <f t="shared" si="5"/>
        <v>-0.29667887123186176</v>
      </c>
      <c r="AU116" s="90">
        <f t="shared" si="5"/>
        <v>-1.2497647858463523</v>
      </c>
      <c r="AV116" s="90">
        <f t="shared" si="5"/>
        <v>2.5651745820663052</v>
      </c>
      <c r="AW116" s="90">
        <f t="shared" si="5"/>
        <v>-2.8700527870966823</v>
      </c>
      <c r="AX116" s="90">
        <f t="shared" si="5"/>
        <v>4.1104440374760145</v>
      </c>
      <c r="AY116" s="90">
        <f t="shared" si="5"/>
        <v>-11.650045653769872</v>
      </c>
      <c r="AZ116" s="90">
        <f t="shared" si="5"/>
        <v>0.12053604802813211</v>
      </c>
      <c r="BA116" s="90">
        <f t="shared" si="5"/>
        <v>1.0607972916074822</v>
      </c>
      <c r="BB116" s="90">
        <f t="shared" si="5"/>
        <v>1.9962443212560501</v>
      </c>
      <c r="BC116" s="90">
        <f t="shared" si="5"/>
        <v>0.54948854265872882</v>
      </c>
      <c r="BD116" s="90">
        <f t="shared" si="5"/>
        <v>1.4934954678594003</v>
      </c>
      <c r="BE116" s="90">
        <f t="shared" si="5"/>
        <v>-1.9309122001476169</v>
      </c>
      <c r="BF116" s="90">
        <f t="shared" si="5"/>
        <v>-25.983333333333331</v>
      </c>
      <c r="BG116" s="90" t="e">
        <f t="shared" si="5"/>
        <v>#N/A</v>
      </c>
      <c r="BH116" s="90" t="e">
        <f t="shared" si="5"/>
        <v>#N/A</v>
      </c>
      <c r="BI116" s="90" t="e">
        <f t="shared" si="5"/>
        <v>#N/A</v>
      </c>
      <c r="BJ116" s="90" t="e">
        <f t="shared" si="5"/>
        <v>#N/A</v>
      </c>
      <c r="BK116" s="90" t="e">
        <f t="shared" si="5"/>
        <v>#N/A</v>
      </c>
      <c r="BL116" s="90" t="e">
        <f t="shared" si="5"/>
        <v>#N/A</v>
      </c>
      <c r="BM116" s="90" t="e">
        <f t="shared" si="5"/>
        <v>#N/A</v>
      </c>
      <c r="BN116" s="90" t="e">
        <f t="shared" si="5"/>
        <v>#N/A</v>
      </c>
      <c r="BO116" s="90" t="e">
        <f t="shared" si="5"/>
        <v>#N/A</v>
      </c>
      <c r="BP116" s="90"/>
    </row>
    <row r="117" spans="3:68" x14ac:dyDescent="0.25">
      <c r="C117" s="3" t="s">
        <v>16</v>
      </c>
      <c r="D117" s="90">
        <f t="shared" si="1"/>
        <v>-3.7258886674942957</v>
      </c>
      <c r="E117" s="90">
        <f t="shared" si="5"/>
        <v>2.448282546446606</v>
      </c>
      <c r="F117" s="90">
        <f t="shared" si="5"/>
        <v>9.221308856929852</v>
      </c>
      <c r="G117" s="90">
        <f t="shared" si="5"/>
        <v>1.8668799603174762</v>
      </c>
      <c r="H117" s="90">
        <f t="shared" si="5"/>
        <v>4.1625254357185781E-2</v>
      </c>
      <c r="I117" s="90">
        <f t="shared" si="5"/>
        <v>6.6159513346354224</v>
      </c>
      <c r="J117" s="90">
        <f t="shared" si="5"/>
        <v>10.133976398196573</v>
      </c>
      <c r="K117" s="90">
        <f t="shared" si="5"/>
        <v>3.5918286321520192</v>
      </c>
      <c r="L117" s="90">
        <f t="shared" si="5"/>
        <v>1.4062263257575758</v>
      </c>
      <c r="M117" s="90">
        <f t="shared" si="5"/>
        <v>4.6874642075047319</v>
      </c>
      <c r="N117" s="90">
        <f t="shared" si="5"/>
        <v>-0.91980212772254077</v>
      </c>
      <c r="O117" s="90">
        <f t="shared" si="5"/>
        <v>-19.628539208074507</v>
      </c>
      <c r="P117" s="90">
        <f t="shared" si="5"/>
        <v>20.940306410223904</v>
      </c>
      <c r="Q117" s="90">
        <f t="shared" si="5"/>
        <v>1.7533795579962543</v>
      </c>
      <c r="R117" s="90">
        <f t="shared" si="5"/>
        <v>5.6644865895280887</v>
      </c>
      <c r="S117" s="90">
        <f t="shared" si="5"/>
        <v>3.7721972275335673</v>
      </c>
      <c r="T117" s="90">
        <f t="shared" si="5"/>
        <v>2.4744503066378023</v>
      </c>
      <c r="U117" s="90">
        <f t="shared" si="5"/>
        <v>0.41463751775567559</v>
      </c>
      <c r="V117" s="90">
        <f t="shared" si="5"/>
        <v>10.556156112305565</v>
      </c>
      <c r="W117" s="90">
        <f t="shared" si="5"/>
        <v>0.42347378077651143</v>
      </c>
      <c r="X117" s="90">
        <f t="shared" si="5"/>
        <v>-0.33620193142359867</v>
      </c>
      <c r="Y117" s="90">
        <f t="shared" si="5"/>
        <v>1.9526982893950766</v>
      </c>
      <c r="Z117" s="90">
        <f t="shared" si="5"/>
        <v>3.6910873662870927</v>
      </c>
      <c r="AA117" s="90">
        <f t="shared" si="5"/>
        <v>0.59881200396825562</v>
      </c>
      <c r="AB117" s="90">
        <f t="shared" si="5"/>
        <v>2.4887627943840549</v>
      </c>
      <c r="AC117" s="90">
        <f t="shared" si="5"/>
        <v>-8.1212653747478285</v>
      </c>
      <c r="AD117" s="90">
        <f t="shared" si="5"/>
        <v>2.3945268288474821</v>
      </c>
      <c r="AE117" s="90">
        <f t="shared" si="5"/>
        <v>1.231444264069264</v>
      </c>
      <c r="AF117" s="90">
        <f t="shared" si="5"/>
        <v>0.60657017933240098</v>
      </c>
      <c r="AG117" s="90">
        <f t="shared" si="5"/>
        <v>2.0390520755828305</v>
      </c>
      <c r="AH117" s="90">
        <f t="shared" si="5"/>
        <v>20.800549057199142</v>
      </c>
      <c r="AI117" s="90">
        <f t="shared" si="5"/>
        <v>-6.0651440749816672</v>
      </c>
      <c r="AJ117" s="90">
        <f t="shared" si="5"/>
        <v>0.92379640151516895</v>
      </c>
      <c r="AK117" s="90">
        <f t="shared" si="5"/>
        <v>-1.9158922526041628</v>
      </c>
      <c r="AL117" s="90">
        <f t="shared" si="5"/>
        <v>17.522427837949806</v>
      </c>
      <c r="AM117" s="90">
        <f t="shared" si="5"/>
        <v>4.4718068081031213</v>
      </c>
      <c r="AN117" s="90">
        <f t="shared" si="5"/>
        <v>-1.5216676876183719</v>
      </c>
      <c r="AO117" s="90">
        <f t="shared" si="5"/>
        <v>1.5212420099431903</v>
      </c>
      <c r="AP117" s="90">
        <f t="shared" si="5"/>
        <v>7.1045436740192116</v>
      </c>
      <c r="AQ117" s="90">
        <f t="shared" si="5"/>
        <v>-3.8391611032197055</v>
      </c>
      <c r="AR117" s="90">
        <f t="shared" si="5"/>
        <v>25.39917106625262</v>
      </c>
      <c r="AS117" s="90">
        <f t="shared" si="5"/>
        <v>-9.3239855587121099</v>
      </c>
      <c r="AT117" s="90">
        <f t="shared" si="5"/>
        <v>5.9073528469685499</v>
      </c>
      <c r="AU117" s="90">
        <f t="shared" si="5"/>
        <v>4.8984350015926168</v>
      </c>
      <c r="AV117" s="90">
        <f t="shared" si="5"/>
        <v>-3.2990836821056675</v>
      </c>
      <c r="AW117" s="90">
        <f t="shared" si="5"/>
        <v>-15.485651774440882</v>
      </c>
      <c r="AX117" s="90">
        <f t="shared" si="5"/>
        <v>2.4501909816575704</v>
      </c>
      <c r="AY117" s="90">
        <f t="shared" si="5"/>
        <v>-0.81950148809522716</v>
      </c>
      <c r="AZ117" s="90">
        <f t="shared" si="5"/>
        <v>2.6628708074375531</v>
      </c>
      <c r="BA117" s="90">
        <f t="shared" si="5"/>
        <v>8.1118153510947408</v>
      </c>
      <c r="BB117" s="90">
        <f t="shared" si="5"/>
        <v>1.901186592491257</v>
      </c>
      <c r="BC117" s="90">
        <f t="shared" si="5"/>
        <v>5.2482261519373878</v>
      </c>
      <c r="BD117" s="90">
        <f t="shared" si="5"/>
        <v>6.9911104445684558</v>
      </c>
      <c r="BE117" s="90">
        <f t="shared" si="5"/>
        <v>-9.2078339571308376</v>
      </c>
      <c r="BF117" s="90">
        <f t="shared" si="5"/>
        <v>-62.212222222222238</v>
      </c>
      <c r="BG117" s="90">
        <f t="shared" si="5"/>
        <v>-1.0133333333333283</v>
      </c>
      <c r="BH117" s="90">
        <f t="shared" si="5"/>
        <v>34.417541535934518</v>
      </c>
      <c r="BI117" s="90">
        <f t="shared" si="5"/>
        <v>3.1599307088695312</v>
      </c>
      <c r="BJ117" s="90">
        <f t="shared" si="5"/>
        <v>-53.235026400326348</v>
      </c>
      <c r="BK117" s="90">
        <f t="shared" si="5"/>
        <v>-3.8014268347443334</v>
      </c>
      <c r="BL117" s="90">
        <f t="shared" si="5"/>
        <v>42.423037912275518</v>
      </c>
      <c r="BM117" s="90">
        <f t="shared" si="5"/>
        <v>-1.3116823423201112</v>
      </c>
      <c r="BN117" s="90">
        <f t="shared" si="5"/>
        <v>-55.400702943402607</v>
      </c>
      <c r="BO117" s="90">
        <f t="shared" si="5"/>
        <v>-5.3533479826861594</v>
      </c>
      <c r="BP117" s="90"/>
    </row>
    <row r="118" spans="3:68" x14ac:dyDescent="0.25">
      <c r="C118" s="3" t="s">
        <v>17</v>
      </c>
      <c r="D118" s="90">
        <f t="shared" si="1"/>
        <v>-3.634498716450473</v>
      </c>
      <c r="E118" s="90">
        <f t="shared" si="5"/>
        <v>2.1054511880805862</v>
      </c>
      <c r="F118" s="90">
        <f t="shared" si="5"/>
        <v>14.366764845569691</v>
      </c>
      <c r="G118" s="90">
        <f t="shared" si="5"/>
        <v>1.5883581349206324</v>
      </c>
      <c r="H118" s="90">
        <f t="shared" si="5"/>
        <v>-2.8669285629746355E-2</v>
      </c>
      <c r="I118" s="90">
        <f t="shared" si="5"/>
        <v>5.5879157577448595</v>
      </c>
      <c r="J118" s="90">
        <f t="shared" si="5"/>
        <v>9.7504397826540909</v>
      </c>
      <c r="K118" s="90">
        <f t="shared" si="5"/>
        <v>3.3259224727991246</v>
      </c>
      <c r="L118" s="90">
        <f t="shared" si="5"/>
        <v>1.2816650432900403</v>
      </c>
      <c r="M118" s="90">
        <f t="shared" si="5"/>
        <v>4.2420150479403347</v>
      </c>
      <c r="N118" s="90">
        <f t="shared" si="5"/>
        <v>2.1228030155066264</v>
      </c>
      <c r="O118" s="90">
        <f t="shared" ref="E118:BO122" si="6">IF(ISBLANK(O23),NA(),O23)-IF(ISBLANK(O70),NA(),O70)</f>
        <v>-24.855844051932358</v>
      </c>
      <c r="P118" s="90">
        <f t="shared" si="6"/>
        <v>22.69430144638347</v>
      </c>
      <c r="Q118" s="90">
        <f t="shared" si="6"/>
        <v>3.3239672957251116</v>
      </c>
      <c r="R118" s="90">
        <f t="shared" si="6"/>
        <v>4.5341290063018533</v>
      </c>
      <c r="S118" s="90">
        <f t="shared" si="6"/>
        <v>3.5253069181675727</v>
      </c>
      <c r="T118" s="90">
        <f t="shared" si="6"/>
        <v>2.3416948953823926</v>
      </c>
      <c r="U118" s="90">
        <f t="shared" si="6"/>
        <v>-0.52340192945076325</v>
      </c>
      <c r="V118" s="90">
        <f t="shared" si="6"/>
        <v>9.4902122883155542</v>
      </c>
      <c r="W118" s="90">
        <f t="shared" si="6"/>
        <v>1.4934284446022659</v>
      </c>
      <c r="X118" s="90">
        <f t="shared" si="6"/>
        <v>-6.7023179374885444E-3</v>
      </c>
      <c r="Y118" s="90">
        <f t="shared" si="6"/>
        <v>1.8616640209291617</v>
      </c>
      <c r="Z118" s="90">
        <f t="shared" si="6"/>
        <v>2.4284474044599769</v>
      </c>
      <c r="AA118" s="90">
        <f t="shared" si="6"/>
        <v>1.194856150793651</v>
      </c>
      <c r="AB118" s="90">
        <f t="shared" si="6"/>
        <v>0.78416900256813804</v>
      </c>
      <c r="AC118" s="90">
        <f t="shared" si="6"/>
        <v>-1.1340474443397959</v>
      </c>
      <c r="AD118" s="90">
        <f t="shared" si="6"/>
        <v>1.7522367796756413</v>
      </c>
      <c r="AE118" s="90">
        <f t="shared" si="6"/>
        <v>0.63254216269841024</v>
      </c>
      <c r="AF118" s="90">
        <f t="shared" si="6"/>
        <v>1.4778553355823689</v>
      </c>
      <c r="AG118" s="90">
        <f t="shared" si="6"/>
        <v>2.0844046209866463</v>
      </c>
      <c r="AH118" s="90">
        <f t="shared" si="6"/>
        <v>20.695612775144355</v>
      </c>
      <c r="AI118" s="90">
        <f t="shared" si="6"/>
        <v>-4.0433475180889857</v>
      </c>
      <c r="AJ118" s="90">
        <f t="shared" si="6"/>
        <v>0.37441982323231926</v>
      </c>
      <c r="AK118" s="90">
        <f t="shared" si="6"/>
        <v>-1.8858637547348529</v>
      </c>
      <c r="AL118" s="90">
        <f t="shared" si="6"/>
        <v>17.476877544981008</v>
      </c>
      <c r="AM118" s="90">
        <f t="shared" si="6"/>
        <v>3.8964312146846964</v>
      </c>
      <c r="AN118" s="90">
        <f t="shared" si="6"/>
        <v>-1.0809467921401428</v>
      </c>
      <c r="AO118" s="90">
        <f t="shared" si="6"/>
        <v>3.9452615855823865</v>
      </c>
      <c r="AP118" s="90">
        <f t="shared" si="6"/>
        <v>6.3486428521659448</v>
      </c>
      <c r="AQ118" s="90">
        <f t="shared" si="6"/>
        <v>-4.7282162050189385</v>
      </c>
      <c r="AR118" s="90">
        <f t="shared" si="6"/>
        <v>23.427679843858073</v>
      </c>
      <c r="AS118" s="90">
        <f t="shared" si="6"/>
        <v>-3.7503409090909088</v>
      </c>
      <c r="AT118" s="90">
        <f t="shared" si="6"/>
        <v>5.9780580307821367</v>
      </c>
      <c r="AU118" s="90">
        <f t="shared" si="6"/>
        <v>4.2571696312443734</v>
      </c>
      <c r="AV118" s="90">
        <f t="shared" si="6"/>
        <v>-2.9196421461190951</v>
      </c>
      <c r="AW118" s="90">
        <f t="shared" si="6"/>
        <v>4.1541657154694036</v>
      </c>
      <c r="AX118" s="90">
        <f t="shared" si="6"/>
        <v>0.78467738762455497</v>
      </c>
      <c r="AY118" s="90">
        <f t="shared" si="6"/>
        <v>-1.6773205583402913</v>
      </c>
      <c r="AZ118" s="90">
        <f t="shared" si="6"/>
        <v>1.5213792997016498</v>
      </c>
      <c r="BA118" s="90">
        <f t="shared" si="6"/>
        <v>5.7148874879527156</v>
      </c>
      <c r="BB118" s="90">
        <f t="shared" si="6"/>
        <v>2.102526939076796</v>
      </c>
      <c r="BC118" s="90">
        <f t="shared" si="6"/>
        <v>4.9486620672879198</v>
      </c>
      <c r="BD118" s="90">
        <f t="shared" si="6"/>
        <v>7.6007402576264909</v>
      </c>
      <c r="BE118" s="90">
        <f t="shared" si="6"/>
        <v>-8.6010883387445887</v>
      </c>
      <c r="BF118" s="90">
        <f t="shared" si="6"/>
        <v>-61.49444444444444</v>
      </c>
      <c r="BG118" s="90">
        <f t="shared" si="6"/>
        <v>-2.3399999999999963</v>
      </c>
      <c r="BH118" s="90">
        <f t="shared" si="6"/>
        <v>36.293540853237374</v>
      </c>
      <c r="BI118" s="90">
        <f t="shared" si="6"/>
        <v>1.6482045156372536</v>
      </c>
      <c r="BJ118" s="90">
        <f t="shared" si="6"/>
        <v>-50.640168679881398</v>
      </c>
      <c r="BK118" s="90">
        <f t="shared" si="6"/>
        <v>-6.3905576793932468</v>
      </c>
      <c r="BL118" s="90">
        <f t="shared" si="6"/>
        <v>41.632612446216775</v>
      </c>
      <c r="BM118" s="90">
        <f t="shared" si="6"/>
        <v>-0.63399076424474998</v>
      </c>
      <c r="BN118" s="90">
        <f t="shared" si="6"/>
        <v>-54.594590822999464</v>
      </c>
      <c r="BO118" s="90">
        <f t="shared" si="6"/>
        <v>-6.513392881639227</v>
      </c>
      <c r="BP118" s="90"/>
    </row>
    <row r="119" spans="3:68" x14ac:dyDescent="0.25">
      <c r="C119" s="3" t="s">
        <v>18</v>
      </c>
      <c r="D119" s="90">
        <f t="shared" si="1"/>
        <v>-6.7713914226271541</v>
      </c>
      <c r="E119" s="90">
        <f t="shared" si="6"/>
        <v>3.2385621772975384</v>
      </c>
      <c r="F119" s="90">
        <f t="shared" si="6"/>
        <v>11.224862869462797</v>
      </c>
      <c r="G119" s="90">
        <f t="shared" si="6"/>
        <v>2.14675843253967</v>
      </c>
      <c r="H119" s="90">
        <f t="shared" si="6"/>
        <v>5.9568568638397323E-2</v>
      </c>
      <c r="I119" s="90">
        <f t="shared" si="6"/>
        <v>6.7172640749007932</v>
      </c>
      <c r="J119" s="90">
        <f t="shared" si="6"/>
        <v>9.7088845585430903</v>
      </c>
      <c r="K119" s="90">
        <f t="shared" si="6"/>
        <v>4.0250619234304921</v>
      </c>
      <c r="L119" s="90">
        <f t="shared" si="6"/>
        <v>1.3144775432900495</v>
      </c>
      <c r="M119" s="90">
        <f t="shared" si="6"/>
        <v>4.1515272401751773</v>
      </c>
      <c r="N119" s="90">
        <f t="shared" si="6"/>
        <v>0.79764160156249631</v>
      </c>
      <c r="O119" s="90">
        <f t="shared" si="6"/>
        <v>-22.167876854727403</v>
      </c>
      <c r="P119" s="90">
        <f t="shared" si="6"/>
        <v>21.350428759554248</v>
      </c>
      <c r="Q119" s="90">
        <f t="shared" si="6"/>
        <v>2.9329394813086367</v>
      </c>
      <c r="R119" s="90">
        <f t="shared" si="6"/>
        <v>5.3259740576805967</v>
      </c>
      <c r="S119" s="90">
        <f t="shared" si="6"/>
        <v>3.3415240180132812</v>
      </c>
      <c r="T119" s="90">
        <f t="shared" si="6"/>
        <v>2.411176181457428</v>
      </c>
      <c r="U119" s="90">
        <f t="shared" si="6"/>
        <v>0.11788849431818704</v>
      </c>
      <c r="V119" s="90">
        <f t="shared" si="6"/>
        <v>10.575143981923866</v>
      </c>
      <c r="W119" s="90">
        <f t="shared" si="6"/>
        <v>0.14767416844223646</v>
      </c>
      <c r="X119" s="90">
        <f t="shared" si="6"/>
        <v>-0.47917652597156746</v>
      </c>
      <c r="Y119" s="90">
        <f t="shared" si="6"/>
        <v>2.5912242084629824</v>
      </c>
      <c r="Z119" s="90">
        <f t="shared" si="6"/>
        <v>3.1104635736795814</v>
      </c>
      <c r="AA119" s="90">
        <f t="shared" si="6"/>
        <v>0.67344990079364209</v>
      </c>
      <c r="AB119" s="90">
        <f t="shared" si="6"/>
        <v>2.0581823347692243</v>
      </c>
      <c r="AC119" s="90">
        <f t="shared" si="6"/>
        <v>-3.8426230462316688</v>
      </c>
      <c r="AD119" s="90">
        <f t="shared" si="6"/>
        <v>2.7166343167701896</v>
      </c>
      <c r="AE119" s="90">
        <f t="shared" si="6"/>
        <v>0.86649945887446478</v>
      </c>
      <c r="AF119" s="90">
        <f t="shared" si="6"/>
        <v>1.2811221738873115</v>
      </c>
      <c r="AG119" s="90">
        <f t="shared" si="6"/>
        <v>2.543236751583926</v>
      </c>
      <c r="AH119" s="90">
        <f t="shared" si="6"/>
        <v>20.724529638180591</v>
      </c>
      <c r="AI119" s="90">
        <f t="shared" si="6"/>
        <v>-5.2902129219639633</v>
      </c>
      <c r="AJ119" s="90">
        <f t="shared" si="6"/>
        <v>-0.10385944264070091</v>
      </c>
      <c r="AK119" s="90">
        <f t="shared" si="6"/>
        <v>-1.5999264470880732</v>
      </c>
      <c r="AL119" s="90">
        <f t="shared" si="6"/>
        <v>18.83393532492893</v>
      </c>
      <c r="AM119" s="90">
        <f t="shared" si="6"/>
        <v>3.7910625711023762</v>
      </c>
      <c r="AN119" s="90">
        <f t="shared" si="6"/>
        <v>-0.95920222241950981</v>
      </c>
      <c r="AO119" s="90">
        <f t="shared" si="6"/>
        <v>2.0772520123106091</v>
      </c>
      <c r="AP119" s="90">
        <f t="shared" si="6"/>
        <v>6.4353969564553815</v>
      </c>
      <c r="AQ119" s="90">
        <f t="shared" si="6"/>
        <v>-4.0429684244791666</v>
      </c>
      <c r="AR119" s="90">
        <f t="shared" si="6"/>
        <v>26.438072528467956</v>
      </c>
      <c r="AS119" s="90">
        <f t="shared" si="6"/>
        <v>-3.4696872188683656</v>
      </c>
      <c r="AT119" s="90">
        <f t="shared" si="6"/>
        <v>6.4528417701005623</v>
      </c>
      <c r="AU119" s="90">
        <f t="shared" si="6"/>
        <v>4.3700744329643797</v>
      </c>
      <c r="AV119" s="90">
        <f t="shared" si="6"/>
        <v>-3.6268348180587751</v>
      </c>
      <c r="AW119" s="90">
        <f t="shared" si="6"/>
        <v>-1.0807877463248445</v>
      </c>
      <c r="AX119" s="90">
        <f t="shared" si="6"/>
        <v>3.8436345108695633</v>
      </c>
      <c r="AY119" s="90">
        <f t="shared" si="6"/>
        <v>-1.0801691729323295</v>
      </c>
      <c r="AZ119" s="90">
        <f t="shared" si="6"/>
        <v>1.9964710824433958</v>
      </c>
      <c r="BA119" s="90">
        <f t="shared" si="6"/>
        <v>7.0372423966274198</v>
      </c>
      <c r="BB119" s="90">
        <f t="shared" si="6"/>
        <v>16.309465980575055</v>
      </c>
      <c r="BC119" s="90">
        <f t="shared" si="6"/>
        <v>4.8606271196344082</v>
      </c>
      <c r="BD119" s="90">
        <f t="shared" si="6"/>
        <v>5.7398627619667586</v>
      </c>
      <c r="BE119" s="90">
        <f t="shared" si="6"/>
        <v>-3.9153543996512781</v>
      </c>
      <c r="BF119" s="90">
        <f t="shared" si="6"/>
        <v>-57.237777777777765</v>
      </c>
      <c r="BG119" s="90">
        <f t="shared" si="6"/>
        <v>0.18999999999999773</v>
      </c>
      <c r="BH119" s="90">
        <f t="shared" si="6"/>
        <v>31.971523825647232</v>
      </c>
      <c r="BI119" s="90">
        <f t="shared" si="6"/>
        <v>7.9493860125564879</v>
      </c>
      <c r="BJ119" s="90">
        <f t="shared" si="6"/>
        <v>-53.583883437644786</v>
      </c>
      <c r="BK119" s="90">
        <f t="shared" si="6"/>
        <v>-2.8360073908255927</v>
      </c>
      <c r="BL119" s="90">
        <f t="shared" si="6"/>
        <v>37.502515609420314</v>
      </c>
      <c r="BM119" s="90">
        <f t="shared" si="6"/>
        <v>2.8325380803088578</v>
      </c>
      <c r="BN119" s="90">
        <f t="shared" si="6"/>
        <v>-55.385851061318732</v>
      </c>
      <c r="BO119" s="90">
        <f t="shared" si="6"/>
        <v>-3.5068979845437838</v>
      </c>
      <c r="BP119" s="90"/>
    </row>
    <row r="120" spans="3:68" x14ac:dyDescent="0.25">
      <c r="C120" s="3" t="s">
        <v>19</v>
      </c>
      <c r="D120" s="90">
        <f t="shared" si="1"/>
        <v>0.23289013634629896</v>
      </c>
      <c r="E120" s="90">
        <f t="shared" si="6"/>
        <v>-3.5352730785291442E-2</v>
      </c>
      <c r="F120" s="90">
        <f t="shared" si="6"/>
        <v>-0.37541182780320526</v>
      </c>
      <c r="G120" s="90">
        <f t="shared" si="6"/>
        <v>-0.29269593253969362</v>
      </c>
      <c r="H120" s="90">
        <f t="shared" si="6"/>
        <v>-0.17550852272727724</v>
      </c>
      <c r="I120" s="90">
        <f t="shared" si="6"/>
        <v>0.1577665112664981</v>
      </c>
      <c r="J120" s="90">
        <f t="shared" si="6"/>
        <v>-0.60452834986015347</v>
      </c>
      <c r="K120" s="90">
        <f t="shared" si="6"/>
        <v>-0.16317502787067539</v>
      </c>
      <c r="L120" s="90">
        <f t="shared" si="6"/>
        <v>-9.4582706766914271E-2</v>
      </c>
      <c r="M120" s="90">
        <f t="shared" si="6"/>
        <v>0.72970629370629325</v>
      </c>
      <c r="N120" s="90">
        <f t="shared" si="6"/>
        <v>-1.1301202651515112</v>
      </c>
      <c r="O120" s="90">
        <f t="shared" si="6"/>
        <v>-10.040152927120658</v>
      </c>
      <c r="P120" s="90">
        <f t="shared" si="6"/>
        <v>10.6615181182122</v>
      </c>
      <c r="Q120" s="90">
        <f t="shared" si="6"/>
        <v>0.42027838827836916</v>
      </c>
      <c r="R120" s="90">
        <f t="shared" si="6"/>
        <v>-0.63402886002886305</v>
      </c>
      <c r="S120" s="90">
        <f t="shared" si="6"/>
        <v>0.13398324275363649</v>
      </c>
      <c r="T120" s="90">
        <f t="shared" si="6"/>
        <v>-0.3737313645514746</v>
      </c>
      <c r="U120" s="90">
        <f t="shared" si="6"/>
        <v>0.3393730158730186</v>
      </c>
      <c r="V120" s="90">
        <f t="shared" si="6"/>
        <v>-0.75508161976912902</v>
      </c>
      <c r="W120" s="90">
        <f t="shared" si="6"/>
        <v>-0.18788359788360154</v>
      </c>
      <c r="X120" s="90">
        <f t="shared" si="6"/>
        <v>7.0337464376294179E-2</v>
      </c>
      <c r="Y120" s="90">
        <f t="shared" si="6"/>
        <v>0.55701884920635436</v>
      </c>
      <c r="Z120" s="90">
        <f t="shared" si="6"/>
        <v>-0.41162170031056178</v>
      </c>
      <c r="AA120" s="90">
        <f t="shared" si="6"/>
        <v>-1.2636699275073937E-2</v>
      </c>
      <c r="AB120" s="90">
        <f t="shared" si="6"/>
        <v>-0.26267193228513364</v>
      </c>
      <c r="AC120" s="90">
        <f t="shared" si="6"/>
        <v>0.27136311026935545</v>
      </c>
      <c r="AD120" s="90">
        <f t="shared" si="6"/>
        <v>-0.85399783549785013</v>
      </c>
      <c r="AE120" s="90">
        <f t="shared" si="6"/>
        <v>-0.4691150816108447</v>
      </c>
      <c r="AF120" s="90">
        <f t="shared" si="6"/>
        <v>8.5900817617815761E-2</v>
      </c>
      <c r="AG120" s="90">
        <f t="shared" si="6"/>
        <v>1.253627297410187</v>
      </c>
      <c r="AH120" s="90">
        <f t="shared" si="6"/>
        <v>7.3126720061022041</v>
      </c>
      <c r="AI120" s="90">
        <f t="shared" si="6"/>
        <v>-5.1267938655540419</v>
      </c>
      <c r="AJ120" s="90">
        <f t="shared" si="6"/>
        <v>-4.5701316405768679</v>
      </c>
      <c r="AK120" s="90">
        <f t="shared" si="6"/>
        <v>0.72006109022555975</v>
      </c>
      <c r="AL120" s="90">
        <f t="shared" si="6"/>
        <v>-2.1617236652236613</v>
      </c>
      <c r="AM120" s="90">
        <f t="shared" si="6"/>
        <v>-3.9447079632226831</v>
      </c>
      <c r="AN120" s="90">
        <f t="shared" si="6"/>
        <v>-3.1917593715471426</v>
      </c>
      <c r="AO120" s="90">
        <f t="shared" si="6"/>
        <v>-0.20464601370851199</v>
      </c>
      <c r="AP120" s="90">
        <f t="shared" si="6"/>
        <v>35.356803300865806</v>
      </c>
      <c r="AQ120" s="90">
        <f t="shared" si="6"/>
        <v>-1.5108946608946567</v>
      </c>
      <c r="AR120" s="90">
        <f t="shared" si="6"/>
        <v>1.231085018319142</v>
      </c>
      <c r="AS120" s="90">
        <f t="shared" si="6"/>
        <v>24.976586542112848</v>
      </c>
      <c r="AT120" s="90">
        <f t="shared" si="6"/>
        <v>3.5925579455266785</v>
      </c>
      <c r="AU120" s="90">
        <f t="shared" si="6"/>
        <v>-5.2097336621122707</v>
      </c>
      <c r="AV120" s="90">
        <f t="shared" si="6"/>
        <v>-0.6905120936984801</v>
      </c>
      <c r="AW120" s="90">
        <f t="shared" si="6"/>
        <v>9.0622660010240708</v>
      </c>
      <c r="AX120" s="90">
        <f t="shared" si="6"/>
        <v>9.50616259057972</v>
      </c>
      <c r="AY120" s="90">
        <f t="shared" si="6"/>
        <v>-6.2361245052521923</v>
      </c>
      <c r="AZ120" s="90">
        <f t="shared" si="6"/>
        <v>6.8749234393838634</v>
      </c>
      <c r="BA120" s="90">
        <f t="shared" si="6"/>
        <v>13.746641604010026</v>
      </c>
      <c r="BB120" s="90">
        <f t="shared" si="6"/>
        <v>27.851559841047219</v>
      </c>
      <c r="BC120" s="90">
        <f t="shared" si="6"/>
        <v>0.92384677540846383</v>
      </c>
      <c r="BD120" s="90">
        <f t="shared" si="6"/>
        <v>8.2772595765369701</v>
      </c>
      <c r="BE120" s="90">
        <f t="shared" si="6"/>
        <v>1.1431339712918671</v>
      </c>
      <c r="BF120" s="90">
        <f t="shared" si="6"/>
        <v>-6.980000000000004</v>
      </c>
      <c r="BG120" s="90">
        <f t="shared" si="6"/>
        <v>0.54333333333332945</v>
      </c>
      <c r="BH120" s="90">
        <f t="shared" si="6"/>
        <v>16.616603358770703</v>
      </c>
      <c r="BI120" s="90">
        <f t="shared" si="6"/>
        <v>4.0842482923102104</v>
      </c>
      <c r="BJ120" s="90">
        <f t="shared" si="6"/>
        <v>-7.3171726417685932</v>
      </c>
      <c r="BK120" s="90">
        <f t="shared" si="6"/>
        <v>-10.063679009312345</v>
      </c>
      <c r="BL120" s="90">
        <f t="shared" si="6"/>
        <v>18.754800283092003</v>
      </c>
      <c r="BM120" s="90">
        <f t="shared" si="6"/>
        <v>3.0021846350282857</v>
      </c>
      <c r="BN120" s="90">
        <f t="shared" si="6"/>
        <v>-6.90968775276977</v>
      </c>
      <c r="BO120" s="90">
        <f t="shared" si="6"/>
        <v>-8.0772971653505152</v>
      </c>
      <c r="BP120" s="90"/>
    </row>
    <row r="121" spans="3:68" x14ac:dyDescent="0.25">
      <c r="C121" s="3" t="s">
        <v>20</v>
      </c>
      <c r="D121" s="90">
        <f t="shared" si="1"/>
        <v>5.6529495348552956</v>
      </c>
      <c r="E121" s="90">
        <f t="shared" si="6"/>
        <v>3.793306865482819</v>
      </c>
      <c r="F121" s="90">
        <f t="shared" si="6"/>
        <v>-0.15358207105122545</v>
      </c>
      <c r="G121" s="90">
        <f t="shared" si="6"/>
        <v>1.0985513291277442</v>
      </c>
      <c r="H121" s="90">
        <f t="shared" si="6"/>
        <v>2.2953232535173242</v>
      </c>
      <c r="I121" s="90">
        <f t="shared" si="6"/>
        <v>8.2317937067099614</v>
      </c>
      <c r="J121" s="90">
        <f t="shared" si="6"/>
        <v>5.9772015167376651</v>
      </c>
      <c r="K121" s="90">
        <f t="shared" si="6"/>
        <v>-1.7632055041943246</v>
      </c>
      <c r="L121" s="90">
        <f t="shared" si="6"/>
        <v>5.5333837825466503</v>
      </c>
      <c r="M121" s="90">
        <f t="shared" si="6"/>
        <v>6.6921186133657997</v>
      </c>
      <c r="N121" s="90">
        <f t="shared" si="6"/>
        <v>0.60193039772728696</v>
      </c>
      <c r="O121" s="90">
        <f t="shared" si="6"/>
        <v>-6.8092887584620456</v>
      </c>
      <c r="P121" s="90">
        <f t="shared" si="6"/>
        <v>12.578810446606575</v>
      </c>
      <c r="Q121" s="90">
        <f t="shared" si="6"/>
        <v>11.201236066332982</v>
      </c>
      <c r="R121" s="90">
        <f t="shared" si="6"/>
        <v>5.8242872096600493</v>
      </c>
      <c r="S121" s="90">
        <f t="shared" si="6"/>
        <v>5.6060815254152629</v>
      </c>
      <c r="T121" s="90">
        <f t="shared" si="6"/>
        <v>4.4316665740926489</v>
      </c>
      <c r="U121" s="90">
        <f t="shared" si="6"/>
        <v>3.6286101888141644</v>
      </c>
      <c r="V121" s="90">
        <f t="shared" si="6"/>
        <v>2.6082513812427592</v>
      </c>
      <c r="W121" s="90">
        <f t="shared" si="6"/>
        <v>-0.48394653894053263</v>
      </c>
      <c r="X121" s="90">
        <f t="shared" si="6"/>
        <v>3.0915101557088782</v>
      </c>
      <c r="Y121" s="90">
        <f t="shared" si="6"/>
        <v>4.40063961273448</v>
      </c>
      <c r="Z121" s="90">
        <f t="shared" si="6"/>
        <v>2.6887444905538302</v>
      </c>
      <c r="AA121" s="90">
        <f t="shared" si="6"/>
        <v>2.144792926653416</v>
      </c>
      <c r="AB121" s="90">
        <f t="shared" si="6"/>
        <v>1.9239386696919532</v>
      </c>
      <c r="AC121" s="90">
        <f t="shared" si="6"/>
        <v>0.49628211184764126</v>
      </c>
      <c r="AD121" s="90">
        <f t="shared" si="6"/>
        <v>4.0883565824314658</v>
      </c>
      <c r="AE121" s="90">
        <f t="shared" si="6"/>
        <v>-0.36730295276584712</v>
      </c>
      <c r="AF121" s="90">
        <f t="shared" si="6"/>
        <v>2.9793795504029816</v>
      </c>
      <c r="AG121" s="90">
        <f t="shared" si="6"/>
        <v>5.1414190441302132</v>
      </c>
      <c r="AH121" s="90">
        <f t="shared" si="6"/>
        <v>30.092741679310457</v>
      </c>
      <c r="AI121" s="90">
        <f t="shared" si="6"/>
        <v>9.8921142582642076</v>
      </c>
      <c r="AJ121" s="90">
        <f t="shared" si="6"/>
        <v>5.2383372845674927</v>
      </c>
      <c r="AK121" s="90">
        <f t="shared" si="6"/>
        <v>-1.1389475397920421</v>
      </c>
      <c r="AL121" s="90">
        <f t="shared" si="6"/>
        <v>4.1420021682380153</v>
      </c>
      <c r="AM121" s="90">
        <f t="shared" si="6"/>
        <v>0.60027537576648626</v>
      </c>
      <c r="AN121" s="90">
        <f t="shared" si="6"/>
        <v>1.711738320616881</v>
      </c>
      <c r="AO121" s="90">
        <f t="shared" si="6"/>
        <v>2.8573940048392714</v>
      </c>
      <c r="AP121" s="90">
        <f t="shared" si="6"/>
        <v>24.57497878722171</v>
      </c>
      <c r="AQ121" s="90">
        <f t="shared" si="6"/>
        <v>-4.4100790465520063</v>
      </c>
      <c r="AR121" s="90">
        <f t="shared" si="6"/>
        <v>5.1929530855613777</v>
      </c>
      <c r="AS121" s="90">
        <f t="shared" si="6"/>
        <v>11.29804816123545</v>
      </c>
      <c r="AT121" s="90">
        <f t="shared" si="6"/>
        <v>6.1139176099773209</v>
      </c>
      <c r="AU121" s="90">
        <f t="shared" si="6"/>
        <v>4.8719947850022791</v>
      </c>
      <c r="AV121" s="90">
        <f t="shared" si="6"/>
        <v>2.0952641733002508</v>
      </c>
      <c r="AW121" s="90">
        <f t="shared" si="6"/>
        <v>7.0641782423340729</v>
      </c>
      <c r="AX121" s="90">
        <f t="shared" si="6"/>
        <v>0.6340459119727484</v>
      </c>
      <c r="AY121" s="90">
        <f t="shared" si="6"/>
        <v>4.4507493700595546</v>
      </c>
      <c r="AZ121" s="90">
        <f t="shared" si="6"/>
        <v>9.1334423757440675</v>
      </c>
      <c r="BA121" s="90">
        <f t="shared" si="6"/>
        <v>7.4039453855112392</v>
      </c>
      <c r="BB121" s="90">
        <f t="shared" si="6"/>
        <v>5.5143394373927919</v>
      </c>
      <c r="BC121" s="90">
        <f t="shared" si="6"/>
        <v>5.0009518820915915</v>
      </c>
      <c r="BD121" s="90">
        <f t="shared" si="6"/>
        <v>2.1163020648068063</v>
      </c>
      <c r="BE121" s="90">
        <f t="shared" si="6"/>
        <v>1.5481274902038766</v>
      </c>
      <c r="BF121" s="90">
        <f t="shared" si="6"/>
        <v>1.0422222222222217</v>
      </c>
      <c r="BG121" s="90">
        <f t="shared" si="6"/>
        <v>1.2766666666666637</v>
      </c>
      <c r="BH121" s="90">
        <f t="shared" si="6"/>
        <v>11.480678905434672</v>
      </c>
      <c r="BI121" s="90">
        <f t="shared" si="6"/>
        <v>6.6430863500108046</v>
      </c>
      <c r="BJ121" s="90">
        <f t="shared" si="6"/>
        <v>-5.3139962987002463</v>
      </c>
      <c r="BK121" s="90">
        <f t="shared" si="6"/>
        <v>-8.0997689567452369</v>
      </c>
      <c r="BL121" s="90">
        <f t="shared" si="6"/>
        <v>16.2917466233487</v>
      </c>
      <c r="BM121" s="90">
        <f t="shared" si="6"/>
        <v>5.8581008508849486</v>
      </c>
      <c r="BN121" s="90">
        <f t="shared" si="6"/>
        <v>-7.3484809661654396</v>
      </c>
      <c r="BO121" s="90">
        <f t="shared" si="6"/>
        <v>-10.029699841401545</v>
      </c>
      <c r="BP121" s="90"/>
    </row>
    <row r="122" spans="3:68" x14ac:dyDescent="0.25">
      <c r="C122" s="3" t="s">
        <v>21</v>
      </c>
      <c r="D122" s="90">
        <f t="shared" si="1"/>
        <v>5.4069717004682332</v>
      </c>
      <c r="E122" s="90">
        <f t="shared" si="6"/>
        <v>3.0477157272798543</v>
      </c>
      <c r="F122" s="90">
        <f t="shared" si="6"/>
        <v>-1.6758821305270928</v>
      </c>
      <c r="G122" s="90">
        <f t="shared" si="6"/>
        <v>2.2898819094967706</v>
      </c>
      <c r="H122" s="90">
        <f t="shared" si="6"/>
        <v>1.1866654725078227</v>
      </c>
      <c r="I122" s="90">
        <f t="shared" si="6"/>
        <v>-0.2109031808455839</v>
      </c>
      <c r="J122" s="90">
        <f t="shared" si="6"/>
        <v>5.7080887143113301</v>
      </c>
      <c r="K122" s="90">
        <f t="shared" si="6"/>
        <v>3.8741258685064963</v>
      </c>
      <c r="L122" s="90">
        <f t="shared" si="6"/>
        <v>2.7252067717144399</v>
      </c>
      <c r="M122" s="90">
        <f t="shared" si="6"/>
        <v>-8.1232541099236215</v>
      </c>
      <c r="N122" s="90">
        <f t="shared" ref="E122:BO126" si="7">IF(ISBLANK(N27),NA(),N27)-IF(ISBLANK(N74),NA(),N74)</f>
        <v>3.2895519460032503</v>
      </c>
      <c r="O122" s="90">
        <f t="shared" si="7"/>
        <v>-7.4682113920652569</v>
      </c>
      <c r="P122" s="90">
        <f t="shared" si="7"/>
        <v>11.016465230720065</v>
      </c>
      <c r="Q122" s="90">
        <f t="shared" si="7"/>
        <v>9.1694114553049886</v>
      </c>
      <c r="R122" s="90">
        <f t="shared" si="7"/>
        <v>5.0547019801399244</v>
      </c>
      <c r="S122" s="90">
        <f t="shared" si="7"/>
        <v>5.6693970167749086</v>
      </c>
      <c r="T122" s="90">
        <f t="shared" si="7"/>
        <v>3.5205352858843568</v>
      </c>
      <c r="U122" s="90">
        <f t="shared" si="7"/>
        <v>1.1442243302044872</v>
      </c>
      <c r="V122" s="90">
        <f t="shared" si="7"/>
        <v>3.5422696775859777</v>
      </c>
      <c r="W122" s="90">
        <f t="shared" si="7"/>
        <v>2.0699106948809813</v>
      </c>
      <c r="X122" s="90">
        <f t="shared" si="7"/>
        <v>3.1432776558140887</v>
      </c>
      <c r="Y122" s="90">
        <f t="shared" si="7"/>
        <v>1.6126494226340746</v>
      </c>
      <c r="Z122" s="90">
        <f t="shared" si="7"/>
        <v>2.8107783434448663</v>
      </c>
      <c r="AA122" s="90">
        <f t="shared" si="7"/>
        <v>0.71771777514599222</v>
      </c>
      <c r="AB122" s="90">
        <f t="shared" si="7"/>
        <v>1.8763722704526096</v>
      </c>
      <c r="AC122" s="90">
        <f t="shared" si="7"/>
        <v>4.3168275371723297</v>
      </c>
      <c r="AD122" s="90">
        <f t="shared" si="7"/>
        <v>11.230261755200821</v>
      </c>
      <c r="AE122" s="90">
        <f t="shared" si="7"/>
        <v>3.0093704429824442</v>
      </c>
      <c r="AF122" s="90">
        <f t="shared" si="7"/>
        <v>4.0322618882575654</v>
      </c>
      <c r="AG122" s="90">
        <f t="shared" si="7"/>
        <v>10.355036042207793</v>
      </c>
      <c r="AH122" s="90">
        <f t="shared" si="7"/>
        <v>68.522268584830471</v>
      </c>
      <c r="AI122" s="90">
        <f t="shared" si="7"/>
        <v>16.116924606640396</v>
      </c>
      <c r="AJ122" s="90">
        <f t="shared" si="7"/>
        <v>20.054826318731834</v>
      </c>
      <c r="AK122" s="90">
        <f t="shared" si="7"/>
        <v>2.2285359134778844</v>
      </c>
      <c r="AL122" s="90">
        <f t="shared" si="7"/>
        <v>10.452550039790069</v>
      </c>
      <c r="AM122" s="90">
        <f t="shared" si="7"/>
        <v>-1.9955437541770991</v>
      </c>
      <c r="AN122" s="90">
        <f t="shared" si="7"/>
        <v>2.2827354655032508</v>
      </c>
      <c r="AO122" s="90">
        <f t="shared" si="7"/>
        <v>5.8986170128968283</v>
      </c>
      <c r="AP122" s="90">
        <f t="shared" si="7"/>
        <v>26.47253208374562</v>
      </c>
      <c r="AQ122" s="90">
        <f t="shared" si="7"/>
        <v>-4.1908133313761482</v>
      </c>
      <c r="AR122" s="90">
        <f t="shared" si="7"/>
        <v>15.693531808190194</v>
      </c>
      <c r="AS122" s="90">
        <f t="shared" si="7"/>
        <v>18.515728869574843</v>
      </c>
      <c r="AT122" s="90">
        <f t="shared" si="7"/>
        <v>33.590153934575383</v>
      </c>
      <c r="AU122" s="90">
        <f t="shared" si="7"/>
        <v>-0.70878098588562466</v>
      </c>
      <c r="AV122" s="90">
        <f t="shared" si="7"/>
        <v>2.5659935461315655</v>
      </c>
      <c r="AW122" s="90">
        <f t="shared" si="7"/>
        <v>8.4311724646013886</v>
      </c>
      <c r="AX122" s="90">
        <f t="shared" si="7"/>
        <v>35.248081987223571</v>
      </c>
      <c r="AY122" s="90">
        <f t="shared" si="7"/>
        <v>20.862290757678153</v>
      </c>
      <c r="AZ122" s="90">
        <f t="shared" si="7"/>
        <v>14.616682139687782</v>
      </c>
      <c r="BA122" s="90">
        <f t="shared" si="7"/>
        <v>4.661886949527748</v>
      </c>
      <c r="BB122" s="90">
        <f t="shared" si="7"/>
        <v>17.603307429215327</v>
      </c>
      <c r="BC122" s="90">
        <f t="shared" si="7"/>
        <v>6.4498553422814737</v>
      </c>
      <c r="BD122" s="90">
        <f t="shared" si="7"/>
        <v>4.8112003101926391</v>
      </c>
      <c r="BE122" s="90">
        <f t="shared" si="7"/>
        <v>3.2049044113247867</v>
      </c>
      <c r="BF122" s="90">
        <f t="shared" si="7"/>
        <v>8.9100000000000037</v>
      </c>
      <c r="BG122" s="90">
        <f t="shared" si="7"/>
        <v>-0.10333333333335304</v>
      </c>
      <c r="BH122" s="90">
        <f t="shared" si="7"/>
        <v>6.8287624204794497</v>
      </c>
      <c r="BI122" s="90">
        <f t="shared" si="7"/>
        <v>6.5854737410531889</v>
      </c>
      <c r="BJ122" s="90">
        <f t="shared" si="7"/>
        <v>-1.6362434809789903</v>
      </c>
      <c r="BK122" s="90">
        <f t="shared" si="7"/>
        <v>-9.2896593472203222</v>
      </c>
      <c r="BL122" s="90">
        <f t="shared" si="7"/>
        <v>11.32403994760535</v>
      </c>
      <c r="BM122" s="90">
        <f t="shared" si="7"/>
        <v>4.7006552981387237</v>
      </c>
      <c r="BN122" s="90">
        <f t="shared" si="7"/>
        <v>0.54364623417498592</v>
      </c>
      <c r="BO122" s="90">
        <f t="shared" si="7"/>
        <v>-15.0150081465857</v>
      </c>
      <c r="BP122" s="90"/>
    </row>
    <row r="123" spans="3:68" x14ac:dyDescent="0.25">
      <c r="C123" s="3" t="s">
        <v>22</v>
      </c>
      <c r="D123" s="90">
        <f t="shared" si="1"/>
        <v>-0.18663045861937633</v>
      </c>
      <c r="E123" s="90">
        <f t="shared" si="7"/>
        <v>0.25964223057644631</v>
      </c>
      <c r="F123" s="90">
        <f t="shared" si="7"/>
        <v>2.8969107551475304E-2</v>
      </c>
      <c r="G123" s="90">
        <f t="shared" si="7"/>
        <v>5.9996475563917073E-2</v>
      </c>
      <c r="H123" s="90">
        <f t="shared" si="7"/>
        <v>-0.29137026515152442</v>
      </c>
      <c r="I123" s="90">
        <f t="shared" si="7"/>
        <v>-0.11273776223776188</v>
      </c>
      <c r="J123" s="90">
        <f t="shared" si="7"/>
        <v>-0.11572263993318188</v>
      </c>
      <c r="K123" s="90">
        <f t="shared" si="7"/>
        <v>-0.23632036613272689</v>
      </c>
      <c r="L123" s="90">
        <f t="shared" si="7"/>
        <v>-3.1370091896416596E-2</v>
      </c>
      <c r="M123" s="90">
        <f t="shared" si="7"/>
        <v>0.25555244755245354</v>
      </c>
      <c r="N123" s="90">
        <f t="shared" si="7"/>
        <v>-0.98250000000000881</v>
      </c>
      <c r="O123" s="90">
        <f t="shared" si="7"/>
        <v>-3.3081008259311133</v>
      </c>
      <c r="P123" s="90">
        <f t="shared" si="7"/>
        <v>4.9947796574770251</v>
      </c>
      <c r="Q123" s="90">
        <f t="shared" si="7"/>
        <v>0.51763675213675953</v>
      </c>
      <c r="R123" s="90">
        <f t="shared" si="7"/>
        <v>0.116655122655132</v>
      </c>
      <c r="S123" s="90">
        <f t="shared" si="7"/>
        <v>0.2805906266492002</v>
      </c>
      <c r="T123" s="90">
        <f t="shared" si="7"/>
        <v>-0.43099415640443084</v>
      </c>
      <c r="U123" s="90">
        <f t="shared" si="7"/>
        <v>0.73341774891774847</v>
      </c>
      <c r="V123" s="90">
        <f t="shared" si="7"/>
        <v>-1.4913566468253983</v>
      </c>
      <c r="W123" s="90">
        <f t="shared" si="7"/>
        <v>0.38732804232803986</v>
      </c>
      <c r="X123" s="90">
        <f t="shared" si="7"/>
        <v>-0.1126227285800212</v>
      </c>
      <c r="Y123" s="90">
        <f t="shared" si="7"/>
        <v>-5.6378968253966377E-2</v>
      </c>
      <c r="Z123" s="90">
        <f t="shared" si="7"/>
        <v>-0.67005363612836177</v>
      </c>
      <c r="AA123" s="90">
        <f t="shared" si="7"/>
        <v>0.53988065594093015</v>
      </c>
      <c r="AB123" s="90">
        <f t="shared" si="7"/>
        <v>-0.5892348859526173</v>
      </c>
      <c r="AC123" s="90">
        <f t="shared" si="7"/>
        <v>-0.13523095538721108</v>
      </c>
      <c r="AD123" s="90">
        <f t="shared" si="7"/>
        <v>-0.22661399711400776</v>
      </c>
      <c r="AE123" s="90">
        <f t="shared" si="7"/>
        <v>-0.26743934208280606</v>
      </c>
      <c r="AF123" s="90">
        <f t="shared" si="7"/>
        <v>-0.22005834257775803</v>
      </c>
      <c r="AG123" s="90">
        <f t="shared" si="7"/>
        <v>-2.1255354532163722</v>
      </c>
      <c r="AH123" s="90">
        <f t="shared" si="7"/>
        <v>-0.30394589735207944</v>
      </c>
      <c r="AI123" s="90">
        <f t="shared" si="7"/>
        <v>0.21281650709493505</v>
      </c>
      <c r="AJ123" s="90">
        <f t="shared" si="7"/>
        <v>14.880106557377054</v>
      </c>
      <c r="AK123" s="90">
        <f t="shared" si="7"/>
        <v>-0.649861554928993</v>
      </c>
      <c r="AL123" s="90">
        <f t="shared" si="7"/>
        <v>-0.95475036075036357</v>
      </c>
      <c r="AM123" s="90">
        <f t="shared" si="7"/>
        <v>-1.6690887486364403</v>
      </c>
      <c r="AN123" s="90">
        <f t="shared" si="7"/>
        <v>-0.46948642378184147</v>
      </c>
      <c r="AO123" s="90">
        <f t="shared" si="7"/>
        <v>-1.276591720779221</v>
      </c>
      <c r="AP123" s="90">
        <f t="shared" si="7"/>
        <v>-8.9263843795102105E-2</v>
      </c>
      <c r="AQ123" s="90">
        <f t="shared" si="7"/>
        <v>-1.0259331409331551</v>
      </c>
      <c r="AR123" s="90">
        <f t="shared" si="7"/>
        <v>7.7955383826633806E-2</v>
      </c>
      <c r="AS123" s="90">
        <f t="shared" si="7"/>
        <v>-0.22390369864055515</v>
      </c>
      <c r="AT123" s="90">
        <f t="shared" si="7"/>
        <v>-0.40670026154401739</v>
      </c>
      <c r="AU123" s="90">
        <f t="shared" si="7"/>
        <v>-1.7299074029159058</v>
      </c>
      <c r="AV123" s="90">
        <f t="shared" si="7"/>
        <v>-0.70955201643660359</v>
      </c>
      <c r="AW123" s="90">
        <f t="shared" si="7"/>
        <v>5.8737839221549848E-3</v>
      </c>
      <c r="AX123" s="90">
        <f t="shared" si="7"/>
        <v>-18.41990157004831</v>
      </c>
      <c r="AY123" s="90">
        <f t="shared" si="7"/>
        <v>-3.5021185203445953</v>
      </c>
      <c r="AZ123" s="90">
        <f t="shared" si="7"/>
        <v>1.1158621466007332</v>
      </c>
      <c r="BA123" s="90">
        <f t="shared" si="7"/>
        <v>2.8396741854636645</v>
      </c>
      <c r="BB123" s="90">
        <f t="shared" si="7"/>
        <v>16.196262272089768</v>
      </c>
      <c r="BC123" s="90">
        <f t="shared" si="7"/>
        <v>-0.88511543389023473</v>
      </c>
      <c r="BD123" s="90">
        <f t="shared" si="7"/>
        <v>-0.29089201144941512</v>
      </c>
      <c r="BE123" s="90">
        <f t="shared" si="7"/>
        <v>1.7925358851674567</v>
      </c>
      <c r="BF123" s="90">
        <f t="shared" si="7"/>
        <v>-11.60333</v>
      </c>
      <c r="BG123" s="90">
        <f t="shared" si="7"/>
        <v>4.3600000000000136</v>
      </c>
      <c r="BH123" s="90">
        <f t="shared" si="7"/>
        <v>-13.657807542257132</v>
      </c>
      <c r="BI123" s="90">
        <f t="shared" si="7"/>
        <v>4.3345462907216046</v>
      </c>
      <c r="BJ123" s="90">
        <f t="shared" si="7"/>
        <v>7.5670192003012318</v>
      </c>
      <c r="BK123" s="90">
        <f t="shared" si="7"/>
        <v>3.9762487179009725</v>
      </c>
      <c r="BL123" s="90">
        <f t="shared" si="7"/>
        <v>-11.177202685124399</v>
      </c>
      <c r="BM123" s="90">
        <f t="shared" si="7"/>
        <v>5.4417555313062635</v>
      </c>
      <c r="BN123" s="90">
        <f t="shared" si="7"/>
        <v>5.2261269390348843</v>
      </c>
      <c r="BO123" s="90">
        <f t="shared" si="7"/>
        <v>4.1143235481166016</v>
      </c>
      <c r="BP123" s="90"/>
    </row>
    <row r="124" spans="3:68" x14ac:dyDescent="0.25">
      <c r="C124" s="3" t="s">
        <v>23</v>
      </c>
      <c r="D124" s="90">
        <f t="shared" si="1"/>
        <v>-2.6683205197415276</v>
      </c>
      <c r="E124" s="90">
        <f t="shared" si="7"/>
        <v>4.6313169184873431</v>
      </c>
      <c r="F124" s="90">
        <f t="shared" si="7"/>
        <v>14.204836086781285</v>
      </c>
      <c r="G124" s="90">
        <f t="shared" si="7"/>
        <v>1.3094196428571401</v>
      </c>
      <c r="H124" s="90">
        <f t="shared" si="7"/>
        <v>-0.5763006459686153</v>
      </c>
      <c r="I124" s="90">
        <f t="shared" si="7"/>
        <v>5.9996222901447567</v>
      </c>
      <c r="J124" s="90">
        <f t="shared" si="7"/>
        <v>10.197346286912925</v>
      </c>
      <c r="K124" s="90">
        <f t="shared" si="7"/>
        <v>2.3686496189451773</v>
      </c>
      <c r="L124" s="90">
        <f t="shared" si="7"/>
        <v>1.7701969696969755</v>
      </c>
      <c r="M124" s="90">
        <f t="shared" si="7"/>
        <v>4.6725189245975471</v>
      </c>
      <c r="N124" s="90">
        <f t="shared" si="7"/>
        <v>3.4216271158854141</v>
      </c>
      <c r="O124" s="90">
        <f t="shared" si="7"/>
        <v>-25.197075526224992</v>
      </c>
      <c r="P124" s="90">
        <f t="shared" si="7"/>
        <v>22.354560202330219</v>
      </c>
      <c r="Q124" s="90">
        <f t="shared" si="7"/>
        <v>3.2151511241037483</v>
      </c>
      <c r="R124" s="90">
        <f t="shared" si="7"/>
        <v>5.0591246906847331</v>
      </c>
      <c r="S124" s="90">
        <f t="shared" si="7"/>
        <v>3.5218307191443827</v>
      </c>
      <c r="T124" s="90">
        <f t="shared" si="7"/>
        <v>2.4642481060606016</v>
      </c>
      <c r="U124" s="90">
        <f t="shared" si="7"/>
        <v>-1.004496256510425</v>
      </c>
      <c r="V124" s="90">
        <f t="shared" si="7"/>
        <v>9.5521073303206236</v>
      </c>
      <c r="W124" s="90">
        <f t="shared" si="7"/>
        <v>1.6679892430160912</v>
      </c>
      <c r="X124" s="90">
        <f t="shared" si="7"/>
        <v>0.43810489521329288</v>
      </c>
      <c r="Y124" s="90">
        <f t="shared" si="7"/>
        <v>2.5348971826242277</v>
      </c>
      <c r="Z124" s="90">
        <f t="shared" si="7"/>
        <v>2.8051562954920435</v>
      </c>
      <c r="AA124" s="90">
        <f t="shared" si="7"/>
        <v>1.0513293650793649</v>
      </c>
      <c r="AB124" s="90">
        <f t="shared" si="7"/>
        <v>1.2603415729990068</v>
      </c>
      <c r="AC124" s="90">
        <f t="shared" si="7"/>
        <v>-1.0292308540997652</v>
      </c>
      <c r="AD124" s="90">
        <f t="shared" si="7"/>
        <v>1.8568202208419606</v>
      </c>
      <c r="AE124" s="90">
        <f t="shared" si="7"/>
        <v>0.45320256132755787</v>
      </c>
      <c r="AF124" s="90">
        <f t="shared" si="7"/>
        <v>1.1408731948390134</v>
      </c>
      <c r="AG124" s="90">
        <f t="shared" si="7"/>
        <v>2.6332345567843589</v>
      </c>
      <c r="AH124" s="90">
        <f t="shared" si="7"/>
        <v>21.12239888670954</v>
      </c>
      <c r="AI124" s="90">
        <f t="shared" si="7"/>
        <v>-4.8022460202887771</v>
      </c>
      <c r="AJ124" s="90">
        <f t="shared" si="7"/>
        <v>0.47471613455988759</v>
      </c>
      <c r="AK124" s="90">
        <f t="shared" si="7"/>
        <v>-1.4589428858901456</v>
      </c>
      <c r="AL124" s="90">
        <f t="shared" si="7"/>
        <v>17.889076541785059</v>
      </c>
      <c r="AM124" s="90">
        <f t="shared" si="7"/>
        <v>3.0175108028435496</v>
      </c>
      <c r="AN124" s="90">
        <f t="shared" si="7"/>
        <v>-2.2286606001420459</v>
      </c>
      <c r="AO124" s="90">
        <f t="shared" si="7"/>
        <v>3.966412286931817</v>
      </c>
      <c r="AP124" s="90">
        <f t="shared" si="7"/>
        <v>6.5725841578409572</v>
      </c>
      <c r="AQ124" s="90">
        <f t="shared" si="7"/>
        <v>-5.0272572502367368</v>
      </c>
      <c r="AR124" s="90">
        <f t="shared" si="7"/>
        <v>23.060944185645099</v>
      </c>
      <c r="AS124" s="90">
        <f t="shared" si="7"/>
        <v>-2.457877101089025</v>
      </c>
      <c r="AT124" s="90">
        <f t="shared" si="7"/>
        <v>5.4622535560684895</v>
      </c>
      <c r="AU124" s="90">
        <f t="shared" si="7"/>
        <v>3.4418689182194768</v>
      </c>
      <c r="AV124" s="90">
        <f t="shared" si="7"/>
        <v>-4.6883813884305994</v>
      </c>
      <c r="AW124" s="90">
        <f t="shared" si="7"/>
        <v>5.4742350647941578</v>
      </c>
      <c r="AX124" s="90">
        <f t="shared" si="7"/>
        <v>0.69534516530799806</v>
      </c>
      <c r="AY124" s="90">
        <f t="shared" si="7"/>
        <v>-1.5596981168198383</v>
      </c>
      <c r="AZ124" s="90">
        <f t="shared" si="7"/>
        <v>1.4075410388764844</v>
      </c>
      <c r="BA124" s="90">
        <f t="shared" si="7"/>
        <v>5.137409769269091</v>
      </c>
      <c r="BB124" s="90">
        <f t="shared" si="7"/>
        <v>5.33106992438681</v>
      </c>
      <c r="BC124" s="90">
        <f t="shared" si="7"/>
        <v>4.674108609818191</v>
      </c>
      <c r="BD124" s="90">
        <f t="shared" si="7"/>
        <v>8.0417419394841225</v>
      </c>
      <c r="BE124" s="90">
        <f t="shared" si="7"/>
        <v>-9.7855533384439681</v>
      </c>
      <c r="BF124" s="90">
        <f t="shared" si="7"/>
        <v>-63.994444444444454</v>
      </c>
      <c r="BG124" s="90">
        <f t="shared" si="7"/>
        <v>2.0599999999999952</v>
      </c>
      <c r="BH124" s="90">
        <f t="shared" si="7"/>
        <v>32.762438038135635</v>
      </c>
      <c r="BI124" s="90">
        <f t="shared" si="7"/>
        <v>5.4389064449807876</v>
      </c>
      <c r="BJ124" s="90">
        <f t="shared" si="7"/>
        <v>-60.721995572369991</v>
      </c>
      <c r="BK124" s="90">
        <f t="shared" si="7"/>
        <v>-0.43832990101307701</v>
      </c>
      <c r="BL124" s="90">
        <f t="shared" si="7"/>
        <v>39.991417315441836</v>
      </c>
      <c r="BM124" s="90">
        <f t="shared" si="7"/>
        <v>4.809450326472323</v>
      </c>
      <c r="BN124" s="90">
        <f t="shared" si="7"/>
        <v>-58.035496142658204</v>
      </c>
      <c r="BO124" s="90">
        <f t="shared" si="7"/>
        <v>-0.68973352192259085</v>
      </c>
      <c r="BP124" s="90"/>
    </row>
    <row r="125" spans="3:68" x14ac:dyDescent="0.25">
      <c r="C125" s="1" t="s">
        <v>24</v>
      </c>
      <c r="D125" s="90" t="e">
        <f t="shared" si="1"/>
        <v>#N/A</v>
      </c>
      <c r="E125" s="90" t="e">
        <f t="shared" si="7"/>
        <v>#N/A</v>
      </c>
      <c r="F125" s="90" t="e">
        <f t="shared" si="7"/>
        <v>#N/A</v>
      </c>
      <c r="G125" s="90" t="e">
        <f t="shared" si="7"/>
        <v>#N/A</v>
      </c>
      <c r="H125" s="90" t="e">
        <f t="shared" si="7"/>
        <v>#N/A</v>
      </c>
      <c r="I125" s="90" t="e">
        <f t="shared" si="7"/>
        <v>#N/A</v>
      </c>
      <c r="J125" s="90" t="e">
        <f t="shared" si="7"/>
        <v>#N/A</v>
      </c>
      <c r="K125" s="90" t="e">
        <f t="shared" si="7"/>
        <v>#N/A</v>
      </c>
      <c r="L125" s="90" t="e">
        <f t="shared" si="7"/>
        <v>#N/A</v>
      </c>
      <c r="M125" s="90" t="e">
        <f t="shared" si="7"/>
        <v>#N/A</v>
      </c>
      <c r="N125" s="90" t="e">
        <f t="shared" si="7"/>
        <v>#N/A</v>
      </c>
      <c r="O125" s="90" t="e">
        <f t="shared" si="7"/>
        <v>#N/A</v>
      </c>
      <c r="P125" s="90" t="e">
        <f t="shared" si="7"/>
        <v>#N/A</v>
      </c>
      <c r="Q125" s="90" t="e">
        <f t="shared" si="7"/>
        <v>#N/A</v>
      </c>
      <c r="R125" s="90" t="e">
        <f t="shared" si="7"/>
        <v>#N/A</v>
      </c>
      <c r="S125" s="90" t="e">
        <f t="shared" si="7"/>
        <v>#N/A</v>
      </c>
      <c r="T125" s="90" t="e">
        <f t="shared" si="7"/>
        <v>#N/A</v>
      </c>
      <c r="U125" s="90" t="e">
        <f t="shared" si="7"/>
        <v>#N/A</v>
      </c>
      <c r="V125" s="90" t="e">
        <f t="shared" si="7"/>
        <v>#N/A</v>
      </c>
      <c r="W125" s="90" t="e">
        <f t="shared" si="7"/>
        <v>#N/A</v>
      </c>
      <c r="X125" s="90" t="e">
        <f t="shared" si="7"/>
        <v>#N/A</v>
      </c>
      <c r="Y125" s="90" t="e">
        <f t="shared" si="7"/>
        <v>#N/A</v>
      </c>
      <c r="Z125" s="90" t="e">
        <f t="shared" si="7"/>
        <v>#N/A</v>
      </c>
      <c r="AA125" s="90" t="e">
        <f t="shared" si="7"/>
        <v>#N/A</v>
      </c>
      <c r="AB125" s="90" t="e">
        <f t="shared" si="7"/>
        <v>#N/A</v>
      </c>
      <c r="AC125" s="90" t="e">
        <f t="shared" si="7"/>
        <v>#N/A</v>
      </c>
      <c r="AD125" s="90" t="e">
        <f t="shared" si="7"/>
        <v>#N/A</v>
      </c>
      <c r="AE125" s="90" t="e">
        <f t="shared" si="7"/>
        <v>#N/A</v>
      </c>
      <c r="AF125" s="90" t="e">
        <f t="shared" si="7"/>
        <v>#N/A</v>
      </c>
      <c r="AG125" s="90" t="e">
        <f t="shared" si="7"/>
        <v>#N/A</v>
      </c>
      <c r="AH125" s="90" t="e">
        <f t="shared" si="7"/>
        <v>#N/A</v>
      </c>
      <c r="AI125" s="90" t="e">
        <f t="shared" si="7"/>
        <v>#N/A</v>
      </c>
      <c r="AJ125" s="90" t="e">
        <f t="shared" si="7"/>
        <v>#N/A</v>
      </c>
      <c r="AK125" s="90" t="e">
        <f t="shared" si="7"/>
        <v>#N/A</v>
      </c>
      <c r="AL125" s="90" t="e">
        <f t="shared" si="7"/>
        <v>#N/A</v>
      </c>
      <c r="AM125" s="90" t="e">
        <f t="shared" si="7"/>
        <v>#N/A</v>
      </c>
      <c r="AN125" s="90" t="e">
        <f t="shared" si="7"/>
        <v>#N/A</v>
      </c>
      <c r="AO125" s="90" t="e">
        <f t="shared" si="7"/>
        <v>#N/A</v>
      </c>
      <c r="AP125" s="90" t="e">
        <f t="shared" si="7"/>
        <v>#N/A</v>
      </c>
      <c r="AQ125" s="90" t="e">
        <f t="shared" si="7"/>
        <v>#N/A</v>
      </c>
      <c r="AR125" s="90" t="e">
        <f t="shared" si="7"/>
        <v>#N/A</v>
      </c>
      <c r="AS125" s="90" t="e">
        <f t="shared" si="7"/>
        <v>#N/A</v>
      </c>
      <c r="AT125" s="90" t="e">
        <f t="shared" si="7"/>
        <v>#N/A</v>
      </c>
      <c r="AU125" s="90" t="e">
        <f t="shared" si="7"/>
        <v>#N/A</v>
      </c>
      <c r="AV125" s="90" t="e">
        <f t="shared" si="7"/>
        <v>#N/A</v>
      </c>
      <c r="AW125" s="90" t="e">
        <f t="shared" si="7"/>
        <v>#N/A</v>
      </c>
      <c r="AX125" s="90" t="e">
        <f t="shared" si="7"/>
        <v>#N/A</v>
      </c>
      <c r="AY125" s="90" t="e">
        <f t="shared" si="7"/>
        <v>#N/A</v>
      </c>
      <c r="AZ125" s="90" t="e">
        <f t="shared" si="7"/>
        <v>#N/A</v>
      </c>
      <c r="BA125" s="90" t="e">
        <f t="shared" si="7"/>
        <v>#N/A</v>
      </c>
      <c r="BB125" s="90" t="e">
        <f t="shared" si="7"/>
        <v>#N/A</v>
      </c>
      <c r="BC125" s="90" t="e">
        <f t="shared" si="7"/>
        <v>#N/A</v>
      </c>
      <c r="BD125" s="90" t="e">
        <f t="shared" si="7"/>
        <v>#N/A</v>
      </c>
      <c r="BE125" s="90" t="e">
        <f t="shared" si="7"/>
        <v>#N/A</v>
      </c>
      <c r="BF125" s="90" t="e">
        <f t="shared" si="7"/>
        <v>#N/A</v>
      </c>
      <c r="BG125" s="90" t="e">
        <f t="shared" si="7"/>
        <v>#N/A</v>
      </c>
      <c r="BH125" s="90" t="e">
        <f t="shared" si="7"/>
        <v>#N/A</v>
      </c>
      <c r="BI125" s="90" t="e">
        <f t="shared" si="7"/>
        <v>#N/A</v>
      </c>
      <c r="BJ125" s="90" t="e">
        <f t="shared" si="7"/>
        <v>#N/A</v>
      </c>
      <c r="BK125" s="90" t="e">
        <f t="shared" si="7"/>
        <v>#N/A</v>
      </c>
      <c r="BL125" s="90" t="e">
        <f t="shared" si="7"/>
        <v>#N/A</v>
      </c>
      <c r="BM125" s="90" t="e">
        <f t="shared" si="7"/>
        <v>#N/A</v>
      </c>
      <c r="BN125" s="90" t="e">
        <f t="shared" si="7"/>
        <v>#N/A</v>
      </c>
      <c r="BO125" s="90" t="e">
        <f t="shared" si="7"/>
        <v>#N/A</v>
      </c>
      <c r="BP125" s="90"/>
    </row>
    <row r="126" spans="3:68" x14ac:dyDescent="0.25">
      <c r="C126" s="3" t="s">
        <v>7</v>
      </c>
      <c r="D126" s="90">
        <f t="shared" si="1"/>
        <v>-4.4522798444788236E-3</v>
      </c>
      <c r="E126" s="90">
        <f t="shared" si="7"/>
        <v>-1.9034818228362838E-3</v>
      </c>
      <c r="F126" s="90">
        <f t="shared" si="7"/>
        <v>2.6765573866271097E-2</v>
      </c>
      <c r="G126" s="90">
        <f t="shared" si="7"/>
        <v>2.7037396758622378E-2</v>
      </c>
      <c r="H126" s="90">
        <f t="shared" si="7"/>
        <v>2.7002242409537303E-3</v>
      </c>
      <c r="I126" s="90">
        <f t="shared" si="7"/>
        <v>-1.5636988459561962E-3</v>
      </c>
      <c r="J126" s="90">
        <f t="shared" si="7"/>
        <v>-1.7520550880476549E-2</v>
      </c>
      <c r="K126" s="90">
        <f t="shared" si="7"/>
        <v>0.10670663666824254</v>
      </c>
      <c r="L126" s="90">
        <f t="shared" si="7"/>
        <v>0.85468591520292136</v>
      </c>
      <c r="M126" s="90">
        <f t="shared" ref="E126:BO130" si="8">IF(ISBLANK(M31),NA(),M31)-IF(ISBLANK(M78),NA(),M78)</f>
        <v>3.0630184331791099E-2</v>
      </c>
      <c r="N126" s="90">
        <f t="shared" si="8"/>
        <v>-5.7671848215665733E-2</v>
      </c>
      <c r="O126" s="90">
        <f t="shared" si="8"/>
        <v>-74.721131882759266</v>
      </c>
      <c r="P126" s="90">
        <f t="shared" si="8"/>
        <v>73.640469809824339</v>
      </c>
      <c r="Q126" s="90">
        <f t="shared" si="8"/>
        <v>4.3988528496598178E-2</v>
      </c>
      <c r="R126" s="90">
        <f t="shared" si="8"/>
        <v>3.172660511143377E-2</v>
      </c>
      <c r="S126" s="90">
        <f t="shared" si="8"/>
        <v>4.8623938366855413E-2</v>
      </c>
      <c r="T126" s="90">
        <f t="shared" si="8"/>
        <v>1.2698156394472875</v>
      </c>
      <c r="U126" s="90">
        <f t="shared" si="8"/>
        <v>3.9683484973807026E-2</v>
      </c>
      <c r="V126" s="90">
        <f t="shared" si="8"/>
        <v>0.13516708547607337</v>
      </c>
      <c r="W126" s="90">
        <f t="shared" si="8"/>
        <v>-0.1301531206171056</v>
      </c>
      <c r="X126" s="90">
        <f t="shared" si="8"/>
        <v>2.8707288282479482E-2</v>
      </c>
      <c r="Y126" s="90">
        <f t="shared" si="8"/>
        <v>2.6173844972234406E-2</v>
      </c>
      <c r="Z126" s="90">
        <f t="shared" si="8"/>
        <v>-6.2129597163895767E-3</v>
      </c>
      <c r="AA126" s="90">
        <f t="shared" si="8"/>
        <v>-5.985839371983559E-2</v>
      </c>
      <c r="AB126" s="90">
        <f t="shared" si="8"/>
        <v>-0.18757738559035886</v>
      </c>
      <c r="AC126" s="90">
        <f t="shared" si="8"/>
        <v>-0.17174193548387251</v>
      </c>
      <c r="AD126" s="90">
        <f t="shared" si="8"/>
        <v>-8.2841631603557175E-2</v>
      </c>
      <c r="AE126" s="90">
        <f t="shared" si="8"/>
        <v>-0.81786031050333463</v>
      </c>
      <c r="AF126" s="90">
        <f t="shared" si="8"/>
        <v>-0.31952461560440781</v>
      </c>
      <c r="AG126" s="90">
        <f t="shared" si="8"/>
        <v>7.1407282681480666E-2</v>
      </c>
      <c r="AH126" s="90">
        <f t="shared" si="8"/>
        <v>6.182705119213594E-2</v>
      </c>
      <c r="AI126" s="90">
        <f t="shared" si="8"/>
        <v>6.9361972105326686E-2</v>
      </c>
      <c r="AJ126" s="90">
        <f t="shared" si="8"/>
        <v>-0.14181665238169927</v>
      </c>
      <c r="AK126" s="90">
        <f t="shared" si="8"/>
        <v>6.9182451061482908E-2</v>
      </c>
      <c r="AL126" s="90">
        <f t="shared" si="8"/>
        <v>1.7144050958393109E-2</v>
      </c>
      <c r="AM126" s="90">
        <f t="shared" si="8"/>
        <v>1.9591051114225877E-2</v>
      </c>
      <c r="AN126" s="90">
        <f t="shared" si="8"/>
        <v>-5.6791697956402487E-2</v>
      </c>
      <c r="AO126" s="90">
        <f t="shared" si="8"/>
        <v>-1.3574776476943384E-4</v>
      </c>
      <c r="AP126" s="90">
        <f t="shared" si="8"/>
        <v>-1.3887612981147157E-2</v>
      </c>
      <c r="AQ126" s="90">
        <f t="shared" si="8"/>
        <v>1.166627123266295E-2</v>
      </c>
      <c r="AR126" s="90">
        <f t="shared" si="8"/>
        <v>0.79699649368863845</v>
      </c>
      <c r="AS126" s="90">
        <f t="shared" si="8"/>
        <v>2.7265961636921077E-2</v>
      </c>
      <c r="AT126" s="90">
        <f t="shared" si="8"/>
        <v>6.0114412887649848E-2</v>
      </c>
      <c r="AU126" s="90">
        <f t="shared" si="8"/>
        <v>7.7805310113781445E-2</v>
      </c>
      <c r="AV126" s="90">
        <f t="shared" si="8"/>
        <v>-2.6141694865614795E-2</v>
      </c>
      <c r="AW126" s="90">
        <f t="shared" si="8"/>
        <v>-7.2985692622822285E-2</v>
      </c>
      <c r="AX126" s="90">
        <f t="shared" si="8"/>
        <v>9.8401447125880281E-2</v>
      </c>
      <c r="AY126" s="90">
        <f t="shared" si="8"/>
        <v>-0.18254698067633512</v>
      </c>
      <c r="AZ126" s="90">
        <f t="shared" si="8"/>
        <v>0.4889102931573106</v>
      </c>
      <c r="BA126" s="90">
        <f t="shared" si="8"/>
        <v>3.6680353696485923E-2</v>
      </c>
      <c r="BB126" s="90">
        <f t="shared" si="8"/>
        <v>2.0654990455041258</v>
      </c>
      <c r="BC126" s="90">
        <f t="shared" si="8"/>
        <v>1.2020695924887193</v>
      </c>
      <c r="BD126" s="90">
        <f t="shared" si="8"/>
        <v>-1.9491860313593179E-2</v>
      </c>
      <c r="BE126" s="90">
        <f t="shared" si="8"/>
        <v>-0.52437223947550038</v>
      </c>
      <c r="BF126" s="90">
        <f t="shared" si="8"/>
        <v>-2.5636666666666699</v>
      </c>
      <c r="BG126" s="90">
        <f t="shared" si="8"/>
        <v>1.5303333333333384</v>
      </c>
      <c r="BH126" s="90">
        <f t="shared" si="8"/>
        <v>39.745582545965149</v>
      </c>
      <c r="BI126" s="90">
        <f t="shared" si="8"/>
        <v>1.4166122596041291</v>
      </c>
      <c r="BJ126" s="90">
        <f t="shared" si="8"/>
        <v>-13.283183042227201</v>
      </c>
      <c r="BK126" s="90">
        <f t="shared" si="8"/>
        <v>-17.651345096408754</v>
      </c>
      <c r="BL126" s="90">
        <f t="shared" si="8"/>
        <v>37.139582545965155</v>
      </c>
      <c r="BM126" s="90">
        <f t="shared" si="8"/>
        <v>-0.53972107372920419</v>
      </c>
      <c r="BN126" s="90">
        <f t="shared" si="8"/>
        <v>-12.874016375560537</v>
      </c>
      <c r="BO126" s="90">
        <f t="shared" si="8"/>
        <v>-25.691511763075418</v>
      </c>
      <c r="BP126" s="90"/>
    </row>
    <row r="127" spans="3:68" x14ac:dyDescent="0.25">
      <c r="C127" s="3" t="s">
        <v>8</v>
      </c>
      <c r="D127" s="90">
        <f t="shared" si="1"/>
        <v>1.253555257797359</v>
      </c>
      <c r="E127" s="90">
        <f t="shared" si="8"/>
        <v>1.7954334455866778</v>
      </c>
      <c r="F127" s="90">
        <f t="shared" si="8"/>
        <v>0.8508137174692223</v>
      </c>
      <c r="G127" s="90">
        <f t="shared" si="8"/>
        <v>1.8501664153810182</v>
      </c>
      <c r="H127" s="90">
        <f t="shared" si="8"/>
        <v>0.41287285770442494</v>
      </c>
      <c r="I127" s="90">
        <f t="shared" si="8"/>
        <v>0.82128412895348646</v>
      </c>
      <c r="J127" s="90">
        <f t="shared" si="8"/>
        <v>0.45006746727442959</v>
      </c>
      <c r="K127" s="90">
        <f t="shared" si="8"/>
        <v>0.41268801036308389</v>
      </c>
      <c r="L127" s="90">
        <f t="shared" si="8"/>
        <v>0.75446782820188929</v>
      </c>
      <c r="M127" s="90">
        <f t="shared" si="8"/>
        <v>1.7282178010161822</v>
      </c>
      <c r="N127" s="90">
        <f t="shared" si="8"/>
        <v>2.2258531732117852</v>
      </c>
      <c r="O127" s="90">
        <f t="shared" si="8"/>
        <v>-45.316608630720495</v>
      </c>
      <c r="P127" s="90">
        <f t="shared" si="8"/>
        <v>44.328979061477334</v>
      </c>
      <c r="Q127" s="90">
        <f t="shared" si="8"/>
        <v>1.1086735495687208</v>
      </c>
      <c r="R127" s="90">
        <f t="shared" si="8"/>
        <v>-5.7459823515660702E-2</v>
      </c>
      <c r="S127" s="90">
        <f t="shared" si="8"/>
        <v>2.911554006934697</v>
      </c>
      <c r="T127" s="90">
        <f t="shared" si="8"/>
        <v>3.8863828595174894</v>
      </c>
      <c r="U127" s="90">
        <f t="shared" si="8"/>
        <v>-1.8576139863720513</v>
      </c>
      <c r="V127" s="90">
        <f t="shared" si="8"/>
        <v>-1.8761368824996012</v>
      </c>
      <c r="W127" s="90">
        <f t="shared" si="8"/>
        <v>-0.61369573788375398</v>
      </c>
      <c r="X127" s="90">
        <f t="shared" si="8"/>
        <v>-4.833949561909634E-3</v>
      </c>
      <c r="Y127" s="90">
        <f t="shared" si="8"/>
        <v>0.44845146520146706</v>
      </c>
      <c r="Z127" s="90">
        <f t="shared" si="8"/>
        <v>0.8275418712014897</v>
      </c>
      <c r="AA127" s="90">
        <f t="shared" si="8"/>
        <v>-0.11876579479078586</v>
      </c>
      <c r="AB127" s="90">
        <f t="shared" si="8"/>
        <v>2.1146984460918468</v>
      </c>
      <c r="AC127" s="90">
        <f t="shared" si="8"/>
        <v>-0.45598631297017533</v>
      </c>
      <c r="AD127" s="90">
        <f t="shared" si="8"/>
        <v>-0.11592721482000812</v>
      </c>
      <c r="AE127" s="90">
        <f t="shared" si="8"/>
        <v>-0.68263485913533728</v>
      </c>
      <c r="AF127" s="90">
        <f t="shared" si="8"/>
        <v>-3.1373358860764178</v>
      </c>
      <c r="AG127" s="90">
        <f t="shared" si="8"/>
        <v>0.29133735082122314</v>
      </c>
      <c r="AH127" s="90">
        <f t="shared" si="8"/>
        <v>-1.6430671458625454</v>
      </c>
      <c r="AI127" s="90">
        <f t="shared" si="8"/>
        <v>-1.4764253642667846</v>
      </c>
      <c r="AJ127" s="90">
        <f t="shared" si="8"/>
        <v>1.6948219248350682</v>
      </c>
      <c r="AK127" s="90">
        <f t="shared" si="8"/>
        <v>-2.3431788372917417</v>
      </c>
      <c r="AL127" s="90">
        <f t="shared" si="8"/>
        <v>-0.41858058672276499</v>
      </c>
      <c r="AM127" s="90">
        <f t="shared" si="8"/>
        <v>-4.1200268817208396E-2</v>
      </c>
      <c r="AN127" s="90">
        <f t="shared" si="8"/>
        <v>0.40876935358092581</v>
      </c>
      <c r="AO127" s="90">
        <f t="shared" si="8"/>
        <v>0.52823749458426761</v>
      </c>
      <c r="AP127" s="90">
        <f t="shared" si="8"/>
        <v>-0.26048905251675336</v>
      </c>
      <c r="AQ127" s="90">
        <f t="shared" si="8"/>
        <v>0.11216623227365297</v>
      </c>
      <c r="AR127" s="90">
        <f t="shared" si="8"/>
        <v>2.5794331927098391</v>
      </c>
      <c r="AS127" s="90">
        <f t="shared" si="8"/>
        <v>-1.3874178391130485</v>
      </c>
      <c r="AT127" s="90">
        <f t="shared" si="8"/>
        <v>-0.15642393252297992</v>
      </c>
      <c r="AU127" s="90">
        <f t="shared" si="8"/>
        <v>-0.97515298036465481</v>
      </c>
      <c r="AV127" s="90">
        <f t="shared" si="8"/>
        <v>-1.616115396603135E-2</v>
      </c>
      <c r="AW127" s="90">
        <f t="shared" si="8"/>
        <v>0.13445076607979445</v>
      </c>
      <c r="AX127" s="90">
        <f t="shared" si="8"/>
        <v>-0.43975920406732172</v>
      </c>
      <c r="AY127" s="90">
        <f t="shared" si="8"/>
        <v>0.70569673662591015</v>
      </c>
      <c r="AZ127" s="90">
        <f t="shared" si="8"/>
        <v>4.331495646793865</v>
      </c>
      <c r="BA127" s="90">
        <f t="shared" si="8"/>
        <v>0.32549263188918687</v>
      </c>
      <c r="BB127" s="90">
        <f t="shared" si="8"/>
        <v>-0.55460779959483375</v>
      </c>
      <c r="BC127" s="90">
        <f t="shared" si="8"/>
        <v>1.3154836892709483</v>
      </c>
      <c r="BD127" s="90">
        <f t="shared" si="8"/>
        <v>2.4745890580498475</v>
      </c>
      <c r="BE127" s="90">
        <f t="shared" si="8"/>
        <v>-0.34673148148148414</v>
      </c>
      <c r="BF127" s="90">
        <f t="shared" si="8"/>
        <v>-8.0233333333333299</v>
      </c>
      <c r="BG127" s="90" t="e">
        <f t="shared" si="8"/>
        <v>#N/A</v>
      </c>
      <c r="BH127" s="90" t="e">
        <f t="shared" si="8"/>
        <v>#N/A</v>
      </c>
      <c r="BI127" s="90" t="e">
        <f t="shared" si="8"/>
        <v>#N/A</v>
      </c>
      <c r="BJ127" s="90" t="e">
        <f t="shared" si="8"/>
        <v>#N/A</v>
      </c>
      <c r="BK127" s="90" t="e">
        <f t="shared" si="8"/>
        <v>#N/A</v>
      </c>
      <c r="BL127" s="90" t="e">
        <f t="shared" si="8"/>
        <v>#N/A</v>
      </c>
      <c r="BM127" s="90" t="e">
        <f t="shared" si="8"/>
        <v>#N/A</v>
      </c>
      <c r="BN127" s="90" t="e">
        <f t="shared" si="8"/>
        <v>#N/A</v>
      </c>
      <c r="BO127" s="90" t="e">
        <f t="shared" si="8"/>
        <v>#N/A</v>
      </c>
      <c r="BP127" s="90"/>
    </row>
    <row r="128" spans="3:68" x14ac:dyDescent="0.25">
      <c r="C128" s="3" t="s">
        <v>9</v>
      </c>
      <c r="D128" s="90">
        <f t="shared" si="1"/>
        <v>0.60294008381754338</v>
      </c>
      <c r="E128" s="90">
        <f t="shared" si="8"/>
        <v>2.3098600476584465</v>
      </c>
      <c r="F128" s="90">
        <f t="shared" si="8"/>
        <v>0.12953220936574894</v>
      </c>
      <c r="G128" s="90">
        <f t="shared" si="8"/>
        <v>1.9621645356085509</v>
      </c>
      <c r="H128" s="90">
        <f t="shared" si="8"/>
        <v>0.84786005814001797</v>
      </c>
      <c r="I128" s="90">
        <f t="shared" si="8"/>
        <v>1.2781030564417719</v>
      </c>
      <c r="J128" s="90">
        <f t="shared" si="8"/>
        <v>-0.42772985818917775</v>
      </c>
      <c r="K128" s="90">
        <f t="shared" si="8"/>
        <v>1.61536451807698</v>
      </c>
      <c r="L128" s="90">
        <f t="shared" si="8"/>
        <v>1.1475505632360594</v>
      </c>
      <c r="M128" s="90">
        <f t="shared" si="8"/>
        <v>1.1229191480562477</v>
      </c>
      <c r="N128" s="90">
        <f t="shared" si="8"/>
        <v>0.82158436574724192</v>
      </c>
      <c r="O128" s="90">
        <f t="shared" si="8"/>
        <v>-65.989752597267668</v>
      </c>
      <c r="P128" s="90">
        <f t="shared" si="8"/>
        <v>73.165397406999233</v>
      </c>
      <c r="Q128" s="90">
        <f t="shared" si="8"/>
        <v>1.8715750226475976</v>
      </c>
      <c r="R128" s="90">
        <f t="shared" si="8"/>
        <v>0.61956798348136033</v>
      </c>
      <c r="S128" s="90">
        <f t="shared" si="8"/>
        <v>2.7281165712170861</v>
      </c>
      <c r="T128" s="90">
        <f t="shared" si="8"/>
        <v>3.5247857949865349</v>
      </c>
      <c r="U128" s="90">
        <f t="shared" si="8"/>
        <v>-0.31500057111346536</v>
      </c>
      <c r="V128" s="90">
        <f t="shared" si="8"/>
        <v>-0.91387136707183814</v>
      </c>
      <c r="W128" s="90">
        <f t="shared" si="8"/>
        <v>1.0040851955742554</v>
      </c>
      <c r="X128" s="90">
        <f t="shared" si="8"/>
        <v>2.4827684352169861</v>
      </c>
      <c r="Y128" s="90">
        <f t="shared" si="8"/>
        <v>0.73667735042734961</v>
      </c>
      <c r="Z128" s="90">
        <f t="shared" si="8"/>
        <v>0.2875424945457361</v>
      </c>
      <c r="AA128" s="90">
        <f t="shared" si="8"/>
        <v>-0.3924255335369935</v>
      </c>
      <c r="AB128" s="90">
        <f t="shared" si="8"/>
        <v>1.4418599803720795</v>
      </c>
      <c r="AC128" s="90">
        <f t="shared" si="8"/>
        <v>0.71705157745480719</v>
      </c>
      <c r="AD128" s="90">
        <f t="shared" si="8"/>
        <v>0.69282352540128045</v>
      </c>
      <c r="AE128" s="90">
        <f t="shared" si="8"/>
        <v>0.46156087596562401</v>
      </c>
      <c r="AF128" s="90">
        <f t="shared" si="8"/>
        <v>-3.5431081446603798</v>
      </c>
      <c r="AG128" s="90">
        <f t="shared" si="8"/>
        <v>0.76670861396668499</v>
      </c>
      <c r="AH128" s="90">
        <f t="shared" si="8"/>
        <v>-1.6953102890758913</v>
      </c>
      <c r="AI128" s="90">
        <f t="shared" si="8"/>
        <v>-0.41676719845720456</v>
      </c>
      <c r="AJ128" s="90">
        <f t="shared" si="8"/>
        <v>1.3680564748027848</v>
      </c>
      <c r="AK128" s="90">
        <f t="shared" si="8"/>
        <v>1.11706379731379</v>
      </c>
      <c r="AL128" s="90">
        <f t="shared" si="8"/>
        <v>0.44368150031166564</v>
      </c>
      <c r="AM128" s="90">
        <f t="shared" si="8"/>
        <v>-0.26571726273958518</v>
      </c>
      <c r="AN128" s="90">
        <f t="shared" si="8"/>
        <v>0.11208848362950263</v>
      </c>
      <c r="AO128" s="90">
        <f t="shared" si="8"/>
        <v>0.40573412698412525</v>
      </c>
      <c r="AP128" s="90">
        <f t="shared" si="8"/>
        <v>-0.49325851254480213</v>
      </c>
      <c r="AQ128" s="90">
        <f t="shared" si="8"/>
        <v>-0.86339748714352282</v>
      </c>
      <c r="AR128" s="90">
        <f t="shared" si="8"/>
        <v>3.1428662926601163</v>
      </c>
      <c r="AS128" s="90">
        <f t="shared" si="8"/>
        <v>-0.9856555978627668</v>
      </c>
      <c r="AT128" s="90">
        <f t="shared" si="8"/>
        <v>0.30120827489481172</v>
      </c>
      <c r="AU128" s="90">
        <f t="shared" si="8"/>
        <v>-0.42450009350163498</v>
      </c>
      <c r="AV128" s="90">
        <f t="shared" si="8"/>
        <v>-5.6769821493503656</v>
      </c>
      <c r="AW128" s="90">
        <f t="shared" si="8"/>
        <v>0.6162276084131193</v>
      </c>
      <c r="AX128" s="90">
        <f t="shared" si="8"/>
        <v>1.2724735078705862E-2</v>
      </c>
      <c r="AY128" s="90">
        <f t="shared" si="8"/>
        <v>-2.9728589051960199</v>
      </c>
      <c r="AZ128" s="90">
        <f t="shared" si="8"/>
        <v>2.5127837765385124</v>
      </c>
      <c r="BA128" s="90">
        <f t="shared" si="8"/>
        <v>0.18537614205716579</v>
      </c>
      <c r="BB128" s="90">
        <f t="shared" si="8"/>
        <v>-0.32964272635188152</v>
      </c>
      <c r="BC128" s="90">
        <f t="shared" si="8"/>
        <v>1.379638418492366</v>
      </c>
      <c r="BD128" s="90">
        <f t="shared" si="8"/>
        <v>2.4700221393202781</v>
      </c>
      <c r="BE128" s="90">
        <f t="shared" si="8"/>
        <v>-4.0304861111111059</v>
      </c>
      <c r="BF128" s="90">
        <f t="shared" si="8"/>
        <v>-10.070222222222224</v>
      </c>
      <c r="BG128" s="90">
        <f t="shared" si="8"/>
        <v>-10.169666666666672</v>
      </c>
      <c r="BH128" s="90">
        <f t="shared" si="8"/>
        <v>23.712717080053267</v>
      </c>
      <c r="BI128" s="90">
        <f t="shared" si="8"/>
        <v>-5.304937078420835</v>
      </c>
      <c r="BJ128" s="90">
        <f t="shared" si="8"/>
        <v>-18.159665156364852</v>
      </c>
      <c r="BK128" s="90">
        <f t="shared" si="8"/>
        <v>-23.389448178467568</v>
      </c>
      <c r="BL128" s="90">
        <f t="shared" si="8"/>
        <v>27.460217080053255</v>
      </c>
      <c r="BM128" s="90">
        <f t="shared" si="8"/>
        <v>-3.446937078420838</v>
      </c>
      <c r="BN128" s="90">
        <f t="shared" si="8"/>
        <v>-11.800498489698192</v>
      </c>
      <c r="BO128" s="90">
        <f t="shared" si="8"/>
        <v>-24.255614845134239</v>
      </c>
      <c r="BP128" s="90"/>
    </row>
    <row r="129" spans="3:68" x14ac:dyDescent="0.25">
      <c r="C129" s="3" t="s">
        <v>10</v>
      </c>
      <c r="D129" s="90">
        <f t="shared" si="1"/>
        <v>8.0525162885798807E-2</v>
      </c>
      <c r="E129" s="90">
        <f t="shared" si="8"/>
        <v>2.7141994663042865</v>
      </c>
      <c r="F129" s="90">
        <f t="shared" si="8"/>
        <v>0.32647474481846217</v>
      </c>
      <c r="G129" s="90">
        <f t="shared" si="8"/>
        <v>2.2372789601839074</v>
      </c>
      <c r="H129" s="90">
        <f t="shared" si="8"/>
        <v>0.94169324545453392</v>
      </c>
      <c r="I129" s="90">
        <f t="shared" si="8"/>
        <v>1.1794866477608466</v>
      </c>
      <c r="J129" s="90">
        <f t="shared" si="8"/>
        <v>-0.53471463495403171</v>
      </c>
      <c r="K129" s="90">
        <f t="shared" si="8"/>
        <v>1.232151392784786</v>
      </c>
      <c r="L129" s="90">
        <f t="shared" si="8"/>
        <v>1.2980075163071021</v>
      </c>
      <c r="M129" s="90">
        <f t="shared" si="8"/>
        <v>0.95615374768600958</v>
      </c>
      <c r="N129" s="90">
        <f t="shared" si="8"/>
        <v>0.94707062295465505</v>
      </c>
      <c r="O129" s="90">
        <f t="shared" si="8"/>
        <v>-66.354134324190937</v>
      </c>
      <c r="P129" s="90">
        <f t="shared" si="8"/>
        <v>74.906155509917852</v>
      </c>
      <c r="Q129" s="90">
        <f t="shared" si="8"/>
        <v>1.9503034975776998</v>
      </c>
      <c r="R129" s="90">
        <f t="shared" si="8"/>
        <v>0.46320843073087659</v>
      </c>
      <c r="S129" s="90">
        <f t="shared" si="8"/>
        <v>2.8092155563347276</v>
      </c>
      <c r="T129" s="90">
        <f t="shared" si="8"/>
        <v>3.56297526937378</v>
      </c>
      <c r="U129" s="90">
        <f t="shared" si="8"/>
        <v>-0.49597702745283456</v>
      </c>
      <c r="V129" s="90">
        <f t="shared" si="8"/>
        <v>-1.8833939535608586</v>
      </c>
      <c r="W129" s="90">
        <f t="shared" si="8"/>
        <v>1.1121220878136207</v>
      </c>
      <c r="X129" s="90">
        <f t="shared" si="8"/>
        <v>1.9861748895580611</v>
      </c>
      <c r="Y129" s="90">
        <f t="shared" si="8"/>
        <v>0.16727747252746994</v>
      </c>
      <c r="Z129" s="90">
        <f t="shared" si="8"/>
        <v>-0.67069690860214237</v>
      </c>
      <c r="AA129" s="90">
        <f t="shared" si="8"/>
        <v>-0.20401584469862044</v>
      </c>
      <c r="AB129" s="90">
        <f t="shared" si="8"/>
        <v>1.5482317412082303</v>
      </c>
      <c r="AC129" s="90">
        <f t="shared" si="8"/>
        <v>0.29414829256764818</v>
      </c>
      <c r="AD129" s="90">
        <f t="shared" si="8"/>
        <v>1.2795463904472548</v>
      </c>
      <c r="AE129" s="90">
        <f t="shared" si="8"/>
        <v>0.84554001703063619</v>
      </c>
      <c r="AF129" s="90">
        <f t="shared" si="8"/>
        <v>-3.9654494812885375</v>
      </c>
      <c r="AG129" s="90">
        <f t="shared" si="8"/>
        <v>0.48595281421086511</v>
      </c>
      <c r="AH129" s="90">
        <f t="shared" si="8"/>
        <v>-2.6590794569113285</v>
      </c>
      <c r="AI129" s="90">
        <f t="shared" si="8"/>
        <v>-0.21220734961820042</v>
      </c>
      <c r="AJ129" s="90">
        <f t="shared" si="8"/>
        <v>1.3727375915536868</v>
      </c>
      <c r="AK129" s="90">
        <f t="shared" si="8"/>
        <v>0.79688917444563145</v>
      </c>
      <c r="AL129" s="90">
        <f t="shared" si="8"/>
        <v>0.4303338495402862</v>
      </c>
      <c r="AM129" s="90">
        <f t="shared" si="8"/>
        <v>-0.2525819775596112</v>
      </c>
      <c r="AN129" s="90">
        <f t="shared" si="8"/>
        <v>-0.7633333297902567</v>
      </c>
      <c r="AO129" s="90">
        <f t="shared" si="8"/>
        <v>0.3488814447201527</v>
      </c>
      <c r="AP129" s="90">
        <f t="shared" si="8"/>
        <v>-1.136139414835597</v>
      </c>
      <c r="AQ129" s="90">
        <f t="shared" si="8"/>
        <v>-0.79494169783387392</v>
      </c>
      <c r="AR129" s="90">
        <f t="shared" si="8"/>
        <v>3.6372242137699757</v>
      </c>
      <c r="AS129" s="90">
        <f t="shared" si="8"/>
        <v>-0.91785175564763932</v>
      </c>
      <c r="AT129" s="90">
        <f t="shared" si="8"/>
        <v>-0.14996114812218053</v>
      </c>
      <c r="AU129" s="90">
        <f t="shared" si="8"/>
        <v>-0.47220546594982693</v>
      </c>
      <c r="AV129" s="90">
        <f t="shared" si="8"/>
        <v>-5.1015637981700763</v>
      </c>
      <c r="AW129" s="90">
        <f t="shared" si="8"/>
        <v>0.23227854582693652</v>
      </c>
      <c r="AX129" s="90">
        <f t="shared" si="8"/>
        <v>-0.23652548893565495</v>
      </c>
      <c r="AY129" s="90">
        <f t="shared" si="8"/>
        <v>-2.9634238629533201</v>
      </c>
      <c r="AZ129" s="90">
        <f t="shared" si="8"/>
        <v>2.5222175313712683</v>
      </c>
      <c r="BA129" s="90">
        <f t="shared" si="8"/>
        <v>0.22782812302638789</v>
      </c>
      <c r="BB129" s="90">
        <f t="shared" si="8"/>
        <v>-1.0591289640797861</v>
      </c>
      <c r="BC129" s="90">
        <f t="shared" si="8"/>
        <v>0.4279763788804587</v>
      </c>
      <c r="BD129" s="90">
        <f t="shared" si="8"/>
        <v>1.7229143470625345</v>
      </c>
      <c r="BE129" s="90">
        <f t="shared" si="8"/>
        <v>-4.3410925925925952</v>
      </c>
      <c r="BF129" s="90">
        <f t="shared" si="8"/>
        <v>-10.546888888888891</v>
      </c>
      <c r="BG129" s="90">
        <f t="shared" si="8"/>
        <v>-10.419666666666664</v>
      </c>
      <c r="BH129" s="90">
        <f t="shared" si="8"/>
        <v>25.113028780393819</v>
      </c>
      <c r="BI129" s="90">
        <f t="shared" si="8"/>
        <v>-4.8402580551307253</v>
      </c>
      <c r="BJ129" s="90">
        <f t="shared" si="8"/>
        <v>-17.789483662576266</v>
      </c>
      <c r="BK129" s="90">
        <f t="shared" si="8"/>
        <v>-23.391287062553509</v>
      </c>
      <c r="BL129" s="90">
        <f t="shared" si="8"/>
        <v>27.010528780393827</v>
      </c>
      <c r="BM129" s="90">
        <f t="shared" si="8"/>
        <v>-2.065591388464064</v>
      </c>
      <c r="BN129" s="90">
        <f t="shared" si="8"/>
        <v>-11.192316995909607</v>
      </c>
      <c r="BO129" s="90">
        <f t="shared" si="8"/>
        <v>-24.957787062553507</v>
      </c>
      <c r="BP129" s="90"/>
    </row>
    <row r="130" spans="3:68" x14ac:dyDescent="0.25">
      <c r="C130" s="3" t="s">
        <v>11</v>
      </c>
      <c r="D130" s="90">
        <f t="shared" si="1"/>
        <v>0.71978840211381367</v>
      </c>
      <c r="E130" s="90">
        <f t="shared" si="8"/>
        <v>0.15769737749616297</v>
      </c>
      <c r="F130" s="90">
        <f t="shared" si="8"/>
        <v>-8.9536631506163644E-2</v>
      </c>
      <c r="G130" s="90">
        <f t="shared" si="8"/>
        <v>0.78158800497019243</v>
      </c>
      <c r="H130" s="90">
        <f t="shared" si="8"/>
        <v>1.2476110517012842</v>
      </c>
      <c r="I130" s="90">
        <f t="shared" si="8"/>
        <v>1.8342827765518486</v>
      </c>
      <c r="J130" s="90">
        <f t="shared" si="8"/>
        <v>-0.56613683357683087</v>
      </c>
      <c r="K130" s="90">
        <f t="shared" si="8"/>
        <v>0.42308182640446645</v>
      </c>
      <c r="L130" s="90">
        <f t="shared" ref="E130:BO134" si="9">IF(ISBLANK(L35),NA(),L35)-IF(ISBLANK(L82),NA(),L82)</f>
        <v>0.15556210013059513</v>
      </c>
      <c r="M130" s="90">
        <f t="shared" si="9"/>
        <v>1.4643977853499486</v>
      </c>
      <c r="N130" s="90">
        <f t="shared" si="9"/>
        <v>0.2061430100368149</v>
      </c>
      <c r="O130" s="90">
        <f t="shared" si="9"/>
        <v>-45.325997003915383</v>
      </c>
      <c r="P130" s="90">
        <f t="shared" si="9"/>
        <v>44.761533589225181</v>
      </c>
      <c r="Q130" s="90">
        <f t="shared" si="9"/>
        <v>1.7392477495175029</v>
      </c>
      <c r="R130" s="90">
        <f t="shared" si="9"/>
        <v>0.34918187534088929</v>
      </c>
      <c r="S130" s="90">
        <f t="shared" si="9"/>
        <v>0.29819180733305473</v>
      </c>
      <c r="T130" s="90">
        <f t="shared" si="9"/>
        <v>1.1297508837286685</v>
      </c>
      <c r="U130" s="90">
        <f t="shared" si="9"/>
        <v>0.59967208705050723</v>
      </c>
      <c r="V130" s="90">
        <f t="shared" si="9"/>
        <v>-3.9722047354675993E-2</v>
      </c>
      <c r="W130" s="90">
        <f t="shared" si="9"/>
        <v>1.266504563225606</v>
      </c>
      <c r="X130" s="90">
        <f t="shared" si="9"/>
        <v>1.2658151516159926</v>
      </c>
      <c r="Y130" s="90">
        <f t="shared" si="9"/>
        <v>-0.24301153864370306</v>
      </c>
      <c r="Z130" s="90">
        <f t="shared" si="9"/>
        <v>-0.12069149250525513</v>
      </c>
      <c r="AA130" s="90">
        <f t="shared" si="9"/>
        <v>0.47967983036269857</v>
      </c>
      <c r="AB130" s="90">
        <f t="shared" si="9"/>
        <v>-0.25413725901808348</v>
      </c>
      <c r="AC130" s="90">
        <f t="shared" si="9"/>
        <v>0.49831380310863693</v>
      </c>
      <c r="AD130" s="90">
        <f t="shared" si="9"/>
        <v>-3.8753709852738183E-2</v>
      </c>
      <c r="AE130" s="90">
        <f t="shared" si="9"/>
        <v>-1.0329566686107157</v>
      </c>
      <c r="AF130" s="90">
        <f t="shared" si="9"/>
        <v>-2.2888810909774691</v>
      </c>
      <c r="AG130" s="90">
        <f t="shared" si="9"/>
        <v>3.3127691273655557E-3</v>
      </c>
      <c r="AH130" s="90">
        <f t="shared" si="9"/>
        <v>7.0268556953198669E-2</v>
      </c>
      <c r="AI130" s="90">
        <f t="shared" si="9"/>
        <v>1.1110138798776781</v>
      </c>
      <c r="AJ130" s="90">
        <f t="shared" si="9"/>
        <v>0.17308774179829811</v>
      </c>
      <c r="AK130" s="90">
        <f t="shared" si="9"/>
        <v>0.57086874676041788</v>
      </c>
      <c r="AL130" s="90">
        <f t="shared" si="9"/>
        <v>-0.2114434603932871</v>
      </c>
      <c r="AM130" s="90">
        <f t="shared" si="9"/>
        <v>0.13229293283075805</v>
      </c>
      <c r="AN130" s="90">
        <f t="shared" si="9"/>
        <v>0.50281625039051292</v>
      </c>
      <c r="AO130" s="90">
        <f t="shared" si="9"/>
        <v>1.7119663732341195E-3</v>
      </c>
      <c r="AP130" s="90">
        <f t="shared" si="9"/>
        <v>-0.34842583377162484</v>
      </c>
      <c r="AQ130" s="90">
        <f t="shared" si="9"/>
        <v>-0.12083861833509246</v>
      </c>
      <c r="AR130" s="90">
        <f t="shared" si="9"/>
        <v>0.89864912779485451</v>
      </c>
      <c r="AS130" s="90">
        <f t="shared" si="9"/>
        <v>0.67340216857693136</v>
      </c>
      <c r="AT130" s="90">
        <f t="shared" si="9"/>
        <v>-0.45516219189749663</v>
      </c>
      <c r="AU130" s="90">
        <f t="shared" si="9"/>
        <v>-1.1810448123538961</v>
      </c>
      <c r="AV130" s="90">
        <f t="shared" si="9"/>
        <v>0.32498393368338441</v>
      </c>
      <c r="AW130" s="90">
        <f t="shared" si="9"/>
        <v>1.6293741596311477</v>
      </c>
      <c r="AX130" s="90">
        <f t="shared" si="9"/>
        <v>1.1260546346131122</v>
      </c>
      <c r="AY130" s="90">
        <f t="shared" si="9"/>
        <v>-2.1431647487675178</v>
      </c>
      <c r="AZ130" s="90">
        <f t="shared" si="9"/>
        <v>1.777712619004582</v>
      </c>
      <c r="BA130" s="90">
        <f t="shared" si="9"/>
        <v>0.38104562593543889</v>
      </c>
      <c r="BB130" s="90">
        <f t="shared" si="9"/>
        <v>-0.34253680064184877</v>
      </c>
      <c r="BC130" s="90">
        <f t="shared" si="9"/>
        <v>1.4574871208888567</v>
      </c>
      <c r="BD130" s="90">
        <f t="shared" si="9"/>
        <v>1.6401464683703999</v>
      </c>
      <c r="BE130" s="90">
        <f t="shared" si="9"/>
        <v>-2.7763568714719113</v>
      </c>
      <c r="BF130" s="90">
        <f t="shared" si="9"/>
        <v>-8.2746666666666684</v>
      </c>
      <c r="BG130" s="90">
        <f t="shared" si="9"/>
        <v>-2.6030000000000015</v>
      </c>
      <c r="BH130" s="90">
        <f t="shared" si="9"/>
        <v>11.865978842568502</v>
      </c>
      <c r="BI130" s="90">
        <f t="shared" si="9"/>
        <v>-1.5402697114723409</v>
      </c>
      <c r="BJ130" s="90">
        <f t="shared" si="9"/>
        <v>-8.7913395114772683</v>
      </c>
      <c r="BK130" s="90">
        <f t="shared" si="9"/>
        <v>-9.6090362860188847</v>
      </c>
      <c r="BL130" s="90">
        <f t="shared" si="9"/>
        <v>13.825940597187561</v>
      </c>
      <c r="BM130" s="90">
        <f t="shared" si="9"/>
        <v>-2.2173129994736556</v>
      </c>
      <c r="BN130" s="90">
        <f t="shared" si="9"/>
        <v>-8.8176653131456675</v>
      </c>
      <c r="BO130" s="90">
        <f t="shared" si="9"/>
        <v>-10.878362284434907</v>
      </c>
      <c r="BP130" s="90"/>
    </row>
    <row r="131" spans="3:68" x14ac:dyDescent="0.25">
      <c r="C131" s="3" t="s">
        <v>12</v>
      </c>
      <c r="D131" s="90">
        <f t="shared" si="1"/>
        <v>2.5249283239015412</v>
      </c>
      <c r="E131" s="90">
        <f t="shared" si="9"/>
        <v>0.60322574499783599</v>
      </c>
      <c r="F131" s="90">
        <f t="shared" si="9"/>
        <v>9.3320562894447789E-2</v>
      </c>
      <c r="G131" s="90">
        <f t="shared" si="9"/>
        <v>1.0842816215287527</v>
      </c>
      <c r="H131" s="90">
        <f t="shared" si="9"/>
        <v>0.33867886358077115</v>
      </c>
      <c r="I131" s="90">
        <f t="shared" si="9"/>
        <v>1.7965078198579967</v>
      </c>
      <c r="J131" s="90">
        <f t="shared" si="9"/>
        <v>-1.059725621995284</v>
      </c>
      <c r="K131" s="90">
        <f t="shared" si="9"/>
        <v>0.81167408099483396</v>
      </c>
      <c r="L131" s="90">
        <f t="shared" si="9"/>
        <v>-0.24830543209034772</v>
      </c>
      <c r="M131" s="90">
        <f t="shared" si="9"/>
        <v>1.2759041624867038</v>
      </c>
      <c r="N131" s="90">
        <f t="shared" si="9"/>
        <v>0.44878217633824846</v>
      </c>
      <c r="O131" s="90">
        <f t="shared" si="9"/>
        <v>-57.204456924594815</v>
      </c>
      <c r="P131" s="90">
        <f t="shared" si="9"/>
        <v>60.61021002862946</v>
      </c>
      <c r="Q131" s="90">
        <f t="shared" si="9"/>
        <v>2.2083171747951837</v>
      </c>
      <c r="R131" s="90">
        <f t="shared" si="9"/>
        <v>-0.38244099260265685</v>
      </c>
      <c r="S131" s="90">
        <f t="shared" si="9"/>
        <v>0.39556920088045189</v>
      </c>
      <c r="T131" s="90">
        <f t="shared" si="9"/>
        <v>2.3409759482652106</v>
      </c>
      <c r="U131" s="90">
        <f t="shared" si="9"/>
        <v>-0.22344268528693334</v>
      </c>
      <c r="V131" s="90">
        <f t="shared" si="9"/>
        <v>-0.29670217140992605</v>
      </c>
      <c r="W131" s="90">
        <f t="shared" si="9"/>
        <v>-1.4232139763888867</v>
      </c>
      <c r="X131" s="90">
        <f t="shared" si="9"/>
        <v>1.9332568531785626</v>
      </c>
      <c r="Y131" s="90">
        <f t="shared" si="9"/>
        <v>2.6864052941235173E-2</v>
      </c>
      <c r="Z131" s="90">
        <f t="shared" si="9"/>
        <v>0.80864433118084378</v>
      </c>
      <c r="AA131" s="90">
        <f t="shared" si="9"/>
        <v>-0.35979306831463376</v>
      </c>
      <c r="AB131" s="90">
        <f t="shared" si="9"/>
        <v>-0.34585045828212913</v>
      </c>
      <c r="AC131" s="90">
        <f t="shared" si="9"/>
        <v>0.24812127558194064</v>
      </c>
      <c r="AD131" s="90">
        <f t="shared" si="9"/>
        <v>0.31520853362163592</v>
      </c>
      <c r="AE131" s="90">
        <f t="shared" si="9"/>
        <v>-2.876383022783223</v>
      </c>
      <c r="AF131" s="90">
        <f t="shared" si="9"/>
        <v>-1.474611169249755</v>
      </c>
      <c r="AG131" s="90">
        <f t="shared" si="9"/>
        <v>0.58087411637913178</v>
      </c>
      <c r="AH131" s="90">
        <f t="shared" si="9"/>
        <v>-0.29458360420563068</v>
      </c>
      <c r="AI131" s="90">
        <f t="shared" si="9"/>
        <v>-1.2088535184451459</v>
      </c>
      <c r="AJ131" s="90">
        <f t="shared" si="9"/>
        <v>-0.29410399856388736</v>
      </c>
      <c r="AK131" s="90">
        <f t="shared" si="9"/>
        <v>0.26525763834239768</v>
      </c>
      <c r="AL131" s="90">
        <f t="shared" si="9"/>
        <v>5.2003247263129992E-2</v>
      </c>
      <c r="AM131" s="90">
        <f t="shared" si="9"/>
        <v>0.25436061236267449</v>
      </c>
      <c r="AN131" s="90">
        <f t="shared" si="9"/>
        <v>-4.0922974285457769E-2</v>
      </c>
      <c r="AO131" s="90">
        <f t="shared" si="9"/>
        <v>-0.1628852704813113</v>
      </c>
      <c r="AP131" s="90">
        <f t="shared" si="9"/>
        <v>5.7065803203411036E-2</v>
      </c>
      <c r="AQ131" s="90">
        <f t="shared" si="9"/>
        <v>-2.0045653950931239</v>
      </c>
      <c r="AR131" s="90">
        <f t="shared" si="9"/>
        <v>-3.3558818009821252</v>
      </c>
      <c r="AS131" s="90">
        <f t="shared" si="9"/>
        <v>0.31638196601874924</v>
      </c>
      <c r="AT131" s="90">
        <f t="shared" si="9"/>
        <v>-0.95504506964412528</v>
      </c>
      <c r="AU131" s="90">
        <f t="shared" si="9"/>
        <v>1.348810190200858</v>
      </c>
      <c r="AV131" s="90">
        <f t="shared" si="9"/>
        <v>-3.3531698104570538</v>
      </c>
      <c r="AW131" s="90">
        <f t="shared" si="9"/>
        <v>1.7338319204970674</v>
      </c>
      <c r="AX131" s="90">
        <f t="shared" si="9"/>
        <v>-0.59732974072775846</v>
      </c>
      <c r="AY131" s="90">
        <f t="shared" si="9"/>
        <v>-4.4231734200147343</v>
      </c>
      <c r="AZ131" s="90">
        <f t="shared" si="9"/>
        <v>1.4890860437672053</v>
      </c>
      <c r="BA131" s="90">
        <f t="shared" si="9"/>
        <v>0.64900409010486371</v>
      </c>
      <c r="BB131" s="90">
        <f t="shared" si="9"/>
        <v>-0.1725706700609777</v>
      </c>
      <c r="BC131" s="90">
        <f t="shared" si="9"/>
        <v>-0.52260227437081141</v>
      </c>
      <c r="BD131" s="90">
        <f t="shared" si="9"/>
        <v>1.8381877257144197</v>
      </c>
      <c r="BE131" s="90">
        <f t="shared" si="9"/>
        <v>-2.3879319876596448</v>
      </c>
      <c r="BF131" s="90">
        <f t="shared" si="9"/>
        <v>-5.9424444444444475</v>
      </c>
      <c r="BG131" s="90">
        <f t="shared" si="9"/>
        <v>1.7636666666666656</v>
      </c>
      <c r="BH131" s="90">
        <f t="shared" si="9"/>
        <v>14.929193291064394</v>
      </c>
      <c r="BI131" s="90">
        <f t="shared" si="9"/>
        <v>-0.79852793332179317</v>
      </c>
      <c r="BJ131" s="90">
        <f t="shared" si="9"/>
        <v>-9.8508323555778503</v>
      </c>
      <c r="BK131" s="90">
        <f t="shared" si="9"/>
        <v>-10.237833002164727</v>
      </c>
      <c r="BL131" s="90">
        <f t="shared" si="9"/>
        <v>17.709576514893129</v>
      </c>
      <c r="BM131" s="90">
        <f t="shared" si="9"/>
        <v>-0.4176783224833116</v>
      </c>
      <c r="BN131" s="90">
        <f t="shared" si="9"/>
        <v>-8.546511080437476</v>
      </c>
      <c r="BO131" s="90">
        <f t="shared" si="9"/>
        <v>-9.4711204453056652</v>
      </c>
      <c r="BP131" s="90"/>
    </row>
    <row r="132" spans="3:68" x14ac:dyDescent="0.25">
      <c r="C132" s="3" t="s">
        <v>13</v>
      </c>
      <c r="D132" s="90">
        <f t="shared" si="1"/>
        <v>-1.8972860889412857E-2</v>
      </c>
      <c r="E132" s="90">
        <f t="shared" si="9"/>
        <v>-2.6658132390004141E-2</v>
      </c>
      <c r="F132" s="90">
        <f t="shared" si="9"/>
        <v>-1.0890457437259471E-2</v>
      </c>
      <c r="G132" s="90">
        <f t="shared" si="9"/>
        <v>-6.4581291481822234E-3</v>
      </c>
      <c r="H132" s="90">
        <f t="shared" si="9"/>
        <v>1.033806008586069E-2</v>
      </c>
      <c r="I132" s="90">
        <f t="shared" si="9"/>
        <v>6.2851354755000699E-2</v>
      </c>
      <c r="J132" s="90">
        <f t="shared" si="9"/>
        <v>6.4100127006483376E-3</v>
      </c>
      <c r="K132" s="90">
        <f t="shared" si="9"/>
        <v>2.9720920388214722E-2</v>
      </c>
      <c r="L132" s="90">
        <f t="shared" si="9"/>
        <v>-7.2480268000809644E-3</v>
      </c>
      <c r="M132" s="90">
        <f t="shared" si="9"/>
        <v>9.9013474733098406E-3</v>
      </c>
      <c r="N132" s="90">
        <f t="shared" si="9"/>
        <v>-1.0468016294606031E-2</v>
      </c>
      <c r="O132" s="90">
        <f t="shared" si="9"/>
        <v>-27.002311099864926</v>
      </c>
      <c r="P132" s="90">
        <f t="shared" si="9"/>
        <v>26.956688438849923</v>
      </c>
      <c r="Q132" s="90">
        <f t="shared" si="9"/>
        <v>2.855942972360026E-3</v>
      </c>
      <c r="R132" s="90">
        <f t="shared" si="9"/>
        <v>2.0831251646022508E-2</v>
      </c>
      <c r="S132" s="90">
        <f t="shared" si="9"/>
        <v>1.4602825904816541E-2</v>
      </c>
      <c r="T132" s="90">
        <f t="shared" si="9"/>
        <v>0.2712734120768161</v>
      </c>
      <c r="U132" s="90">
        <f t="shared" si="9"/>
        <v>2.2553044128354571E-2</v>
      </c>
      <c r="V132" s="90">
        <f t="shared" si="9"/>
        <v>1.0160164825865792E-2</v>
      </c>
      <c r="W132" s="90">
        <f t="shared" si="9"/>
        <v>2.613061667062766E-3</v>
      </c>
      <c r="X132" s="90">
        <f t="shared" si="9"/>
        <v>7.3770411779925382E-3</v>
      </c>
      <c r="Y132" s="90">
        <f t="shared" si="9"/>
        <v>3.4692878283902218E-2</v>
      </c>
      <c r="Z132" s="90">
        <f t="shared" si="9"/>
        <v>1.42611897110001E-3</v>
      </c>
      <c r="AA132" s="90">
        <f t="shared" si="9"/>
        <v>-7.5540024417030338E-2</v>
      </c>
      <c r="AB132" s="90">
        <f t="shared" si="9"/>
        <v>-0.15755055908782722</v>
      </c>
      <c r="AC132" s="90">
        <f t="shared" si="9"/>
        <v>-8.7449969711290265E-2</v>
      </c>
      <c r="AD132" s="90">
        <f t="shared" si="9"/>
        <v>-0.18880070469066368</v>
      </c>
      <c r="AE132" s="90">
        <f t="shared" si="9"/>
        <v>-9.1318394474022568E-3</v>
      </c>
      <c r="AF132" s="90">
        <f t="shared" si="9"/>
        <v>-0.32430164492140534</v>
      </c>
      <c r="AG132" s="90">
        <f t="shared" si="9"/>
        <v>1.6503983299863023E-2</v>
      </c>
      <c r="AH132" s="90">
        <f t="shared" si="9"/>
        <v>1.6329403152752775E-2</v>
      </c>
      <c r="AI132" s="90">
        <f t="shared" si="9"/>
        <v>3.3166470656070146E-2</v>
      </c>
      <c r="AJ132" s="90">
        <f t="shared" si="9"/>
        <v>-2.8441130033961315E-2</v>
      </c>
      <c r="AK132" s="90">
        <f t="shared" si="9"/>
        <v>3.073563280363345E-3</v>
      </c>
      <c r="AL132" s="90">
        <f t="shared" si="9"/>
        <v>-2.9960104142318755E-2</v>
      </c>
      <c r="AM132" s="90">
        <f t="shared" si="9"/>
        <v>4.6994045803145923E-2</v>
      </c>
      <c r="AN132" s="90">
        <f t="shared" si="9"/>
        <v>-2.3943205693537806E-2</v>
      </c>
      <c r="AO132" s="90">
        <f t="shared" si="9"/>
        <v>-1.803067031985961E-3</v>
      </c>
      <c r="AP132" s="90">
        <f t="shared" si="9"/>
        <v>-8.6727948807805433E-3</v>
      </c>
      <c r="AQ132" s="90">
        <f t="shared" si="9"/>
        <v>-1.6302363750590132E-2</v>
      </c>
      <c r="AR132" s="90">
        <f t="shared" si="9"/>
        <v>0.34874139869189236</v>
      </c>
      <c r="AS132" s="90">
        <f t="shared" si="9"/>
        <v>9.3280342864865418E-3</v>
      </c>
      <c r="AT132" s="90">
        <f t="shared" si="9"/>
        <v>3.1253169944100989E-2</v>
      </c>
      <c r="AU132" s="90">
        <f t="shared" si="9"/>
        <v>9.9122475722701608E-2</v>
      </c>
      <c r="AV132" s="90">
        <f t="shared" si="9"/>
        <v>-0.60983837760839066</v>
      </c>
      <c r="AW132" s="90">
        <f t="shared" si="9"/>
        <v>-0.24221424494858468</v>
      </c>
      <c r="AX132" s="90">
        <f t="shared" si="9"/>
        <v>-6.4585549614122328E-3</v>
      </c>
      <c r="AY132" s="90">
        <f t="shared" si="9"/>
        <v>-0.2386180852754336</v>
      </c>
      <c r="AZ132" s="90">
        <f t="shared" si="9"/>
        <v>-0.20482024985899727</v>
      </c>
      <c r="BA132" s="90">
        <f t="shared" si="9"/>
        <v>-6.6853770451761108E-2</v>
      </c>
      <c r="BB132" s="90">
        <f t="shared" si="9"/>
        <v>-4.3692645097980432E-2</v>
      </c>
      <c r="BC132" s="90">
        <f t="shared" si="9"/>
        <v>-1.4249988092178256E-2</v>
      </c>
      <c r="BD132" s="90">
        <f t="shared" si="9"/>
        <v>-0.28888926700081541</v>
      </c>
      <c r="BE132" s="90">
        <f t="shared" si="9"/>
        <v>-0.96177022746077512</v>
      </c>
      <c r="BF132" s="90">
        <f t="shared" si="9"/>
        <v>-8.227999999999998</v>
      </c>
      <c r="BG132" s="90">
        <f t="shared" si="9"/>
        <v>-2.1196666666666601</v>
      </c>
      <c r="BH132" s="90">
        <f t="shared" si="9"/>
        <v>11.192921902559785</v>
      </c>
      <c r="BI132" s="90">
        <f t="shared" si="9"/>
        <v>-0.31728391698021596</v>
      </c>
      <c r="BJ132" s="90">
        <f t="shared" si="9"/>
        <v>-8.1818350628010279</v>
      </c>
      <c r="BK132" s="90">
        <f t="shared" si="9"/>
        <v>-8.380636255978537</v>
      </c>
      <c r="BL132" s="90">
        <f t="shared" si="9"/>
        <v>12.071494384283788</v>
      </c>
      <c r="BM132" s="90">
        <f t="shared" si="9"/>
        <v>-0.35541579313949612</v>
      </c>
      <c r="BN132" s="90">
        <f t="shared" si="9"/>
        <v>-7.2754143325736038</v>
      </c>
      <c r="BO132" s="90">
        <f t="shared" si="9"/>
        <v>-7.4438975919040189</v>
      </c>
      <c r="BP132" s="90"/>
    </row>
    <row r="133" spans="3:68" x14ac:dyDescent="0.25">
      <c r="C133" s="3" t="s">
        <v>14</v>
      </c>
      <c r="D133" s="90">
        <f t="shared" si="1"/>
        <v>-1.801285706503819E-2</v>
      </c>
      <c r="E133" s="90">
        <f t="shared" si="9"/>
        <v>-2.4666397933167161E-2</v>
      </c>
      <c r="F133" s="90">
        <f t="shared" si="9"/>
        <v>-1.2403187368498436E-2</v>
      </c>
      <c r="G133" s="90">
        <f t="shared" si="9"/>
        <v>-6.7152876266192152E-3</v>
      </c>
      <c r="H133" s="90">
        <f t="shared" si="9"/>
        <v>9.302904993536032E-3</v>
      </c>
      <c r="I133" s="90">
        <f t="shared" si="9"/>
        <v>6.2615331880934377E-2</v>
      </c>
      <c r="J133" s="90">
        <f t="shared" si="9"/>
        <v>7.252574976636339E-3</v>
      </c>
      <c r="K133" s="90">
        <f t="shared" si="9"/>
        <v>2.9280848664676284E-2</v>
      </c>
      <c r="L133" s="90">
        <f t="shared" si="9"/>
        <v>-6.0839591520185365E-3</v>
      </c>
      <c r="M133" s="90">
        <f t="shared" si="9"/>
        <v>9.4851773307453868E-3</v>
      </c>
      <c r="N133" s="90">
        <f t="shared" si="9"/>
        <v>-1.0699270541152828E-2</v>
      </c>
      <c r="O133" s="90">
        <f t="shared" si="9"/>
        <v>-26.618481874883141</v>
      </c>
      <c r="P133" s="90">
        <f t="shared" si="9"/>
        <v>26.583157816003805</v>
      </c>
      <c r="Q133" s="90">
        <f t="shared" si="9"/>
        <v>3.4338575810508587E-3</v>
      </c>
      <c r="R133" s="90">
        <f t="shared" si="9"/>
        <v>2.0459297515380115E-2</v>
      </c>
      <c r="S133" s="90">
        <f t="shared" si="9"/>
        <v>1.8463848617937373E-2</v>
      </c>
      <c r="T133" s="90">
        <f t="shared" si="9"/>
        <v>0.27905877691464553</v>
      </c>
      <c r="U133" s="90">
        <f t="shared" si="9"/>
        <v>2.5736622237982232E-2</v>
      </c>
      <c r="V133" s="90">
        <f t="shared" si="9"/>
        <v>9.3822698690857464E-3</v>
      </c>
      <c r="W133" s="90">
        <f t="shared" si="9"/>
        <v>2.0400467591947802E-3</v>
      </c>
      <c r="X133" s="90">
        <f t="shared" si="9"/>
        <v>1.0580929351572621E-2</v>
      </c>
      <c r="Y133" s="90">
        <f t="shared" si="9"/>
        <v>3.5098459441098129E-2</v>
      </c>
      <c r="Z133" s="90">
        <f t="shared" si="9"/>
        <v>1.7649537946056171E-3</v>
      </c>
      <c r="AA133" s="90">
        <f t="shared" si="9"/>
        <v>-8.0287138606831121E-2</v>
      </c>
      <c r="AB133" s="90">
        <f t="shared" si="9"/>
        <v>-0.15634589264194787</v>
      </c>
      <c r="AC133" s="90">
        <f t="shared" si="9"/>
        <v>-8.8130358531248731E-2</v>
      </c>
      <c r="AD133" s="90">
        <f t="shared" si="9"/>
        <v>-0.1867357036874715</v>
      </c>
      <c r="AE133" s="90">
        <f t="shared" si="9"/>
        <v>-9.3463806457698695E-3</v>
      </c>
      <c r="AF133" s="90">
        <f t="shared" si="9"/>
        <v>-0.30012678082176336</v>
      </c>
      <c r="AG133" s="90">
        <f t="shared" si="9"/>
        <v>1.3546620918500452E-2</v>
      </c>
      <c r="AH133" s="90">
        <f t="shared" si="9"/>
        <v>1.5899229551390448E-2</v>
      </c>
      <c r="AI133" s="90">
        <f t="shared" si="9"/>
        <v>3.2808888842144057E-2</v>
      </c>
      <c r="AJ133" s="90">
        <f t="shared" si="9"/>
        <v>-2.5702183687670299E-2</v>
      </c>
      <c r="AK133" s="90">
        <f t="shared" si="9"/>
        <v>1.7767176680791863E-3</v>
      </c>
      <c r="AL133" s="90">
        <f t="shared" si="9"/>
        <v>-3.3116045859628684E-2</v>
      </c>
      <c r="AM133" s="90">
        <f t="shared" si="9"/>
        <v>4.3534256556810647E-2</v>
      </c>
      <c r="AN133" s="90">
        <f t="shared" si="9"/>
        <v>-2.3305712904676312E-2</v>
      </c>
      <c r="AO133" s="90">
        <f t="shared" si="9"/>
        <v>-1.6297577100345961E-3</v>
      </c>
      <c r="AP133" s="90">
        <f t="shared" si="9"/>
        <v>-8.3213046838430671E-3</v>
      </c>
      <c r="AQ133" s="90">
        <f t="shared" si="9"/>
        <v>-1.5891556599072487E-2</v>
      </c>
      <c r="AR133" s="90">
        <f t="shared" si="9"/>
        <v>0.35703207548632676</v>
      </c>
      <c r="AS133" s="90">
        <f t="shared" si="9"/>
        <v>8.9675963507822587E-3</v>
      </c>
      <c r="AT133" s="90">
        <f t="shared" si="9"/>
        <v>3.0759930969516347E-2</v>
      </c>
      <c r="AU133" s="90">
        <f t="shared" si="9"/>
        <v>8.7462158247618049E-2</v>
      </c>
      <c r="AV133" s="90">
        <f t="shared" si="9"/>
        <v>-0.61088073857386149</v>
      </c>
      <c r="AW133" s="90">
        <f t="shared" si="9"/>
        <v>-0.20627745359702487</v>
      </c>
      <c r="AX133" s="90">
        <f t="shared" si="9"/>
        <v>-7.0549750175246118E-3</v>
      </c>
      <c r="AY133" s="90">
        <f t="shared" si="9"/>
        <v>-0.23288541203640278</v>
      </c>
      <c r="AZ133" s="90">
        <f t="shared" si="9"/>
        <v>-0.20284932517791887</v>
      </c>
      <c r="BA133" s="90">
        <f t="shared" si="9"/>
        <v>-6.3562850885226396E-2</v>
      </c>
      <c r="BB133" s="90">
        <f t="shared" si="9"/>
        <v>-4.2668556105844857E-2</v>
      </c>
      <c r="BC133" s="90">
        <f t="shared" si="9"/>
        <v>-1.3057266030660486E-2</v>
      </c>
      <c r="BD133" s="90">
        <f t="shared" si="9"/>
        <v>-0.29076391014435998</v>
      </c>
      <c r="BE133" s="90">
        <f t="shared" si="9"/>
        <v>-2.6226313850392273</v>
      </c>
      <c r="BF133" s="90">
        <f t="shared" si="9"/>
        <v>-17.38666666666667</v>
      </c>
      <c r="BG133" s="90" t="e">
        <f t="shared" si="9"/>
        <v>#N/A</v>
      </c>
      <c r="BH133" s="90" t="e">
        <f t="shared" si="9"/>
        <v>#N/A</v>
      </c>
      <c r="BI133" s="90" t="e">
        <f t="shared" si="9"/>
        <v>#N/A</v>
      </c>
      <c r="BJ133" s="90" t="e">
        <f t="shared" si="9"/>
        <v>#N/A</v>
      </c>
      <c r="BK133" s="90" t="e">
        <f t="shared" si="9"/>
        <v>#N/A</v>
      </c>
      <c r="BL133" s="90" t="e">
        <f t="shared" si="9"/>
        <v>#N/A</v>
      </c>
      <c r="BM133" s="90" t="e">
        <f t="shared" si="9"/>
        <v>#N/A</v>
      </c>
      <c r="BN133" s="90" t="e">
        <f t="shared" si="9"/>
        <v>#N/A</v>
      </c>
      <c r="BO133" s="90" t="e">
        <f t="shared" si="9"/>
        <v>#N/A</v>
      </c>
      <c r="BP133" s="90"/>
    </row>
    <row r="134" spans="3:68" x14ac:dyDescent="0.25">
      <c r="C134" s="3" t="s">
        <v>15</v>
      </c>
      <c r="D134" s="90">
        <f t="shared" si="1"/>
        <v>0.24855489866640568</v>
      </c>
      <c r="E134" s="90">
        <f t="shared" si="9"/>
        <v>6.2545214438340935E-2</v>
      </c>
      <c r="F134" s="90">
        <f t="shared" si="9"/>
        <v>-0.16279975883395537</v>
      </c>
      <c r="G134" s="90">
        <f t="shared" si="9"/>
        <v>0.63684540921906319</v>
      </c>
      <c r="H134" s="90">
        <f t="shared" si="9"/>
        <v>0.78708563561469091</v>
      </c>
      <c r="I134" s="90">
        <f t="shared" si="9"/>
        <v>1.194493727859502</v>
      </c>
      <c r="J134" s="90">
        <f t="shared" si="9"/>
        <v>3.6704441814698896E-3</v>
      </c>
      <c r="K134" s="90">
        <f t="shared" ref="E134:BO138" si="10">IF(ISBLANK(K39),NA(),K39)-IF(ISBLANK(K86),NA(),K86)</f>
        <v>1.3535098026122014</v>
      </c>
      <c r="L134" s="90">
        <f t="shared" si="10"/>
        <v>0.30307082065005631</v>
      </c>
      <c r="M134" s="90">
        <f t="shared" si="10"/>
        <v>1.8910917188595455</v>
      </c>
      <c r="N134" s="90">
        <f t="shared" si="10"/>
        <v>-0.46685492350884061</v>
      </c>
      <c r="O134" s="90">
        <f t="shared" si="10"/>
        <v>-20.509446348809803</v>
      </c>
      <c r="P134" s="90">
        <f t="shared" si="10"/>
        <v>21.044394315452411</v>
      </c>
      <c r="Q134" s="90">
        <f t="shared" si="10"/>
        <v>1.9643562804905699</v>
      </c>
      <c r="R134" s="90">
        <f t="shared" si="10"/>
        <v>-0.55955002042913549</v>
      </c>
      <c r="S134" s="90">
        <f t="shared" si="10"/>
        <v>-0.58356510421537067</v>
      </c>
      <c r="T134" s="90">
        <f t="shared" si="10"/>
        <v>-1.8658424538664065</v>
      </c>
      <c r="U134" s="90">
        <f t="shared" si="10"/>
        <v>-2.6296622489052623E-2</v>
      </c>
      <c r="V134" s="90">
        <f t="shared" si="10"/>
        <v>0.12034722522693642</v>
      </c>
      <c r="W134" s="90">
        <f t="shared" si="10"/>
        <v>5.8826284034790177E-2</v>
      </c>
      <c r="X134" s="90">
        <f t="shared" si="10"/>
        <v>0.61398196906135638</v>
      </c>
      <c r="Y134" s="90">
        <f t="shared" si="10"/>
        <v>-0.11115096500453348</v>
      </c>
      <c r="Z134" s="90">
        <f t="shared" si="10"/>
        <v>-0.14941998626208175</v>
      </c>
      <c r="AA134" s="90">
        <f t="shared" si="10"/>
        <v>0.98842483113506319</v>
      </c>
      <c r="AB134" s="90">
        <f t="shared" si="10"/>
        <v>0.11049938430210915</v>
      </c>
      <c r="AC134" s="90">
        <f t="shared" si="10"/>
        <v>0.55899927048130493</v>
      </c>
      <c r="AD134" s="90">
        <f t="shared" si="10"/>
        <v>-0.46491510706910688</v>
      </c>
      <c r="AE134" s="90">
        <f t="shared" si="10"/>
        <v>-1.3252472274748861</v>
      </c>
      <c r="AF134" s="90">
        <f t="shared" si="10"/>
        <v>-2.738141287281465</v>
      </c>
      <c r="AG134" s="90">
        <f t="shared" si="10"/>
        <v>-0.1835268095238014</v>
      </c>
      <c r="AH134" s="90">
        <f t="shared" si="10"/>
        <v>-4.2787823847589834E-4</v>
      </c>
      <c r="AI134" s="90">
        <f t="shared" si="10"/>
        <v>0.5204026187624784</v>
      </c>
      <c r="AJ134" s="90">
        <f t="shared" si="10"/>
        <v>-1.0379985046765654</v>
      </c>
      <c r="AK134" s="90">
        <f t="shared" si="10"/>
        <v>0.79294598881406131</v>
      </c>
      <c r="AL134" s="90">
        <f t="shared" si="10"/>
        <v>0.24952304178354723</v>
      </c>
      <c r="AM134" s="90">
        <f t="shared" si="10"/>
        <v>-1.3675319264804457</v>
      </c>
      <c r="AN134" s="90">
        <f t="shared" si="10"/>
        <v>0.40754529535361605</v>
      </c>
      <c r="AO134" s="90">
        <f t="shared" si="10"/>
        <v>0.88272807285143529</v>
      </c>
      <c r="AP134" s="90">
        <f t="shared" si="10"/>
        <v>-0.59821298909634635</v>
      </c>
      <c r="AQ134" s="90">
        <f t="shared" si="10"/>
        <v>-0.39524704800529875</v>
      </c>
      <c r="AR134" s="90">
        <f t="shared" si="10"/>
        <v>0.70118109083572833</v>
      </c>
      <c r="AS134" s="90">
        <f t="shared" si="10"/>
        <v>-3.0772557958179902E-2</v>
      </c>
      <c r="AT134" s="90">
        <f t="shared" si="10"/>
        <v>-0.68305822041549291</v>
      </c>
      <c r="AU134" s="90">
        <f t="shared" si="10"/>
        <v>-0.45009146163532421</v>
      </c>
      <c r="AV134" s="90">
        <f t="shared" si="10"/>
        <v>0.74150516777216779</v>
      </c>
      <c r="AW134" s="90">
        <f t="shared" si="10"/>
        <v>2.7605473453808784</v>
      </c>
      <c r="AX134" s="90">
        <f t="shared" si="10"/>
        <v>0.36131113309858875</v>
      </c>
      <c r="AY134" s="90">
        <f t="shared" si="10"/>
        <v>-1.2162318449959102</v>
      </c>
      <c r="AZ134" s="90">
        <f t="shared" si="10"/>
        <v>0.48844918247289471</v>
      </c>
      <c r="BA134" s="90">
        <f t="shared" si="10"/>
        <v>1.2932475087179718</v>
      </c>
      <c r="BB134" s="90">
        <f t="shared" si="10"/>
        <v>-0.13524718117402301</v>
      </c>
      <c r="BC134" s="90">
        <f t="shared" si="10"/>
        <v>0.63248025160511645</v>
      </c>
      <c r="BD134" s="90">
        <f t="shared" si="10"/>
        <v>2.186640562160548</v>
      </c>
      <c r="BE134" s="90">
        <f t="shared" si="10"/>
        <v>-2.3946021952586172</v>
      </c>
      <c r="BF134" s="90">
        <f t="shared" si="10"/>
        <v>-10.041333333333334</v>
      </c>
      <c r="BG134" s="90">
        <f t="shared" si="10"/>
        <v>-1.6696666666666715</v>
      </c>
      <c r="BH134" s="90">
        <f t="shared" si="10"/>
        <v>9.931727388845708</v>
      </c>
      <c r="BI134" s="90">
        <f t="shared" si="10"/>
        <v>1.5839829162290719</v>
      </c>
      <c r="BJ134" s="90">
        <f t="shared" si="10"/>
        <v>-8.7484763612537613</v>
      </c>
      <c r="BK134" s="90">
        <f t="shared" si="10"/>
        <v>-8.2552339438210005</v>
      </c>
      <c r="BL134" s="90">
        <f t="shared" si="10"/>
        <v>10.805081981786579</v>
      </c>
      <c r="BM134" s="90">
        <f t="shared" si="10"/>
        <v>2.8646209130230211</v>
      </c>
      <c r="BN134" s="90">
        <f t="shared" si="10"/>
        <v>-7.9410434938766379</v>
      </c>
      <c r="BO134" s="90">
        <f t="shared" si="10"/>
        <v>-6.9867260675996157</v>
      </c>
      <c r="BP134" s="90"/>
    </row>
    <row r="135" spans="3:68" x14ac:dyDescent="0.25">
      <c r="C135" s="3" t="s">
        <v>16</v>
      </c>
      <c r="D135" s="90">
        <f t="shared" si="1"/>
        <v>-0.8673306449294067</v>
      </c>
      <c r="E135" s="90">
        <f t="shared" si="10"/>
        <v>-2.2336859762101753</v>
      </c>
      <c r="F135" s="90">
        <f t="shared" si="10"/>
        <v>-5.5069493411056492</v>
      </c>
      <c r="G135" s="90">
        <f t="shared" si="10"/>
        <v>-1.985714339352505</v>
      </c>
      <c r="H135" s="90">
        <f t="shared" si="10"/>
        <v>-1.7431680122141984</v>
      </c>
      <c r="I135" s="90">
        <f t="shared" si="10"/>
        <v>-1.5251580802709874</v>
      </c>
      <c r="J135" s="90">
        <f t="shared" si="10"/>
        <v>-2.0711914372954645</v>
      </c>
      <c r="K135" s="90">
        <f t="shared" si="10"/>
        <v>-1.1009200765544627</v>
      </c>
      <c r="L135" s="90">
        <f t="shared" si="10"/>
        <v>-0.5842864603044724</v>
      </c>
      <c r="M135" s="90">
        <f t="shared" si="10"/>
        <v>-1.1564910935838277</v>
      </c>
      <c r="N135" s="90">
        <f t="shared" si="10"/>
        <v>-1.6951690431665902</v>
      </c>
      <c r="O135" s="90">
        <f t="shared" si="10"/>
        <v>-5.8134565168692482</v>
      </c>
      <c r="P135" s="90">
        <f t="shared" si="10"/>
        <v>5.2178142414679876</v>
      </c>
      <c r="Q135" s="90">
        <f t="shared" si="10"/>
        <v>-1.9036388101146109</v>
      </c>
      <c r="R135" s="90">
        <f t="shared" si="10"/>
        <v>-2.0708760372837887</v>
      </c>
      <c r="S135" s="90">
        <f t="shared" si="10"/>
        <v>-1.2951148764999196</v>
      </c>
      <c r="T135" s="90">
        <f t="shared" si="10"/>
        <v>-2.7951807264650412</v>
      </c>
      <c r="U135" s="90">
        <f t="shared" si="10"/>
        <v>-3.4119483806963693</v>
      </c>
      <c r="V135" s="90">
        <f t="shared" si="10"/>
        <v>-1.6619796317399036</v>
      </c>
      <c r="W135" s="90">
        <f t="shared" si="10"/>
        <v>-0.99378537868162731</v>
      </c>
      <c r="X135" s="90">
        <f t="shared" si="10"/>
        <v>-1.1469163884913183</v>
      </c>
      <c r="Y135" s="90">
        <f t="shared" si="10"/>
        <v>-1.9424926419906186</v>
      </c>
      <c r="Z135" s="90">
        <f t="shared" si="10"/>
        <v>-4.9246680521466502</v>
      </c>
      <c r="AA135" s="90">
        <f t="shared" si="10"/>
        <v>-2.0236602583956689</v>
      </c>
      <c r="AB135" s="90">
        <f t="shared" si="10"/>
        <v>-1.9757728761307476</v>
      </c>
      <c r="AC135" s="90">
        <f t="shared" si="10"/>
        <v>-3.5058814250265975</v>
      </c>
      <c r="AD135" s="90">
        <f t="shared" si="10"/>
        <v>-2.8508029891304503</v>
      </c>
      <c r="AE135" s="90">
        <f t="shared" si="10"/>
        <v>-1.7111209317552181</v>
      </c>
      <c r="AF135" s="90">
        <f t="shared" si="10"/>
        <v>1.643981863882761</v>
      </c>
      <c r="AG135" s="90">
        <f t="shared" si="10"/>
        <v>1.2615768812280912</v>
      </c>
      <c r="AH135" s="90">
        <f t="shared" si="10"/>
        <v>2.0752748290673217</v>
      </c>
      <c r="AI135" s="90">
        <f t="shared" si="10"/>
        <v>0.71706277271310981</v>
      </c>
      <c r="AJ135" s="90">
        <f t="shared" si="10"/>
        <v>0.20502472506067093</v>
      </c>
      <c r="AK135" s="90">
        <f t="shared" si="10"/>
        <v>-1.7385580369449372E-2</v>
      </c>
      <c r="AL135" s="90">
        <f t="shared" si="10"/>
        <v>-0.38299269761960275</v>
      </c>
      <c r="AM135" s="90">
        <f t="shared" si="10"/>
        <v>-1.9013088831424341</v>
      </c>
      <c r="AN135" s="90">
        <f t="shared" si="10"/>
        <v>0.29606124788988097</v>
      </c>
      <c r="AO135" s="90">
        <f t="shared" si="10"/>
        <v>0.86990565550041765</v>
      </c>
      <c r="AP135" s="90">
        <f t="shared" si="10"/>
        <v>-0.66562967508181003</v>
      </c>
      <c r="AQ135" s="90">
        <f t="shared" si="10"/>
        <v>0.28165178724481876</v>
      </c>
      <c r="AR135" s="90">
        <f t="shared" si="10"/>
        <v>-15.468533219749247</v>
      </c>
      <c r="AS135" s="90">
        <f t="shared" si="10"/>
        <v>-2.866608580487604</v>
      </c>
      <c r="AT135" s="90">
        <f t="shared" si="10"/>
        <v>1.256381639069577</v>
      </c>
      <c r="AU135" s="90">
        <f t="shared" si="10"/>
        <v>-0.41370676523297689</v>
      </c>
      <c r="AV135" s="90">
        <f t="shared" si="10"/>
        <v>-0.14335481923015081</v>
      </c>
      <c r="AW135" s="90">
        <f t="shared" si="10"/>
        <v>7.8882705453148745</v>
      </c>
      <c r="AX135" s="90">
        <f t="shared" si="10"/>
        <v>-3.9678378846530933</v>
      </c>
      <c r="AY135" s="90">
        <f t="shared" si="10"/>
        <v>5.8992866626162552</v>
      </c>
      <c r="AZ135" s="90">
        <f t="shared" si="10"/>
        <v>1.3073727024384638</v>
      </c>
      <c r="BA135" s="90">
        <f t="shared" si="10"/>
        <v>2.4998102343059188</v>
      </c>
      <c r="BB135" s="90">
        <f t="shared" si="10"/>
        <v>17.479350504399292</v>
      </c>
      <c r="BC135" s="90">
        <f t="shared" si="10"/>
        <v>-0.41166020856059404</v>
      </c>
      <c r="BD135" s="90">
        <f t="shared" si="10"/>
        <v>2.3095978896887637</v>
      </c>
      <c r="BE135" s="90">
        <f t="shared" si="10"/>
        <v>-7.1830180591332429</v>
      </c>
      <c r="BF135" s="90">
        <f t="shared" si="10"/>
        <v>-25.191048639466665</v>
      </c>
      <c r="BG135" s="90">
        <f t="shared" si="10"/>
        <v>-3.4527773354666635</v>
      </c>
      <c r="BH135" s="90">
        <f t="shared" si="10"/>
        <v>29.988289865831828</v>
      </c>
      <c r="BI135" s="90">
        <f t="shared" si="10"/>
        <v>3.6889876546254499</v>
      </c>
      <c r="BJ135" s="90">
        <f t="shared" si="10"/>
        <v>-29.216218510753514</v>
      </c>
      <c r="BK135" s="90">
        <f t="shared" si="10"/>
        <v>-1.1653636906371005</v>
      </c>
      <c r="BL135" s="90">
        <f t="shared" si="10"/>
        <v>30.383469831607318</v>
      </c>
      <c r="BM135" s="90">
        <f t="shared" si="10"/>
        <v>-0.16986648355177181</v>
      </c>
      <c r="BN135" s="90">
        <f t="shared" si="10"/>
        <v>-31.284042269084146</v>
      </c>
      <c r="BO135" s="90">
        <f t="shared" si="10"/>
        <v>-2.3719233325713915</v>
      </c>
      <c r="BP135" s="90"/>
    </row>
    <row r="136" spans="3:68" x14ac:dyDescent="0.25">
      <c r="C136" s="3" t="s">
        <v>17</v>
      </c>
      <c r="D136" s="90">
        <f t="shared" si="1"/>
        <v>-1.0675616104358241</v>
      </c>
      <c r="E136" s="90">
        <f t="shared" si="10"/>
        <v>-1.6967674041907905</v>
      </c>
      <c r="F136" s="90">
        <f t="shared" si="10"/>
        <v>-5.1419418293205545</v>
      </c>
      <c r="G136" s="90">
        <f t="shared" si="10"/>
        <v>-2.1163625287322816</v>
      </c>
      <c r="H136" s="90">
        <f t="shared" si="10"/>
        <v>-1.721936689511498</v>
      </c>
      <c r="I136" s="90">
        <f t="shared" si="10"/>
        <v>-1.5702700382055212</v>
      </c>
      <c r="J136" s="90">
        <f t="shared" si="10"/>
        <v>-1.7882021705041318</v>
      </c>
      <c r="K136" s="90">
        <f t="shared" si="10"/>
        <v>-1.6207951992753671</v>
      </c>
      <c r="L136" s="90">
        <f t="shared" si="10"/>
        <v>-0.57440441707109002</v>
      </c>
      <c r="M136" s="90">
        <f t="shared" si="10"/>
        <v>-0.84895213970618144</v>
      </c>
      <c r="N136" s="90">
        <f t="shared" si="10"/>
        <v>-1.5526373475728548</v>
      </c>
      <c r="O136" s="90">
        <f t="shared" si="10"/>
        <v>-6.2843501425250636</v>
      </c>
      <c r="P136" s="90">
        <f t="shared" si="10"/>
        <v>5.7924023498547506</v>
      </c>
      <c r="Q136" s="90">
        <f t="shared" si="10"/>
        <v>-1.8128324742014392</v>
      </c>
      <c r="R136" s="90">
        <f t="shared" si="10"/>
        <v>-1.768905190801771</v>
      </c>
      <c r="S136" s="90">
        <f t="shared" si="10"/>
        <v>-1.2638583708313789</v>
      </c>
      <c r="T136" s="90">
        <f t="shared" si="10"/>
        <v>-2.8364149227869468</v>
      </c>
      <c r="U136" s="90">
        <f t="shared" si="10"/>
        <v>-1.2514331181811045</v>
      </c>
      <c r="V136" s="90">
        <f t="shared" si="10"/>
        <v>-1.3520755171809249</v>
      </c>
      <c r="W136" s="90">
        <f t="shared" si="10"/>
        <v>-0.91069583235936236</v>
      </c>
      <c r="X136" s="90">
        <f t="shared" si="10"/>
        <v>-1.1584805781485361</v>
      </c>
      <c r="Y136" s="90">
        <f t="shared" si="10"/>
        <v>-1.8446385910236724</v>
      </c>
      <c r="Z136" s="90">
        <f t="shared" si="10"/>
        <v>-2.5306384822541723</v>
      </c>
      <c r="AA136" s="90">
        <f t="shared" si="10"/>
        <v>-2.2655753988429197</v>
      </c>
      <c r="AB136" s="90">
        <f t="shared" si="10"/>
        <v>-1.4115655909804339</v>
      </c>
      <c r="AC136" s="90">
        <f t="shared" si="10"/>
        <v>-1.4074996430540843</v>
      </c>
      <c r="AD136" s="90">
        <f t="shared" si="10"/>
        <v>-2.4917319936302</v>
      </c>
      <c r="AE136" s="90">
        <f t="shared" si="10"/>
        <v>-1.5890475023241102</v>
      </c>
      <c r="AF136" s="90">
        <f t="shared" si="10"/>
        <v>2.0891288228533575</v>
      </c>
      <c r="AG136" s="90">
        <f t="shared" si="10"/>
        <v>1.5231114951356801</v>
      </c>
      <c r="AH136" s="90">
        <f t="shared" si="10"/>
        <v>2.118801133707354</v>
      </c>
      <c r="AI136" s="90">
        <f t="shared" si="10"/>
        <v>0.68933146330061135</v>
      </c>
      <c r="AJ136" s="90">
        <f t="shared" si="10"/>
        <v>0.28317700657479961</v>
      </c>
      <c r="AK136" s="90">
        <f t="shared" si="10"/>
        <v>-2.7199552463663679E-2</v>
      </c>
      <c r="AL136" s="90">
        <f t="shared" si="10"/>
        <v>-0.38755431130201501</v>
      </c>
      <c r="AM136" s="90">
        <f t="shared" si="10"/>
        <v>-1.4810857741156269</v>
      </c>
      <c r="AN136" s="90">
        <f t="shared" si="10"/>
        <v>0.25308094961071781</v>
      </c>
      <c r="AO136" s="90">
        <f t="shared" si="10"/>
        <v>0.90035290381660715</v>
      </c>
      <c r="AP136" s="90">
        <f t="shared" si="10"/>
        <v>-0.79220089703132501</v>
      </c>
      <c r="AQ136" s="90">
        <f t="shared" si="10"/>
        <v>2.478423426055798E-2</v>
      </c>
      <c r="AR136" s="90">
        <f t="shared" si="10"/>
        <v>-20.218084807978357</v>
      </c>
      <c r="AS136" s="90">
        <f t="shared" si="10"/>
        <v>-3.3343166085706315</v>
      </c>
      <c r="AT136" s="90">
        <f t="shared" si="10"/>
        <v>1.3154999453398268</v>
      </c>
      <c r="AU136" s="90">
        <f t="shared" si="10"/>
        <v>-6.0341006311364964E-2</v>
      </c>
      <c r="AV136" s="90">
        <f t="shared" si="10"/>
        <v>0.87962707804604889</v>
      </c>
      <c r="AW136" s="90">
        <f t="shared" si="10"/>
        <v>5.5458167365788285</v>
      </c>
      <c r="AX136" s="90">
        <f t="shared" si="10"/>
        <v>-3.9771842758056053</v>
      </c>
      <c r="AY136" s="90">
        <f t="shared" si="10"/>
        <v>6.1045775782471665</v>
      </c>
      <c r="AZ136" s="90">
        <f t="shared" si="10"/>
        <v>1.5502455860363469</v>
      </c>
      <c r="BA136" s="90">
        <f t="shared" si="10"/>
        <v>2.0077536749914628</v>
      </c>
      <c r="BB136" s="90">
        <f t="shared" si="10"/>
        <v>17.586824700229101</v>
      </c>
      <c r="BC136" s="90">
        <f t="shared" si="10"/>
        <v>-0.15442836925139147</v>
      </c>
      <c r="BD136" s="90">
        <f t="shared" si="10"/>
        <v>2.3472684753090505</v>
      </c>
      <c r="BE136" s="90">
        <f t="shared" si="10"/>
        <v>-6.7986601066610746</v>
      </c>
      <c r="BF136" s="90">
        <f t="shared" si="10"/>
        <v>-23.131411451244439</v>
      </c>
      <c r="BG136" s="90">
        <f t="shared" si="10"/>
        <v>-0.84163702116666883</v>
      </c>
      <c r="BH136" s="90">
        <f t="shared" si="10"/>
        <v>27.389709183668614</v>
      </c>
      <c r="BI136" s="90">
        <f t="shared" si="10"/>
        <v>1.0056147741590777</v>
      </c>
      <c r="BJ136" s="90">
        <f t="shared" si="10"/>
        <v>-24.060509044291756</v>
      </c>
      <c r="BK136" s="90">
        <f t="shared" si="10"/>
        <v>-3.8820675074026099</v>
      </c>
      <c r="BL136" s="90">
        <f t="shared" si="10"/>
        <v>30.011161429132564</v>
      </c>
      <c r="BM136" s="90">
        <f t="shared" si="10"/>
        <v>-0.91092647695981555</v>
      </c>
      <c r="BN136" s="90">
        <f t="shared" si="10"/>
        <v>-30.296567659161802</v>
      </c>
      <c r="BO136" s="90">
        <f t="shared" si="10"/>
        <v>-3.9589358603442619</v>
      </c>
      <c r="BP136" s="90"/>
    </row>
    <row r="137" spans="3:68" x14ac:dyDescent="0.25">
      <c r="C137" s="3" t="s">
        <v>18</v>
      </c>
      <c r="D137" s="90">
        <f t="shared" si="1"/>
        <v>-0.4994561794563559</v>
      </c>
      <c r="E137" s="90">
        <f t="shared" si="10"/>
        <v>-1.9188817598172321</v>
      </c>
      <c r="F137" s="90">
        <f t="shared" si="10"/>
        <v>-5.045464893057499</v>
      </c>
      <c r="G137" s="90">
        <f t="shared" si="10"/>
        <v>-2.266870210963063</v>
      </c>
      <c r="H137" s="90">
        <f t="shared" si="10"/>
        <v>-1.5886688474599033</v>
      </c>
      <c r="I137" s="90">
        <f t="shared" si="10"/>
        <v>-1.3864777019575349</v>
      </c>
      <c r="J137" s="90">
        <f t="shared" si="10"/>
        <v>-1.9984863497350815</v>
      </c>
      <c r="K137" s="90">
        <f t="shared" si="10"/>
        <v>-1.1029509988117567</v>
      </c>
      <c r="L137" s="90">
        <f t="shared" si="10"/>
        <v>-0.61274710938022636</v>
      </c>
      <c r="M137" s="90">
        <f t="shared" si="10"/>
        <v>-0.98321270530544425</v>
      </c>
      <c r="N137" s="90">
        <f t="shared" si="10"/>
        <v>-1.5830841003389473</v>
      </c>
      <c r="O137" s="90">
        <f t="shared" si="10"/>
        <v>-5.8689022242350966</v>
      </c>
      <c r="P137" s="90">
        <f t="shared" si="10"/>
        <v>5.586110527073739</v>
      </c>
      <c r="Q137" s="90">
        <f t="shared" si="10"/>
        <v>-1.6038630460041716</v>
      </c>
      <c r="R137" s="90">
        <f t="shared" si="10"/>
        <v>-1.9075041978338803</v>
      </c>
      <c r="S137" s="90">
        <f t="shared" si="10"/>
        <v>-1.3483742213066812</v>
      </c>
      <c r="T137" s="90">
        <f t="shared" si="10"/>
        <v>-2.926143198729946</v>
      </c>
      <c r="U137" s="90">
        <f t="shared" si="10"/>
        <v>-2.3064479154358182</v>
      </c>
      <c r="V137" s="90">
        <f t="shared" si="10"/>
        <v>-1.4350983155095847</v>
      </c>
      <c r="W137" s="90">
        <f t="shared" si="10"/>
        <v>-0.84772063707729473</v>
      </c>
      <c r="X137" s="90">
        <f t="shared" si="10"/>
        <v>-1.0400068151518873</v>
      </c>
      <c r="Y137" s="90">
        <f t="shared" si="10"/>
        <v>-1.7249791666666763</v>
      </c>
      <c r="Z137" s="90">
        <f t="shared" si="10"/>
        <v>-3.1446275323359849</v>
      </c>
      <c r="AA137" s="90">
        <f t="shared" si="10"/>
        <v>-2.1651253788764215</v>
      </c>
      <c r="AB137" s="90">
        <f t="shared" si="10"/>
        <v>-1.4311488658752403</v>
      </c>
      <c r="AC137" s="90">
        <f t="shared" si="10"/>
        <v>-2.4236834603568411</v>
      </c>
      <c r="AD137" s="90">
        <f t="shared" si="10"/>
        <v>-3.3679592147810453</v>
      </c>
      <c r="AE137" s="90">
        <f t="shared" si="10"/>
        <v>-1.5874710150133318</v>
      </c>
      <c r="AF137" s="90">
        <f t="shared" si="10"/>
        <v>2.393978276870584</v>
      </c>
      <c r="AG137" s="90">
        <f t="shared" si="10"/>
        <v>0.72044654180943724</v>
      </c>
      <c r="AH137" s="90">
        <f t="shared" si="10"/>
        <v>2.0820362537985062</v>
      </c>
      <c r="AI137" s="90">
        <f t="shared" si="10"/>
        <v>1.2317382178198599</v>
      </c>
      <c r="AJ137" s="90">
        <f t="shared" si="10"/>
        <v>-5.5882957842637637E-2</v>
      </c>
      <c r="AK137" s="90">
        <f t="shared" si="10"/>
        <v>-8.4975752294340623E-3</v>
      </c>
      <c r="AL137" s="90">
        <f t="shared" si="10"/>
        <v>-0.53032662994780111</v>
      </c>
      <c r="AM137" s="90">
        <f t="shared" si="10"/>
        <v>-2.0256700093501721</v>
      </c>
      <c r="AN137" s="90">
        <f t="shared" si="10"/>
        <v>0.56432826817050596</v>
      </c>
      <c r="AO137" s="90">
        <f t="shared" si="10"/>
        <v>0.99119789081885301</v>
      </c>
      <c r="AP137" s="90">
        <f t="shared" si="10"/>
        <v>-0.95742586829905463</v>
      </c>
      <c r="AQ137" s="90">
        <f t="shared" si="10"/>
        <v>0.83200278410861017</v>
      </c>
      <c r="AR137" s="90">
        <f t="shared" si="10"/>
        <v>-13.747026759973494</v>
      </c>
      <c r="AS137" s="90">
        <f t="shared" si="10"/>
        <v>-3.2317647874079292</v>
      </c>
      <c r="AT137" s="90">
        <f t="shared" si="10"/>
        <v>1.1682229412007814</v>
      </c>
      <c r="AU137" s="90">
        <f t="shared" si="10"/>
        <v>-0.62268941483558748</v>
      </c>
      <c r="AV137" s="90">
        <f t="shared" si="10"/>
        <v>0.71245897801228608</v>
      </c>
      <c r="AW137" s="90">
        <f t="shared" si="10"/>
        <v>6.2351521254283213</v>
      </c>
      <c r="AX137" s="90">
        <f t="shared" si="10"/>
        <v>-3.6865667754160327</v>
      </c>
      <c r="AY137" s="90">
        <f t="shared" si="10"/>
        <v>6.6156757349147881</v>
      </c>
      <c r="AZ137" s="90">
        <f t="shared" si="10"/>
        <v>0.75127110363468574</v>
      </c>
      <c r="BA137" s="90">
        <f t="shared" si="10"/>
        <v>2.0800080327027182</v>
      </c>
      <c r="BB137" s="90">
        <f t="shared" si="10"/>
        <v>15.862213757212693</v>
      </c>
      <c r="BC137" s="90">
        <f t="shared" si="10"/>
        <v>-0.75124032891149284</v>
      </c>
      <c r="BD137" s="90">
        <f t="shared" si="10"/>
        <v>1.0839803920155369</v>
      </c>
      <c r="BE137" s="90">
        <f t="shared" si="10"/>
        <v>-5.5558320928405998</v>
      </c>
      <c r="BF137" s="90">
        <f t="shared" si="10"/>
        <v>-21.736967006799986</v>
      </c>
      <c r="BG137" s="90">
        <f t="shared" si="10"/>
        <v>-1.4616370211666592</v>
      </c>
      <c r="BH137" s="90">
        <f t="shared" si="10"/>
        <v>26.647814580579187</v>
      </c>
      <c r="BI137" s="90">
        <f t="shared" si="10"/>
        <v>2.3689962011124592</v>
      </c>
      <c r="BJ137" s="90">
        <f t="shared" si="10"/>
        <v>-20.766634242013318</v>
      </c>
      <c r="BK137" s="90">
        <f t="shared" si="10"/>
        <v>-3.5385958003450142</v>
      </c>
      <c r="BL137" s="90">
        <f t="shared" si="10"/>
        <v>30.944796747866032</v>
      </c>
      <c r="BM137" s="90">
        <f t="shared" si="10"/>
        <v>2.2282626245043176</v>
      </c>
      <c r="BN137" s="90">
        <f t="shared" si="10"/>
        <v>-28.383653118582721</v>
      </c>
      <c r="BO137" s="90">
        <f t="shared" si="10"/>
        <v>-6.5373414877876357</v>
      </c>
      <c r="BP137" s="90"/>
    </row>
    <row r="138" spans="3:68" x14ac:dyDescent="0.25">
      <c r="C138" s="3" t="s">
        <v>19</v>
      </c>
      <c r="D138" s="90">
        <f t="shared" si="1"/>
        <v>0.53121626957419821</v>
      </c>
      <c r="E138" s="90">
        <f t="shared" si="10"/>
        <v>-1.1390303030303048</v>
      </c>
      <c r="F138" s="90">
        <f t="shared" si="10"/>
        <v>0.21585171438670514</v>
      </c>
      <c r="G138" s="90">
        <f t="shared" si="10"/>
        <v>0.17598036758563751</v>
      </c>
      <c r="H138" s="90">
        <f t="shared" si="10"/>
        <v>-0.68147711811997524</v>
      </c>
      <c r="I138" s="90">
        <f t="shared" si="10"/>
        <v>-1.6223665223666472E-2</v>
      </c>
      <c r="J138" s="90">
        <f t="shared" ref="E138:BO142" si="11">IF(ISBLANK(J43),NA(),J43)-IF(ISBLANK(J90),NA(),J90)</f>
        <v>0.90787276161417552</v>
      </c>
      <c r="K138" s="90">
        <f t="shared" si="11"/>
        <v>0.6247174259760051</v>
      </c>
      <c r="L138" s="90">
        <f t="shared" si="11"/>
        <v>-0.10444527986634</v>
      </c>
      <c r="M138" s="90">
        <f t="shared" si="11"/>
        <v>0.7494502164502137</v>
      </c>
      <c r="N138" s="90">
        <f t="shared" si="11"/>
        <v>2.1270606060606099</v>
      </c>
      <c r="O138" s="90">
        <f t="shared" si="11"/>
        <v>-6.1424363651507612</v>
      </c>
      <c r="P138" s="90">
        <f t="shared" si="11"/>
        <v>9.4661445279866356</v>
      </c>
      <c r="Q138" s="90">
        <f t="shared" si="11"/>
        <v>1.4758129867679948</v>
      </c>
      <c r="R138" s="90">
        <f t="shared" si="11"/>
        <v>1.0573462208289754</v>
      </c>
      <c r="S138" s="90">
        <f t="shared" si="11"/>
        <v>3.1635671921877631</v>
      </c>
      <c r="T138" s="90">
        <f t="shared" si="11"/>
        <v>0.43165576820839746</v>
      </c>
      <c r="U138" s="90">
        <f t="shared" si="11"/>
        <v>0.21768253968253504</v>
      </c>
      <c r="V138" s="90">
        <f t="shared" si="11"/>
        <v>-0.17584635171591501</v>
      </c>
      <c r="W138" s="90">
        <f t="shared" si="11"/>
        <v>0.60433862433862018</v>
      </c>
      <c r="X138" s="90">
        <f t="shared" si="11"/>
        <v>0.22117862838915414</v>
      </c>
      <c r="Y138" s="90">
        <f t="shared" si="11"/>
        <v>0.54095959595959897</v>
      </c>
      <c r="Z138" s="90">
        <f t="shared" si="11"/>
        <v>0.40668909592822899</v>
      </c>
      <c r="AA138" s="90">
        <f t="shared" si="11"/>
        <v>0.51851148140622172</v>
      </c>
      <c r="AB138" s="90">
        <f t="shared" si="11"/>
        <v>0.15496032209126653</v>
      </c>
      <c r="AC138" s="90">
        <f t="shared" si="11"/>
        <v>0.9362828282828275</v>
      </c>
      <c r="AD138" s="90">
        <f t="shared" si="11"/>
        <v>1.0161499690785334</v>
      </c>
      <c r="AE138" s="90">
        <f t="shared" si="11"/>
        <v>0.84178467000835511</v>
      </c>
      <c r="AF138" s="90">
        <f t="shared" si="11"/>
        <v>1.2647713032581471</v>
      </c>
      <c r="AG138" s="90">
        <f t="shared" si="11"/>
        <v>-0.48564661654135222</v>
      </c>
      <c r="AH138" s="90">
        <f t="shared" si="11"/>
        <v>-4.1300682684973324</v>
      </c>
      <c r="AI138" s="90">
        <f t="shared" si="11"/>
        <v>-7.7916072185294141</v>
      </c>
      <c r="AJ138" s="90">
        <f t="shared" si="11"/>
        <v>4.4882940685046009</v>
      </c>
      <c r="AK138" s="90">
        <f t="shared" si="11"/>
        <v>1.4451810408373866</v>
      </c>
      <c r="AL138" s="90">
        <f t="shared" si="11"/>
        <v>0.64354545454544976</v>
      </c>
      <c r="AM138" s="90">
        <f t="shared" si="11"/>
        <v>1.5574219001610317</v>
      </c>
      <c r="AN138" s="90">
        <f t="shared" si="11"/>
        <v>4.6440555935292736</v>
      </c>
      <c r="AO138" s="90">
        <f t="shared" si="11"/>
        <v>-3.0867460317460313</v>
      </c>
      <c r="AP138" s="90">
        <f t="shared" si="11"/>
        <v>-36.571608946608954</v>
      </c>
      <c r="AQ138" s="90">
        <f t="shared" si="11"/>
        <v>-2.2674416786916787</v>
      </c>
      <c r="AR138" s="90">
        <f t="shared" si="11"/>
        <v>12.946514111365371</v>
      </c>
      <c r="AS138" s="90">
        <f t="shared" si="11"/>
        <v>-5.2273232323232364</v>
      </c>
      <c r="AT138" s="90">
        <f t="shared" si="11"/>
        <v>-0.94096681096681323</v>
      </c>
      <c r="AU138" s="90">
        <f t="shared" si="11"/>
        <v>-6.2405954469507137</v>
      </c>
      <c r="AV138" s="90">
        <f t="shared" si="11"/>
        <v>-0.39074599542333743</v>
      </c>
      <c r="AW138" s="90">
        <f t="shared" si="11"/>
        <v>8.2603888888888832</v>
      </c>
      <c r="AX138" s="90">
        <f t="shared" si="11"/>
        <v>3.8337007063694983</v>
      </c>
      <c r="AY138" s="90">
        <f t="shared" si="11"/>
        <v>-31.003652046783614</v>
      </c>
      <c r="AZ138" s="90">
        <f t="shared" si="11"/>
        <v>6.4868478260869722</v>
      </c>
      <c r="BA138" s="90">
        <f t="shared" si="11"/>
        <v>-43.232698412698397</v>
      </c>
      <c r="BB138" s="90">
        <f t="shared" si="11"/>
        <v>-25.275992753623179</v>
      </c>
      <c r="BC138" s="90">
        <f t="shared" si="11"/>
        <v>-2.145003189792682</v>
      </c>
      <c r="BD138" s="90">
        <f t="shared" si="11"/>
        <v>-2.1182987012987056</v>
      </c>
      <c r="BE138" s="90">
        <f t="shared" si="11"/>
        <v>-0.4688516746411473</v>
      </c>
      <c r="BF138" s="90">
        <f t="shared" si="11"/>
        <v>-0.65133333333334065</v>
      </c>
      <c r="BG138" s="90">
        <f t="shared" si="11"/>
        <v>0.85699999999999221</v>
      </c>
      <c r="BH138" s="90">
        <f t="shared" si="11"/>
        <v>5.677534064974715</v>
      </c>
      <c r="BI138" s="90">
        <f t="shared" si="11"/>
        <v>8.1240147946566665</v>
      </c>
      <c r="BJ138" s="90">
        <f t="shared" si="11"/>
        <v>1.9632596653379153</v>
      </c>
      <c r="BK138" s="90">
        <f t="shared" si="11"/>
        <v>-9.3504751916359652</v>
      </c>
      <c r="BL138" s="90">
        <f t="shared" si="11"/>
        <v>6.22328405475713</v>
      </c>
      <c r="BM138" s="90">
        <f t="shared" si="11"/>
        <v>5.7824583737184909</v>
      </c>
      <c r="BN138" s="90">
        <f t="shared" si="11"/>
        <v>4.186733918889729</v>
      </c>
      <c r="BO138" s="90">
        <f t="shared" si="11"/>
        <v>-11.820309680432004</v>
      </c>
      <c r="BP138" s="90"/>
    </row>
    <row r="139" spans="3:68" x14ac:dyDescent="0.25">
      <c r="C139" s="3" t="s">
        <v>20</v>
      </c>
      <c r="D139" s="90">
        <f t="shared" si="1"/>
        <v>3.1524692096311178</v>
      </c>
      <c r="E139" s="90">
        <f t="shared" si="11"/>
        <v>2.7580671741799865</v>
      </c>
      <c r="F139" s="90">
        <f t="shared" si="11"/>
        <v>1.6312887137681358</v>
      </c>
      <c r="G139" s="90">
        <f t="shared" si="11"/>
        <v>0.93135284429541088</v>
      </c>
      <c r="H139" s="90">
        <f t="shared" si="11"/>
        <v>0.83342852049219474</v>
      </c>
      <c r="I139" s="90">
        <f t="shared" si="11"/>
        <v>4.2556312146187114</v>
      </c>
      <c r="J139" s="90">
        <f t="shared" si="11"/>
        <v>3.9176970259798658</v>
      </c>
      <c r="K139" s="90">
        <f t="shared" si="11"/>
        <v>1.8264609062852131</v>
      </c>
      <c r="L139" s="90">
        <f t="shared" si="11"/>
        <v>3.6279389559681903</v>
      </c>
      <c r="M139" s="90">
        <f t="shared" si="11"/>
        <v>6.9979375104474997</v>
      </c>
      <c r="N139" s="90">
        <f t="shared" si="11"/>
        <v>2.3301190111691454</v>
      </c>
      <c r="O139" s="90">
        <f t="shared" si="11"/>
        <v>-4.5948671899831268</v>
      </c>
      <c r="P139" s="90">
        <f t="shared" si="11"/>
        <v>9.668443862589875</v>
      </c>
      <c r="Q139" s="90">
        <f t="shared" si="11"/>
        <v>17.33395018929836</v>
      </c>
      <c r="R139" s="90">
        <f t="shared" si="11"/>
        <v>5.782257606124702</v>
      </c>
      <c r="S139" s="90">
        <f t="shared" si="11"/>
        <v>4.4760640490359691</v>
      </c>
      <c r="T139" s="90">
        <f t="shared" si="11"/>
        <v>2.9203110047142324</v>
      </c>
      <c r="U139" s="90">
        <f t="shared" si="11"/>
        <v>2.1957797947736921</v>
      </c>
      <c r="V139" s="90">
        <f t="shared" si="11"/>
        <v>1.9664500083031342</v>
      </c>
      <c r="W139" s="90">
        <f t="shared" si="11"/>
        <v>1.6305139761538179</v>
      </c>
      <c r="X139" s="90">
        <f t="shared" si="11"/>
        <v>0.67866004076799058</v>
      </c>
      <c r="Y139" s="90">
        <f t="shared" si="11"/>
        <v>1.9291630292726083</v>
      </c>
      <c r="Z139" s="90">
        <f t="shared" si="11"/>
        <v>1.3122507443285514</v>
      </c>
      <c r="AA139" s="90">
        <f t="shared" si="11"/>
        <v>1.2351255052595924</v>
      </c>
      <c r="AB139" s="90">
        <f t="shared" si="11"/>
        <v>0.67480804350365275</v>
      </c>
      <c r="AC139" s="90">
        <f t="shared" si="11"/>
        <v>3.2087806247746968</v>
      </c>
      <c r="AD139" s="90">
        <f t="shared" si="11"/>
        <v>4.5673719933467076</v>
      </c>
      <c r="AE139" s="90">
        <f t="shared" si="11"/>
        <v>2.9009672171195646</v>
      </c>
      <c r="AF139" s="90">
        <f t="shared" si="11"/>
        <v>3.6932294446960583</v>
      </c>
      <c r="AG139" s="90">
        <f t="shared" si="11"/>
        <v>1.7109811015720524</v>
      </c>
      <c r="AH139" s="90">
        <f t="shared" si="11"/>
        <v>7.8269983543832922</v>
      </c>
      <c r="AI139" s="90">
        <f t="shared" si="11"/>
        <v>7.8100496096602328</v>
      </c>
      <c r="AJ139" s="90">
        <f t="shared" si="11"/>
        <v>4.5800569279747521</v>
      </c>
      <c r="AK139" s="90">
        <f t="shared" si="11"/>
        <v>1.8246446841014894</v>
      </c>
      <c r="AL139" s="90">
        <f t="shared" si="11"/>
        <v>1.6357570568411504</v>
      </c>
      <c r="AM139" s="90">
        <f t="shared" si="11"/>
        <v>0.59748190655474787</v>
      </c>
      <c r="AN139" s="90">
        <f t="shared" si="11"/>
        <v>0.10680739401322015</v>
      </c>
      <c r="AO139" s="90">
        <f t="shared" si="11"/>
        <v>-2.9788379749059608</v>
      </c>
      <c r="AP139" s="90">
        <f t="shared" si="11"/>
        <v>16.95561257506645</v>
      </c>
      <c r="AQ139" s="90">
        <f t="shared" si="11"/>
        <v>3.8064246885290984</v>
      </c>
      <c r="AR139" s="90">
        <f t="shared" si="11"/>
        <v>38.274382410346995</v>
      </c>
      <c r="AS139" s="90">
        <f t="shared" si="11"/>
        <v>3.2219549945822834</v>
      </c>
      <c r="AT139" s="90">
        <f t="shared" si="11"/>
        <v>6.1646591510007624</v>
      </c>
      <c r="AU139" s="90">
        <f t="shared" si="11"/>
        <v>3.4778412079451542</v>
      </c>
      <c r="AV139" s="90">
        <f t="shared" si="11"/>
        <v>0.45704211799346695</v>
      </c>
      <c r="AW139" s="90">
        <f t="shared" si="11"/>
        <v>1.510580699326546</v>
      </c>
      <c r="AX139" s="90">
        <f t="shared" si="11"/>
        <v>5.9593872280199491</v>
      </c>
      <c r="AY139" s="90">
        <f t="shared" si="11"/>
        <v>0.47224158489407841</v>
      </c>
      <c r="AZ139" s="90">
        <f t="shared" si="11"/>
        <v>9.7120891867219115</v>
      </c>
      <c r="BA139" s="90">
        <f t="shared" si="11"/>
        <v>4.1022055672213966</v>
      </c>
      <c r="BB139" s="90">
        <f t="shared" si="11"/>
        <v>4.3815954623179607</v>
      </c>
      <c r="BC139" s="90">
        <f t="shared" si="11"/>
        <v>7.2463752460823798</v>
      </c>
      <c r="BD139" s="90">
        <f t="shared" si="11"/>
        <v>0.75515973331749109</v>
      </c>
      <c r="BE139" s="90">
        <f t="shared" si="11"/>
        <v>2.6871442275480319</v>
      </c>
      <c r="BF139" s="90">
        <f t="shared" si="11"/>
        <v>0.98644444444444446</v>
      </c>
      <c r="BG139" s="90">
        <f t="shared" si="11"/>
        <v>0.69366666666666532</v>
      </c>
      <c r="BH139" s="90">
        <f t="shared" si="11"/>
        <v>4.8735534161570868</v>
      </c>
      <c r="BI139" s="90">
        <f t="shared" si="11"/>
        <v>6.5935919701508894</v>
      </c>
      <c r="BJ139" s="90">
        <f t="shared" si="11"/>
        <v>2.2908493296926764</v>
      </c>
      <c r="BK139" s="90">
        <f t="shared" si="11"/>
        <v>-7.8769947160006524</v>
      </c>
      <c r="BL139" s="90">
        <f t="shared" si="11"/>
        <v>6.7644406253266212</v>
      </c>
      <c r="BM139" s="90">
        <f t="shared" si="11"/>
        <v>5.7940178285863766</v>
      </c>
      <c r="BN139" s="90">
        <f t="shared" si="11"/>
        <v>3.7184145139085558</v>
      </c>
      <c r="BO139" s="90">
        <f t="shared" si="11"/>
        <v>-10.778039634221571</v>
      </c>
      <c r="BP139" s="90"/>
    </row>
    <row r="140" spans="3:68" x14ac:dyDescent="0.25">
      <c r="C140" s="3" t="s">
        <v>21</v>
      </c>
      <c r="D140" s="90">
        <f t="shared" si="1"/>
        <v>2.9362932286634518</v>
      </c>
      <c r="E140" s="90">
        <f t="shared" si="11"/>
        <v>0.22314721364828216</v>
      </c>
      <c r="F140" s="90">
        <f t="shared" si="11"/>
        <v>0.55390902324879221</v>
      </c>
      <c r="G140" s="90">
        <f t="shared" si="11"/>
        <v>1.4489796419326488</v>
      </c>
      <c r="H140" s="90">
        <f t="shared" si="11"/>
        <v>-0.10813028938150282</v>
      </c>
      <c r="I140" s="90">
        <f t="shared" si="11"/>
        <v>4.9483946829212506</v>
      </c>
      <c r="J140" s="90">
        <f t="shared" si="11"/>
        <v>3.6495360970886743</v>
      </c>
      <c r="K140" s="90">
        <f t="shared" si="11"/>
        <v>0.92211589084796586</v>
      </c>
      <c r="L140" s="90">
        <f t="shared" si="11"/>
        <v>1.8573484259076665</v>
      </c>
      <c r="M140" s="90">
        <f t="shared" si="11"/>
        <v>3.8906404586385825</v>
      </c>
      <c r="N140" s="90">
        <f t="shared" si="11"/>
        <v>1.3405426468934252</v>
      </c>
      <c r="O140" s="90">
        <f t="shared" si="11"/>
        <v>-4.3766275970712556</v>
      </c>
      <c r="P140" s="90">
        <f t="shared" si="11"/>
        <v>9.7999670920207365</v>
      </c>
      <c r="Q140" s="90">
        <f t="shared" si="11"/>
        <v>14.140710289879095</v>
      </c>
      <c r="R140" s="90">
        <f t="shared" si="11"/>
        <v>5.2523462133367929</v>
      </c>
      <c r="S140" s="90">
        <f t="shared" si="11"/>
        <v>3.8056908731819519</v>
      </c>
      <c r="T140" s="90">
        <f t="shared" si="11"/>
        <v>2.3175278613986663</v>
      </c>
      <c r="U140" s="90">
        <f t="shared" si="11"/>
        <v>0.73132852367871237</v>
      </c>
      <c r="V140" s="90" t="e">
        <f t="shared" si="11"/>
        <v>#N/A</v>
      </c>
      <c r="W140" s="90">
        <f t="shared" si="11"/>
        <v>3.0574637617559404</v>
      </c>
      <c r="X140" s="90">
        <f t="shared" si="11"/>
        <v>-2.4113937415890305</v>
      </c>
      <c r="Y140" s="90">
        <f t="shared" si="11"/>
        <v>-2.5604208290816324</v>
      </c>
      <c r="Z140" s="90">
        <f t="shared" si="11"/>
        <v>1.1295430669858391</v>
      </c>
      <c r="AA140" s="90">
        <f t="shared" si="11"/>
        <v>0.5825944043904947</v>
      </c>
      <c r="AB140" s="90">
        <f t="shared" si="11"/>
        <v>4.5016161603535352</v>
      </c>
      <c r="AC140" s="90">
        <f t="shared" si="11"/>
        <v>1.4643734483581881</v>
      </c>
      <c r="AD140" s="90">
        <f t="shared" si="11"/>
        <v>1.0512426397515462</v>
      </c>
      <c r="AE140" s="90" t="e">
        <f t="shared" si="11"/>
        <v>#N/A</v>
      </c>
      <c r="AF140" s="90" t="e">
        <f t="shared" si="11"/>
        <v>#N/A</v>
      </c>
      <c r="AG140" s="90" t="e">
        <f t="shared" si="11"/>
        <v>#N/A</v>
      </c>
      <c r="AH140" s="90" t="e">
        <f t="shared" si="11"/>
        <v>#N/A</v>
      </c>
      <c r="AI140" s="90" t="e">
        <f t="shared" si="11"/>
        <v>#N/A</v>
      </c>
      <c r="AJ140" s="90">
        <f t="shared" si="11"/>
        <v>21.639870478454966</v>
      </c>
      <c r="AK140" s="90" t="e">
        <f t="shared" si="11"/>
        <v>#N/A</v>
      </c>
      <c r="AL140" s="90" t="e">
        <f t="shared" si="11"/>
        <v>#N/A</v>
      </c>
      <c r="AM140" s="90" t="e">
        <f t="shared" si="11"/>
        <v>#N/A</v>
      </c>
      <c r="AN140" s="90" t="e">
        <f t="shared" si="11"/>
        <v>#N/A</v>
      </c>
      <c r="AO140" s="90" t="e">
        <f t="shared" si="11"/>
        <v>#N/A</v>
      </c>
      <c r="AP140" s="90" t="e">
        <f t="shared" si="11"/>
        <v>#N/A</v>
      </c>
      <c r="AQ140" s="90" t="e">
        <f t="shared" si="11"/>
        <v>#N/A</v>
      </c>
      <c r="AR140" s="90">
        <f t="shared" si="11"/>
        <v>117.60083632241341</v>
      </c>
      <c r="AS140" s="90">
        <f t="shared" si="11"/>
        <v>-1.6390251958768332</v>
      </c>
      <c r="AT140" s="90" t="e">
        <f t="shared" si="11"/>
        <v>#N/A</v>
      </c>
      <c r="AU140" s="90">
        <f t="shared" si="11"/>
        <v>-3.0019446485183821</v>
      </c>
      <c r="AV140" s="90">
        <f t="shared" si="11"/>
        <v>-2.8459132262982862</v>
      </c>
      <c r="AW140" s="90" t="e">
        <f t="shared" si="11"/>
        <v>#N/A</v>
      </c>
      <c r="AX140" s="90" t="e">
        <f t="shared" si="11"/>
        <v>#N/A</v>
      </c>
      <c r="AY140" s="90" t="e">
        <f t="shared" si="11"/>
        <v>#N/A</v>
      </c>
      <c r="AZ140" s="90">
        <f t="shared" si="11"/>
        <v>-24.593817631497046</v>
      </c>
      <c r="BA140" s="90">
        <f t="shared" si="11"/>
        <v>-10.607081871817947</v>
      </c>
      <c r="BB140" s="90">
        <f t="shared" si="11"/>
        <v>-0.5744030998995413</v>
      </c>
      <c r="BC140" s="90">
        <f t="shared" si="11"/>
        <v>5.4413055844655673</v>
      </c>
      <c r="BD140" s="90">
        <f t="shared" si="11"/>
        <v>99.448351602187273</v>
      </c>
      <c r="BE140" s="90" t="e">
        <f t="shared" si="11"/>
        <v>#N/A</v>
      </c>
      <c r="BF140" s="90">
        <f t="shared" si="11"/>
        <v>3.5330000000000013</v>
      </c>
      <c r="BG140" s="90">
        <f t="shared" si="11"/>
        <v>0.46033333333332394</v>
      </c>
      <c r="BH140" s="90">
        <f t="shared" si="11"/>
        <v>6.2625698201739795</v>
      </c>
      <c r="BI140" s="90">
        <f t="shared" si="11"/>
        <v>6.8858191507154913</v>
      </c>
      <c r="BJ140" s="90">
        <f t="shared" si="11"/>
        <v>0.80836731021209118</v>
      </c>
      <c r="BK140" s="90">
        <f t="shared" si="11"/>
        <v>-9.9524229477681985</v>
      </c>
      <c r="BL140" s="90">
        <f t="shared" si="11"/>
        <v>7.6309232582097763</v>
      </c>
      <c r="BM140" s="90">
        <f t="shared" si="11"/>
        <v>5.4226081413706524</v>
      </c>
      <c r="BN140" s="90">
        <f t="shared" si="11"/>
        <v>3.8169717598915014</v>
      </c>
      <c r="BO140" s="90">
        <f t="shared" si="11"/>
        <v>-13.122836492538596</v>
      </c>
      <c r="BP140" s="90"/>
    </row>
    <row r="141" spans="3:68" x14ac:dyDescent="0.25">
      <c r="C141" s="3" t="s">
        <v>22</v>
      </c>
      <c r="D141" s="90">
        <f t="shared" si="1"/>
        <v>-0.39490034869783308</v>
      </c>
      <c r="E141" s="90">
        <f t="shared" si="11"/>
        <v>-5.31675026123302</v>
      </c>
      <c r="F141" s="90">
        <f t="shared" si="11"/>
        <v>-2.0559001914137305</v>
      </c>
      <c r="G141" s="90">
        <f t="shared" si="11"/>
        <v>0.14639346930544761</v>
      </c>
      <c r="H141" s="90">
        <f t="shared" si="11"/>
        <v>-6.5818181818180221E-2</v>
      </c>
      <c r="I141" s="90">
        <f t="shared" si="11"/>
        <v>-0.12154733975701665</v>
      </c>
      <c r="J141" s="90">
        <f t="shared" si="11"/>
        <v>1.0289250880825254</v>
      </c>
      <c r="K141" s="90">
        <f t="shared" si="11"/>
        <v>-3.9063779850973646E-2</v>
      </c>
      <c r="L141" s="90">
        <f t="shared" si="11"/>
        <v>1.0479393676498887</v>
      </c>
      <c r="M141" s="90">
        <f t="shared" si="11"/>
        <v>-0.79843939393939678</v>
      </c>
      <c r="N141" s="90">
        <f t="shared" si="11"/>
        <v>1.7709275362318841</v>
      </c>
      <c r="O141" s="90">
        <f t="shared" si="11"/>
        <v>9.9423969404186785</v>
      </c>
      <c r="P141" s="90">
        <f t="shared" si="11"/>
        <v>2.4241938178780273</v>
      </c>
      <c r="Q141" s="90">
        <f t="shared" si="11"/>
        <v>-2.5399578111946539</v>
      </c>
      <c r="R141" s="90">
        <f t="shared" si="11"/>
        <v>2.2630945165945171</v>
      </c>
      <c r="S141" s="90">
        <f t="shared" si="11"/>
        <v>0.99896399139366565</v>
      </c>
      <c r="T141" s="90">
        <f t="shared" si="11"/>
        <v>3.3917102481362704E-2</v>
      </c>
      <c r="U141" s="90">
        <f t="shared" si="11"/>
        <v>-0.6087230710465974</v>
      </c>
      <c r="V141" s="90">
        <f t="shared" si="11"/>
        <v>0.65044011544011227</v>
      </c>
      <c r="W141" s="90">
        <f t="shared" si="11"/>
        <v>1.0615848965848933</v>
      </c>
      <c r="X141" s="90">
        <f t="shared" si="11"/>
        <v>0.45614433811802257</v>
      </c>
      <c r="Y141" s="90">
        <f t="shared" si="11"/>
        <v>-0.25675757575757174</v>
      </c>
      <c r="Z141" s="90">
        <f t="shared" si="11"/>
        <v>-0.49312054290314933</v>
      </c>
      <c r="AA141" s="90">
        <f t="shared" si="11"/>
        <v>1.0160340867893005</v>
      </c>
      <c r="AB141" s="90">
        <f t="shared" si="11"/>
        <v>-1.1023808701408999</v>
      </c>
      <c r="AC141" s="90">
        <f t="shared" si="11"/>
        <v>-1.7600115740740738</v>
      </c>
      <c r="AD141" s="90">
        <f t="shared" si="11"/>
        <v>0.47995454545454308</v>
      </c>
      <c r="AE141" s="90">
        <f t="shared" si="11"/>
        <v>0.72091200222779506</v>
      </c>
      <c r="AF141" s="90">
        <f t="shared" si="11"/>
        <v>-0.73388680033416875</v>
      </c>
      <c r="AG141" s="90">
        <f t="shared" si="11"/>
        <v>-6.9906641604010007</v>
      </c>
      <c r="AH141" s="90">
        <f t="shared" si="11"/>
        <v>6.8893710907704069</v>
      </c>
      <c r="AI141" s="90">
        <f t="shared" si="11"/>
        <v>-1.6968587861837534</v>
      </c>
      <c r="AJ141" s="90">
        <f t="shared" si="11"/>
        <v>10.803099415204663</v>
      </c>
      <c r="AK141" s="90">
        <f t="shared" si="11"/>
        <v>-0.16115246449456855</v>
      </c>
      <c r="AL141" s="90">
        <f t="shared" si="11"/>
        <v>-0.88346536796537478</v>
      </c>
      <c r="AM141" s="90">
        <f t="shared" si="11"/>
        <v>-2.0411249225814458</v>
      </c>
      <c r="AN141" s="90">
        <f t="shared" si="11"/>
        <v>-0.20535885167463874</v>
      </c>
      <c r="AO141" s="90">
        <f t="shared" si="11"/>
        <v>0.32954658833230166</v>
      </c>
      <c r="AP141" s="90">
        <f t="shared" si="11"/>
        <v>1.9778903318903343</v>
      </c>
      <c r="AQ141" s="90">
        <f t="shared" si="11"/>
        <v>-0.32449224386725106</v>
      </c>
      <c r="AR141" s="90">
        <f t="shared" si="11"/>
        <v>-1.1553611453382686</v>
      </c>
      <c r="AS141" s="90">
        <f t="shared" si="11"/>
        <v>-0.39479921137816376</v>
      </c>
      <c r="AT141" s="90">
        <f t="shared" si="11"/>
        <v>1.9248369408369399</v>
      </c>
      <c r="AU141" s="90">
        <f t="shared" si="11"/>
        <v>1.5625234882076882</v>
      </c>
      <c r="AV141" s="90">
        <f t="shared" si="11"/>
        <v>0.11082246017011244</v>
      </c>
      <c r="AW141" s="90">
        <f t="shared" si="11"/>
        <v>-11.98929365079367</v>
      </c>
      <c r="AX141" s="90">
        <f t="shared" si="11"/>
        <v>-2.4561011523584995</v>
      </c>
      <c r="AY141" s="90">
        <f t="shared" si="11"/>
        <v>2.3487288092024983</v>
      </c>
      <c r="AZ141" s="90">
        <f t="shared" si="11"/>
        <v>3.1074453852021406</v>
      </c>
      <c r="BA141" s="90">
        <f t="shared" si="11"/>
        <v>-0.41863376389692775</v>
      </c>
      <c r="BB141" s="90">
        <f t="shared" si="11"/>
        <v>1.19431969309462</v>
      </c>
      <c r="BC141" s="90">
        <f t="shared" si="11"/>
        <v>3.0990296582849624</v>
      </c>
      <c r="BD141" s="90">
        <f t="shared" si="11"/>
        <v>-18.14186507936509</v>
      </c>
      <c r="BE141" s="90">
        <f t="shared" si="11"/>
        <v>2.8267012227538544</v>
      </c>
      <c r="BF141" s="90">
        <f t="shared" si="11"/>
        <v>-3.2313333333333318</v>
      </c>
      <c r="BG141" s="90">
        <f t="shared" si="11"/>
        <v>2.3269999999999982</v>
      </c>
      <c r="BH141" s="90">
        <f t="shared" si="11"/>
        <v>-19.328097155059965</v>
      </c>
      <c r="BI141" s="90">
        <f t="shared" si="11"/>
        <v>7.274666912302699</v>
      </c>
      <c r="BJ141" s="90">
        <f t="shared" si="11"/>
        <v>9.0995934418889846</v>
      </c>
      <c r="BK141" s="90">
        <f t="shared" si="11"/>
        <v>5.9036768008683111</v>
      </c>
      <c r="BL141" s="90">
        <f t="shared" si="11"/>
        <v>-18.439478241134523</v>
      </c>
      <c r="BM141" s="90">
        <f t="shared" si="11"/>
        <v>5.2847527172281694</v>
      </c>
      <c r="BN141" s="90">
        <f t="shared" si="11"/>
        <v>11.954813448094264</v>
      </c>
      <c r="BO141" s="90">
        <f t="shared" si="11"/>
        <v>4.5075854094121155</v>
      </c>
      <c r="BP141" s="90"/>
    </row>
    <row r="142" spans="3:68" x14ac:dyDescent="0.25">
      <c r="C142" s="3" t="s">
        <v>23</v>
      </c>
      <c r="D142" s="90">
        <f t="shared" si="1"/>
        <v>-1.6939512977526192</v>
      </c>
      <c r="E142" s="90">
        <f t="shared" si="11"/>
        <v>-2.8719459485407075</v>
      </c>
      <c r="F142" s="90">
        <f t="shared" si="11"/>
        <v>-5.3022234031673676</v>
      </c>
      <c r="G142" s="90">
        <f t="shared" si="11"/>
        <v>-1.5579781868474445</v>
      </c>
      <c r="H142" s="90">
        <f t="shared" si="11"/>
        <v>-1.1269851887243192</v>
      </c>
      <c r="I142" s="90">
        <f t="shared" ref="I142:BO142" si="12">IF(ISBLANK(I47),NA(),I47)-IF(ISBLANK(I94),NA(),I94)</f>
        <v>-1.7806766242270271</v>
      </c>
      <c r="J142" s="90">
        <f t="shared" si="12"/>
        <v>-1.325608038218796</v>
      </c>
      <c r="K142" s="90">
        <f t="shared" si="12"/>
        <v>-2.2520173684159133</v>
      </c>
      <c r="L142" s="90">
        <f t="shared" si="12"/>
        <v>-0.33188180831978897</v>
      </c>
      <c r="M142" s="90">
        <f t="shared" si="12"/>
        <v>-0.77498311522705876</v>
      </c>
      <c r="N142" s="90">
        <f t="shared" si="12"/>
        <v>-1.7268955679250446</v>
      </c>
      <c r="O142" s="90">
        <f t="shared" si="12"/>
        <v>-6.9849413407095611</v>
      </c>
      <c r="P142" s="90">
        <f t="shared" si="12"/>
        <v>6.0958075922076489</v>
      </c>
      <c r="Q142" s="90">
        <f t="shared" si="12"/>
        <v>-1.7152508222064782</v>
      </c>
      <c r="R142" s="90">
        <f t="shared" si="12"/>
        <v>-1.6337074762350063</v>
      </c>
      <c r="S142" s="90">
        <f t="shared" si="12"/>
        <v>-1.2186798581891907</v>
      </c>
      <c r="T142" s="90">
        <f t="shared" si="12"/>
        <v>-2.8744783775147091</v>
      </c>
      <c r="U142" s="90">
        <f t="shared" si="12"/>
        <v>-1.2676230035645446</v>
      </c>
      <c r="V142" s="90">
        <f t="shared" si="12"/>
        <v>-1.3346843637992833</v>
      </c>
      <c r="W142" s="90">
        <f t="shared" si="12"/>
        <v>-0.64573060328035226</v>
      </c>
      <c r="X142" s="90">
        <f t="shared" si="12"/>
        <v>-1.10754650208351</v>
      </c>
      <c r="Y142" s="90">
        <f t="shared" si="12"/>
        <v>-1.3082887052463672</v>
      </c>
      <c r="Z142" s="90">
        <f t="shared" si="12"/>
        <v>-2.3746032413900551</v>
      </c>
      <c r="AA142" s="90">
        <f t="shared" si="12"/>
        <v>-2.046955245831386</v>
      </c>
      <c r="AB142" s="90">
        <f t="shared" si="12"/>
        <v>-1.1163045430849596</v>
      </c>
      <c r="AC142" s="90">
        <f t="shared" si="12"/>
        <v>-1.8938680309385951</v>
      </c>
      <c r="AD142" s="90">
        <f t="shared" si="12"/>
        <v>-2.436279348313068</v>
      </c>
      <c r="AE142" s="90">
        <f t="shared" si="12"/>
        <v>-1.3260741586196154</v>
      </c>
      <c r="AF142" s="90">
        <f t="shared" si="12"/>
        <v>2.3538908482026883</v>
      </c>
      <c r="AG142" s="90">
        <f t="shared" si="12"/>
        <v>0.8995819917090131</v>
      </c>
      <c r="AH142" s="90">
        <f t="shared" si="12"/>
        <v>2.0753891007285326</v>
      </c>
      <c r="AI142" s="90">
        <f t="shared" si="12"/>
        <v>8.8418896583299045E-2</v>
      </c>
      <c r="AJ142" s="90">
        <f t="shared" si="12"/>
        <v>0.32296302279287659</v>
      </c>
      <c r="AK142" s="90">
        <f t="shared" si="12"/>
        <v>-0.30425654072629627</v>
      </c>
      <c r="AL142" s="90">
        <f t="shared" si="12"/>
        <v>-0.21962600562957491</v>
      </c>
      <c r="AM142" s="90">
        <f t="shared" si="12"/>
        <v>-1.5076425417835413</v>
      </c>
      <c r="AN142" s="90">
        <f t="shared" si="12"/>
        <v>1.171250067429062</v>
      </c>
      <c r="AO142" s="90">
        <f t="shared" si="12"/>
        <v>0.6770251363779618</v>
      </c>
      <c r="AP142" s="90">
        <f t="shared" si="12"/>
        <v>-0.57017338953171048</v>
      </c>
      <c r="AQ142" s="90">
        <f t="shared" si="12"/>
        <v>0.20255380629578035</v>
      </c>
      <c r="AR142" s="90">
        <f t="shared" si="12"/>
        <v>-20.111898552811567</v>
      </c>
      <c r="AS142" s="90">
        <f t="shared" si="12"/>
        <v>-2.8179610067351923</v>
      </c>
      <c r="AT142" s="90">
        <f t="shared" si="12"/>
        <v>1.0618709168601335</v>
      </c>
      <c r="AU142" s="90">
        <f t="shared" si="12"/>
        <v>-1.273727939457693</v>
      </c>
      <c r="AV142" s="90">
        <f t="shared" si="12"/>
        <v>0.38622981876637752</v>
      </c>
      <c r="AW142" s="90">
        <f t="shared" si="12"/>
        <v>6.7096651822639686</v>
      </c>
      <c r="AX142" s="90">
        <f t="shared" si="12"/>
        <v>-3.6796591333869415</v>
      </c>
      <c r="AY142" s="90">
        <f t="shared" si="12"/>
        <v>6.1319153489787439</v>
      </c>
      <c r="AZ142" s="90">
        <f t="shared" si="12"/>
        <v>0.77670413647341974</v>
      </c>
      <c r="BA142" s="90">
        <f t="shared" si="12"/>
        <v>2.3798758926524748</v>
      </c>
      <c r="BB142" s="90">
        <f t="shared" si="12"/>
        <v>16.890258950126025</v>
      </c>
      <c r="BC142" s="90">
        <f t="shared" si="12"/>
        <v>-2.3339010953435313</v>
      </c>
      <c r="BD142" s="90">
        <f t="shared" si="12"/>
        <v>3.1318494716476941</v>
      </c>
      <c r="BE142" s="90">
        <f t="shared" si="12"/>
        <v>-9.2688018398121805</v>
      </c>
      <c r="BF142" s="90">
        <f t="shared" si="12"/>
        <v>-25.855855895688897</v>
      </c>
      <c r="BG142" s="90">
        <f t="shared" si="12"/>
        <v>-1.3883036878333286</v>
      </c>
      <c r="BH142" s="90">
        <f t="shared" si="12"/>
        <v>25.237385054257313</v>
      </c>
      <c r="BI142" s="90">
        <f t="shared" si="12"/>
        <v>7.973512501505553E-2</v>
      </c>
      <c r="BJ142" s="90">
        <f t="shared" si="12"/>
        <v>-32.598647334997587</v>
      </c>
      <c r="BK142" s="90">
        <f t="shared" si="12"/>
        <v>-6.643558771474801</v>
      </c>
      <c r="BL142" s="90">
        <f t="shared" si="12"/>
        <v>25.487211943105219</v>
      </c>
      <c r="BM142" s="90">
        <f t="shared" si="12"/>
        <v>-4.2888863182257353</v>
      </c>
      <c r="BN142" s="90">
        <f t="shared" si="12"/>
        <v>-37.125347306226018</v>
      </c>
      <c r="BO142" s="90">
        <f t="shared" si="12"/>
        <v>-7.378246886120138</v>
      </c>
      <c r="BP142" s="90"/>
    </row>
  </sheetData>
  <conditionalFormatting sqref="D51:BO69">
    <cfRule type="colorScale" priority="4">
      <colorScale>
        <cfvo type="min"/>
        <cfvo type="max"/>
        <color theme="0" tint="-0.499984740745262"/>
        <color theme="0" tint="-4.9989318521683403E-2"/>
      </colorScale>
    </cfRule>
  </conditionalFormatting>
  <conditionalFormatting sqref="D98:BO1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BB9629F0777AC439347112A279C1802" ma:contentTypeVersion="18" ma:contentTypeDescription="Crie um novo documento." ma:contentTypeScope="" ma:versionID="b2e32c210ccbd920c70d9333c55a43b9">
  <xsd:schema xmlns:xsd="http://www.w3.org/2001/XMLSchema" xmlns:xs="http://www.w3.org/2001/XMLSchema" xmlns:p="http://schemas.microsoft.com/office/2006/metadata/properties" xmlns:ns2="c48d2cc6-b094-4991-abac-c53f5e7888be" xmlns:ns3="1be02e92-7592-4cc7-9078-8c947cabb86a" targetNamespace="http://schemas.microsoft.com/office/2006/metadata/properties" ma:root="true" ma:fieldsID="88693e140b324eab5f534f6181b5b8bc" ns2:_="" ns3:_="">
    <xsd:import namespace="c48d2cc6-b094-4991-abac-c53f5e7888be"/>
    <xsd:import namespace="1be02e92-7592-4cc7-9078-8c947cabb86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8d2cc6-b094-4991-abac-c53f5e7888b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db23fc35-0644-4dc9-a40e-4f6273e67168}" ma:internalName="TaxCatchAll" ma:showField="CatchAllData" ma:web="c48d2cc6-b094-4991-abac-c53f5e7888b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e02e92-7592-4cc7-9078-8c947cabb86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Marcações de imagem" ma:readOnly="false" ma:fieldId="{5cf76f15-5ced-4ddc-b409-7134ff3c332f}" ma:taxonomyMulti="true" ma:sspId="1499c06d-dade-472b-ba28-5d3b33c8676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be02e92-7592-4cc7-9078-8c947cabb86a">
      <Terms xmlns="http://schemas.microsoft.com/office/infopath/2007/PartnerControls"/>
    </lcf76f155ced4ddcb4097134ff3c332f>
    <TaxCatchAll xmlns="c48d2cc6-b094-4991-abac-c53f5e7888be" xsi:nil="true"/>
  </documentManagement>
</p:properties>
</file>

<file path=customXml/itemProps1.xml><?xml version="1.0" encoding="utf-8"?>
<ds:datastoreItem xmlns:ds="http://schemas.openxmlformats.org/officeDocument/2006/customXml" ds:itemID="{CF40E886-DD13-4D54-A53D-49AD0F625C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2BD2046-4F54-439E-BCF2-8FA2C81514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8d2cc6-b094-4991-abac-c53f5e7888be"/>
    <ds:schemaRef ds:uri="1be02e92-7592-4cc7-9078-8c947cabb86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47BBDF8-9998-4E4D-98AD-121FC1882C61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1be02e92-7592-4cc7-9078-8c947cabb86a"/>
    <ds:schemaRef ds:uri="c48d2cc6-b094-4991-abac-c53f5e7888b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MarketPrices</vt:lpstr>
      <vt:lpstr>MarketPrices2024.08.23</vt:lpstr>
      <vt:lpstr>MarketPrices2024.08.14</vt:lpstr>
      <vt:lpstr>Sheet1</vt:lpstr>
      <vt:lpstr>bbgticker</vt:lpstr>
      <vt:lpstr>bbgtickerfoward</vt:lpstr>
      <vt:lpstr>begining</vt:lpstr>
      <vt:lpstr>begining_table</vt:lpstr>
      <vt:lpstr>beginning</vt:lpstr>
      <vt:lpstr>coal_deliv</vt:lpstr>
      <vt:lpstr>data</vt:lpstr>
      <vt:lpstr>date</vt:lpstr>
      <vt:lpstr>natual_gas_basis_coal_deliv</vt:lpstr>
      <vt:lpstr>price_data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Monteiro</dc:creator>
  <cp:lastModifiedBy>Francisco Monteiro</cp:lastModifiedBy>
  <dcterms:created xsi:type="dcterms:W3CDTF">2024-06-27T13:51:59Z</dcterms:created>
  <dcterms:modified xsi:type="dcterms:W3CDTF">2024-09-03T18:03:29Z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0x010100DBB9629F0777AC439347112A279C1802</vt:lpwstr>
  </property>
</Properties>
</file>